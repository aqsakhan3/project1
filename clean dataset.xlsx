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ed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<sst xmlns="http://schemas.openxmlformats.org/spreadsheetml/2006/main" count="10531" uniqueCount="4289">
  <si>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</si>
  <si>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</si>
  <si>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</si>
  <si>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</si>
  <si>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</si>
  <si>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</si>
  <si>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</si>
  <si>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</si>
  <si>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</si>
  <si>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</si>
  <si>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</si>
  <si>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</si>
  <si>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</si>
  <si>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</si>
  <si>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Duplicate_Check</t>
  </si>
  <si>
    <t xml:space="preserve">Missing_Check</t>
  </si>
  <si>
    <t xml:space="preserve">Date_Check</t>
  </si>
  <si>
    <t xml:space="preserve">Precision_Check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</si>
  <si>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</si>
  <si>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</si>
  <si>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</si>
  <si>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</si>
  <si>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</si>
  <si>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</si>
  <si>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</si>
  <si>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</si>
  <si>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</si>
  <si>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</si>
  <si>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</si>
  <si>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</si>
  <si>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</si>
  <si>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</si>
  <si>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</si>
  <si>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</si>
  <si>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</si>
  <si>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</si>
  <si>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</si>
  <si>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</si>
  <si>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</si>
  <si>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</si>
  <si>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</si>
  <si>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</si>
  <si>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</si>
  <si>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</si>
  <si>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</si>
  <si>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</si>
  <si>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</si>
  <si>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</si>
  <si>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</si>
  <si>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</si>
  <si>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</si>
  <si>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</si>
  <si>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</si>
  <si>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</si>
  <si>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</si>
  <si>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</si>
  <si>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</si>
  <si>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</si>
  <si>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</si>
  <si>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</si>
  <si>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</si>
  <si>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</si>
  <si>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</si>
  <si>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</si>
  <si>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</si>
  <si>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</si>
  <si>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</si>
  <si>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</si>
  <si>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</si>
  <si>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</si>
  <si>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</si>
  <si>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</si>
  <si>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</si>
  <si>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</si>
  <si>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</si>
  <si>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</si>
  <si>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</si>
  <si>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</si>
  <si>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</si>
  <si>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</si>
  <si>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</si>
  <si>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</si>
  <si>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</si>
  <si>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</si>
  <si>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</si>
  <si>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</si>
  <si>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</si>
  <si>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</si>
  <si>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</si>
  <si>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</si>
  <si>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</si>
  <si>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</si>
  <si>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</si>
  <si>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</si>
  <si>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</si>
  <si>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</si>
  <si>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</si>
  <si>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</si>
  <si>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</si>
  <si>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</si>
  <si>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</si>
  <si>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</si>
  <si>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</si>
  <si>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</si>
  <si>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</si>
  <si>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</si>
  <si>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</si>
  <si>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</si>
  <si>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</si>
  <si>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</si>
  <si>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</si>
  <si>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</si>
  <si>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</si>
  <si>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</si>
  <si>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</si>
  <si>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</si>
  <si>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</si>
  <si>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</si>
  <si>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</si>
  <si>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</si>
  <si>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</si>
  <si>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</si>
  <si>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</si>
  <si>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</si>
  <si>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</si>
  <si>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</si>
  <si>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</si>
  <si>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</si>
  <si>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</si>
  <si>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</si>
  <si>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</si>
  <si>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</si>
  <si>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</si>
  <si>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</si>
  <si>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</si>
  <si>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</si>
  <si>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</si>
  <si>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</si>
  <si>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</si>
  <si>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</si>
  <si>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</si>
  <si>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</si>
  <si>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</si>
  <si>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</si>
  <si>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</si>
  <si>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</si>
  <si>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</si>
  <si>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</si>
  <si>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</si>
  <si>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</si>
  <si>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</si>
  <si>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</si>
  <si>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</si>
  <si>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</si>
  <si>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</si>
  <si>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</si>
  <si>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</si>
  <si>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</si>
  <si>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</si>
  <si>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</si>
  <si>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</si>
  <si>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</si>
  <si>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</si>
  <si>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</si>
  <si>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</si>
  <si>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</si>
  <si>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</si>
  <si>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</si>
  <si>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</si>
  <si>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</si>
  <si>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</si>
  <si>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</si>
  <si>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</si>
  <si>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</si>
  <si>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</si>
  <si>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</si>
  <si>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</si>
  <si>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</si>
  <si>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</si>
  <si>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</si>
  <si>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</si>
  <si>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</si>
  <si>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</si>
  <si>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</si>
  <si>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</si>
  <si>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</si>
  <si>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</si>
  <si>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</si>
  <si>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</si>
  <si>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</si>
  <si>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</si>
  <si>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</si>
  <si>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</si>
  <si>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</si>
  <si>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</si>
  <si>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</si>
  <si>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</si>
  <si>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</si>
  <si>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</si>
  <si>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</si>
  <si>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</si>
  <si>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</si>
  <si>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</si>
  <si>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</si>
  <si>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</si>
  <si>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</si>
  <si>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</si>
  <si>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</si>
  <si>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</si>
  <si>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</si>
  <si>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</si>
  <si>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</si>
  <si>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</si>
  <si>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</si>
  <si>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</si>
  <si>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</si>
  <si>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</si>
  <si>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</si>
  <si>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</si>
  <si>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</si>
  <si>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</si>
  <si>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</si>
  <si>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</si>
  <si>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</si>
  <si>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</si>
  <si>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</si>
  <si>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</si>
  <si>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</si>
  <si>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</si>
  <si>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</si>
  <si>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</si>
  <si>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</si>
  <si>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</si>
  <si>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</si>
  <si>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</si>
  <si>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</si>
  <si>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</si>
  <si>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</si>
  <si>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</si>
  <si>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</si>
  <si>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</si>
  <si>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</si>
  <si>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</si>
  <si>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</si>
  <si>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</si>
  <si>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</si>
  <si>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</si>
  <si>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</si>
  <si>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</si>
  <si>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</si>
  <si>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</si>
  <si>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</si>
  <si>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</si>
  <si>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</si>
  <si>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</si>
  <si>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</si>
  <si>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</si>
  <si>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</si>
  <si>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</si>
  <si>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</si>
  <si>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</si>
  <si>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</si>
  <si>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</si>
  <si>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</si>
  <si>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</si>
  <si>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</si>
  <si>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</si>
  <si>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</si>
  <si>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</si>
  <si>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</si>
  <si>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</si>
  <si>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</si>
  <si>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</si>
  <si>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</si>
  <si>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</si>
  <si>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</si>
  <si>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</si>
  <si>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</si>
  <si>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</si>
  <si>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</si>
  <si>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</si>
  <si>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</si>
  <si>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</si>
  <si>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</si>
  <si>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</si>
  <si>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</si>
  <si>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</si>
  <si>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</si>
  <si>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</si>
  <si>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</si>
  <si>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</si>
  <si>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</si>
  <si>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</si>
  <si>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</si>
  <si>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</si>
  <si>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</si>
  <si>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</si>
  <si>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</si>
  <si>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</si>
  <si>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</si>
  <si>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</si>
  <si>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</si>
  <si>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</si>
  <si>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</si>
  <si>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</si>
  <si>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</si>
  <si>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</si>
  <si>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</si>
  <si>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</si>
  <si>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</si>
  <si>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</si>
  <si>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</si>
  <si>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</si>
  <si>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</si>
  <si>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</si>
  <si>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</si>
  <si>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</si>
  <si>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</si>
  <si>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</si>
  <si>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</si>
  <si>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</si>
  <si>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</si>
  <si>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</si>
  <si>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</si>
  <si>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</si>
  <si>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</si>
  <si>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</si>
  <si>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</si>
  <si>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</si>
  <si>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</si>
  <si>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</si>
  <si>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</si>
  <si>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</si>
  <si>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</si>
  <si>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</si>
  <si>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</si>
  <si>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</si>
  <si>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</si>
  <si>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</si>
  <si>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</si>
  <si>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</si>
  <si>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</si>
  <si>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</si>
  <si>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</si>
  <si>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</si>
  <si>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</si>
  <si>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</si>
  <si>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</si>
  <si>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</si>
  <si>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</si>
  <si>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</si>
  <si>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</si>
  <si>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</si>
  <si>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</si>
  <si>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</si>
  <si>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</si>
  <si>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</si>
  <si>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</si>
  <si>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</si>
  <si>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</si>
  <si>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</si>
  <si>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</si>
  <si>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</si>
  <si>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</si>
  <si>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</si>
  <si>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</si>
  <si>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</si>
  <si>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</si>
  <si>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</si>
  <si>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</si>
  <si>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</si>
  <si>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</si>
  <si>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</si>
  <si>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</si>
  <si>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</si>
  <si>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</si>
  <si>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</si>
  <si>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</si>
  <si>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</si>
  <si>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</si>
  <si>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</si>
  <si>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</si>
  <si>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</si>
  <si>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</si>
  <si>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</si>
  <si>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</si>
  <si>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</si>
  <si>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</si>
  <si>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</si>
  <si>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</si>
  <si>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</si>
  <si>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</si>
  <si>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</si>
  <si>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</si>
  <si>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</si>
  <si>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</si>
  <si>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</si>
  <si>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</si>
  <si>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</si>
  <si>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</si>
  <si>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</si>
  <si>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</si>
  <si>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</si>
  <si>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</si>
  <si>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</si>
  <si>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</si>
  <si>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</si>
  <si>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</si>
  <si>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</si>
  <si>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</si>
  <si>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</si>
  <si>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</si>
  <si>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</si>
  <si>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</si>
  <si>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</si>
  <si>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</si>
  <si>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</si>
  <si>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</si>
  <si>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</si>
  <si>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</si>
  <si>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</si>
  <si>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</si>
  <si>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</si>
  <si>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</si>
  <si>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</si>
  <si>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</si>
  <si>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</si>
  <si>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</si>
  <si>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</si>
  <si>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</si>
  <si>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</si>
  <si>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</si>
  <si>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</si>
  <si>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</si>
  <si>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</si>
  <si>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</si>
  <si>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</si>
  <si>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</si>
  <si>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</si>
  <si>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</si>
  <si>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</si>
  <si>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</si>
  <si>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</si>
  <si>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</si>
  <si>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</si>
  <si>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</si>
  <si>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</si>
  <si>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</si>
  <si>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</si>
  <si>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</si>
  <si>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</si>
  <si>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</si>
  <si>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</si>
  <si>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</si>
  <si>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</si>
  <si>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</si>
  <si>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</si>
  <si>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</si>
  <si>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</si>
  <si>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</si>
  <si>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</si>
  <si>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</si>
  <si>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</si>
  <si>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</si>
  <si>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</si>
  <si>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</si>
  <si>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</si>
  <si>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</si>
  <si>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</si>
  <si>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</si>
  <si>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</si>
  <si>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</si>
  <si>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</si>
  <si>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</si>
  <si>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</si>
  <si>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</si>
  <si>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</si>
  <si>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</si>
  <si>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</si>
  <si>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</si>
  <si>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</si>
  <si>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</si>
  <si>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</si>
  <si>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</si>
  <si>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</si>
  <si>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</si>
  <si>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</si>
  <si>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</si>
  <si>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</si>
  <si>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</si>
  <si>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</si>
  <si>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</si>
  <si>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</si>
  <si>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</si>
  <si>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</si>
  <si>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</si>
  <si>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</si>
  <si>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</si>
  <si>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</si>
  <si>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</si>
  <si>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</si>
  <si>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</si>
  <si>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</si>
  <si>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</si>
  <si>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</si>
  <si>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</si>
  <si>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</si>
  <si>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</si>
  <si>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</si>
  <si>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</si>
  <si>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</si>
  <si>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</si>
  <si>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</si>
  <si>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</si>
  <si>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</si>
  <si>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</si>
  <si>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</si>
  <si>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</si>
  <si>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</si>
  <si>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</si>
  <si>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</si>
  <si>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</si>
  <si>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</si>
  <si>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</si>
  <si>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</si>
  <si>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</si>
  <si>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</si>
  <si>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</si>
  <si>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</si>
  <si>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</si>
  <si>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</si>
  <si>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</si>
  <si>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</si>
  <si>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</si>
  <si>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</si>
  <si>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</si>
  <si>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</si>
  <si>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</si>
  <si>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</si>
  <si>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</si>
  <si>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</si>
  <si>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</si>
  <si>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</si>
  <si>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</si>
  <si>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</si>
  <si>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</si>
  <si>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</si>
  <si>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</si>
  <si>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</si>
  <si>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</si>
  <si>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</si>
  <si>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</si>
  <si>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</si>
  <si>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</si>
  <si>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</si>
  <si>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</si>
  <si>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</si>
  <si>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</si>
  <si>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</si>
  <si>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</si>
  <si>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</si>
  <si>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</si>
  <si>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</si>
  <si>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</si>
  <si>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</si>
  <si>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</si>
  <si>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</si>
  <si>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</si>
  <si>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</si>
  <si>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</si>
  <si>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</si>
  <si>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</si>
  <si>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</si>
  <si>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</si>
  <si>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</si>
  <si>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</si>
  <si>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</si>
  <si>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</si>
  <si>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</si>
  <si>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</si>
  <si>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</si>
  <si>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</si>
  <si>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</si>
  <si>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</si>
  <si>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</si>
  <si>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</si>
  <si>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</si>
  <si>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</si>
  <si>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</si>
  <si>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</si>
  <si>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</si>
  <si>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</si>
  <si>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</si>
  <si>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</si>
  <si>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</si>
  <si>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</si>
  <si>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</si>
  <si>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</si>
  <si>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</si>
  <si>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</si>
  <si>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</si>
  <si>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</si>
  <si>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</si>
  <si>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</si>
  <si>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</si>
  <si>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</si>
  <si>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</si>
  <si>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</si>
  <si>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</si>
  <si>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</si>
  <si>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</si>
  <si>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</si>
  <si>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</si>
  <si>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</si>
  <si>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</si>
  <si>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</si>
  <si>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</si>
  <si>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</si>
  <si>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</si>
  <si>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</si>
  <si>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</si>
  <si>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</si>
  <si>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</si>
  <si>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</si>
  <si>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</si>
  <si>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</si>
  <si>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</si>
  <si>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</si>
  <si>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</si>
  <si>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</si>
  <si>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</si>
  <si>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</si>
  <si>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</si>
  <si>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</si>
  <si>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</si>
  <si>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</si>
  <si>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</si>
  <si>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</si>
  <si>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</si>
  <si>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</si>
  <si>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</si>
  <si>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</si>
  <si>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</si>
  <si>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</si>
  <si>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</si>
  <si>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</si>
  <si>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</si>
  <si>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</si>
  <si>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</si>
  <si>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</si>
  <si>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</si>
  <si>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</si>
  <si>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</si>
  <si>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</si>
  <si>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</si>
  <si>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</si>
  <si>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</si>
  <si>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</si>
  <si>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</si>
  <si>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</si>
  <si>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</si>
  <si>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</si>
  <si>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</si>
  <si>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</si>
  <si>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</si>
  <si>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</si>
  <si>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</si>
  <si>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</si>
  <si>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</si>
  <si>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</si>
  <si>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</si>
  <si>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</si>
  <si>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</si>
  <si>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</si>
  <si>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</si>
  <si>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</si>
  <si>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</si>
  <si>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</si>
  <si>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</si>
  <si>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</si>
  <si>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</si>
  <si>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</si>
  <si>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</si>
  <si>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</si>
  <si>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</si>
  <si>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</si>
  <si>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</si>
  <si>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</si>
  <si>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</si>
  <si>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</si>
  <si>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</si>
  <si>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</si>
  <si>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</si>
  <si>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</si>
  <si>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</si>
  <si>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</si>
  <si>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</si>
  <si>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</si>
  <si>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</si>
  <si>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</si>
  <si>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</si>
  <si>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</si>
  <si>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</si>
  <si>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</si>
  <si>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</si>
  <si>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</si>
  <si>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</si>
  <si>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</si>
  <si>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</si>
  <si>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</si>
  <si>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</si>
  <si>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</si>
  <si>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</si>
  <si>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</si>
  <si>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</si>
  <si>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</si>
  <si>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</si>
  <si>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</si>
  <si>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</si>
  <si>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</si>
  <si>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</si>
  <si>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</si>
  <si>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</si>
  <si>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</si>
  <si>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</si>
  <si>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</si>
  <si>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</si>
  <si>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</si>
  <si>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</si>
  <si>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</si>
  <si>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</si>
  <si>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</si>
  <si>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</si>
  <si>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</si>
  <si>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</si>
  <si>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</si>
  <si>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</si>
  <si>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</si>
  <si>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</si>
  <si>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</si>
  <si>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</si>
  <si>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</si>
  <si>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</si>
  <si>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</si>
  <si>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</si>
  <si>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</si>
  <si>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</si>
  <si>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</si>
  <si>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</si>
  <si>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</si>
  <si>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</si>
  <si>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</si>
  <si>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</si>
  <si>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</si>
  <si>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</si>
  <si>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</si>
  <si>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</si>
  <si>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</si>
  <si>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</si>
  <si>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</si>
  <si>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</si>
  <si>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</si>
  <si>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</si>
  <si>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</si>
  <si>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</si>
  <si>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</si>
  <si>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</si>
  <si>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</si>
  <si>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</si>
  <si>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</si>
  <si>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</si>
  <si>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</si>
  <si>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</si>
  <si>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</si>
  <si>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</si>
  <si>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</si>
  <si>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</si>
  <si>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</si>
  <si>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</si>
  <si>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</si>
  <si>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</si>
  <si>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</si>
  <si>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</si>
  <si>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</si>
  <si>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</si>
  <si>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</si>
  <si>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</si>
  <si>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</si>
  <si>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</si>
  <si>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</si>
  <si>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</si>
  <si>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</si>
  <si>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</si>
  <si>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</si>
  <si>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</si>
  <si>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</si>
  <si>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</si>
  <si>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</si>
  <si>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</si>
  <si>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</si>
  <si>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</si>
  <si>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</si>
  <si>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</si>
  <si>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</si>
  <si>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</si>
  <si>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</si>
  <si>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</si>
  <si>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</si>
  <si>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</si>
  <si>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</si>
  <si>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</si>
  <si>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</si>
  <si>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</si>
  <si>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</si>
  <si>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</si>
  <si>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</si>
  <si>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</si>
  <si>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</si>
  <si>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</si>
  <si>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</si>
  <si>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</si>
  <si>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</si>
  <si>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</si>
  <si>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</si>
  <si>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</si>
  <si>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</si>
  <si>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</si>
  <si>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</si>
  <si>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</si>
  <si>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</si>
  <si>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</si>
  <si>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</si>
  <si>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</si>
  <si>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</si>
  <si>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</si>
  <si>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</si>
  <si>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</si>
  <si>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</si>
  <si>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</si>
  <si>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</si>
  <si>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</si>
  <si>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</si>
  <si>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</si>
  <si>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</si>
  <si>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</si>
  <si>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</si>
  <si>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</si>
  <si>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</si>
  <si>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</si>
  <si>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</si>
  <si>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</si>
  <si>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</si>
  <si>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</si>
  <si>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</si>
  <si>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</si>
  <si>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</si>
  <si>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</si>
  <si>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</si>
  <si>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</si>
  <si>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</si>
  <si>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</si>
  <si>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</si>
  <si>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</si>
  <si>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</si>
  <si>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</si>
  <si>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</si>
  <si>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</si>
  <si>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</si>
  <si>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</si>
  <si>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</si>
  <si>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</si>
  <si>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</si>
  <si>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</si>
  <si>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</si>
  <si>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</si>
  <si>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</si>
  <si>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</si>
  <si>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</si>
  <si>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</si>
  <si>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</si>
  <si>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</si>
  <si>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</si>
  <si>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</si>
  <si>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</si>
  <si>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</si>
  <si>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</si>
  <si>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</si>
  <si>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</si>
  <si>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</si>
  <si>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</si>
  <si>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</si>
  <si>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</si>
  <si>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</si>
  <si>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</si>
  <si>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</si>
  <si>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</si>
  <si>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</si>
  <si>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</si>
  <si>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</si>
  <si>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</si>
  <si>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</si>
  <si>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</si>
  <si>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</si>
  <si>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</si>
  <si>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</si>
  <si>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</si>
  <si>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</si>
  <si>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</si>
  <si>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</si>
  <si>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</si>
  <si>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</si>
  <si>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</si>
  <si>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</si>
  <si>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</si>
  <si>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</si>
  <si>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</si>
  <si>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</si>
  <si>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</si>
  <si>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</si>
  <si>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</si>
  <si>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</si>
  <si>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</si>
  <si>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</si>
  <si>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</si>
  <si>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</si>
  <si>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</si>
  <si>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</si>
  <si>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</si>
  <si>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</si>
  <si>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</si>
  <si>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</si>
  <si>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</si>
  <si>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</si>
  <si>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</si>
  <si>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</si>
  <si>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</si>
  <si>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</si>
  <si>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</si>
  <si>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</si>
  <si>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</si>
  <si>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</si>
  <si>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</si>
  <si>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</si>
  <si>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</si>
  <si>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</si>
  <si>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</si>
  <si>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</si>
  <si>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</si>
  <si>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</si>
  <si>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</si>
  <si>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</si>
  <si>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</si>
  <si>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</si>
  <si>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</si>
  <si>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</si>
  <si>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</si>
  <si>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</si>
  <si>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</si>
  <si>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</si>
  <si>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</si>
  <si>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</si>
  <si>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</si>
  <si>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</si>
  <si>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</si>
  <si>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</si>
  <si>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</si>
  <si>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</si>
  <si>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</si>
  <si>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</si>
  <si>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</si>
  <si>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</si>
  <si>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</si>
  <si>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</si>
  <si>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</si>
  <si>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</si>
  <si>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</si>
  <si>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</si>
  <si>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</si>
  <si>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</si>
  <si>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</si>
  <si>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</si>
  <si>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</si>
  <si>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</si>
  <si>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</si>
  <si>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</si>
  <si>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</si>
  <si>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</si>
  <si>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</si>
  <si>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</si>
  <si>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</si>
  <si>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</si>
  <si>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</si>
  <si>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</si>
  <si>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</si>
  <si>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</si>
  <si>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</si>
  <si>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</si>
  <si>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</si>
  <si>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</si>
  <si>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</si>
  <si>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</si>
  <si>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</si>
  <si>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</si>
  <si>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</si>
  <si>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</si>
  <si>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</si>
  <si>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</si>
  <si>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</si>
  <si>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</si>
  <si>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</si>
  <si>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</si>
  <si>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</si>
  <si>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</si>
  <si>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</si>
  <si>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</si>
  <si>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</si>
  <si>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</si>
  <si>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</si>
  <si>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</si>
  <si>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</si>
  <si>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</si>
  <si>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</si>
  <si>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</si>
  <si>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</si>
  <si>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</si>
  <si>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</si>
  <si>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</si>
  <si>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</si>
  <si>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</si>
  <si>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</si>
  <si>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</si>
  <si>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</si>
  <si>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</si>
  <si>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</si>
  <si>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</si>
  <si>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</si>
  <si>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</si>
  <si>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</si>
  <si>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</si>
  <si>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</si>
  <si>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</si>
  <si>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</si>
  <si>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</si>
  <si>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</si>
  <si>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</si>
  <si>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</si>
  <si>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</si>
  <si>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</si>
  <si>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</si>
  <si>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</si>
  <si>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</si>
  <si>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</si>
  <si>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</si>
  <si>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</si>
  <si>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</si>
  <si>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</si>
  <si>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</si>
  <si>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</si>
  <si>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</si>
  <si>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</si>
  <si>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</si>
  <si>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</si>
  <si>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</si>
  <si>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</si>
  <si>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</si>
  <si>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</si>
  <si>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</si>
  <si>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</si>
  <si>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</si>
  <si>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</si>
  <si>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</si>
  <si>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</si>
  <si>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</si>
  <si>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</si>
  <si>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</si>
  <si>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</si>
  <si>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</si>
  <si>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</si>
  <si>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</si>
  <si>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</si>
  <si>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</si>
  <si>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</si>
  <si>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</si>
  <si>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</si>
  <si>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</si>
  <si>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</si>
  <si>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</si>
  <si>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</si>
  <si>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</si>
  <si>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</si>
  <si>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</si>
  <si>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</si>
  <si>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</si>
  <si>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</si>
  <si>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</si>
  <si>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</si>
  <si>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</si>
  <si>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</si>
  <si>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</si>
  <si>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</si>
  <si>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</si>
  <si>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</si>
  <si>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</si>
  <si>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</si>
  <si>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</si>
  <si>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</si>
  <si>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</si>
  <si>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</si>
  <si>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</si>
  <si>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</si>
  <si>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</si>
  <si>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</si>
  <si>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</si>
  <si>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</si>
  <si>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</si>
  <si>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</si>
  <si>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</si>
  <si>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</si>
  <si>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</si>
  <si>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</si>
  <si>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</si>
  <si>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</si>
  <si>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</si>
  <si>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</si>
  <si>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</si>
  <si>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</si>
  <si>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</si>
  <si>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</si>
  <si>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</si>
  <si>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</si>
  <si>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</si>
  <si>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</si>
  <si>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</si>
  <si>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</si>
  <si>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</si>
  <si>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</si>
  <si>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</si>
  <si>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</si>
  <si>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</si>
  <si>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</si>
  <si>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</si>
  <si>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</si>
  <si>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</si>
  <si>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</si>
  <si>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</si>
  <si>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</si>
  <si>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</si>
  <si>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</si>
  <si>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</si>
  <si>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</si>
  <si>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</si>
  <si>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</si>
  <si>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</si>
  <si>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</si>
  <si>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</si>
  <si>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</si>
  <si>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</si>
  <si>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</si>
  <si>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</si>
  <si>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</si>
  <si>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</si>
  <si>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</si>
  <si>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</si>
  <si>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</si>
  <si>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</si>
  <si>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</si>
  <si>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</si>
  <si>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</si>
  <si>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</si>
  <si>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</si>
  <si>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</si>
  <si>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</si>
  <si>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</si>
  <si>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</si>
  <si>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</si>
  <si>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</si>
  <si>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</si>
  <si>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</si>
  <si>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</si>
  <si>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</si>
  <si>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</si>
  <si>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</si>
  <si>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</si>
  <si>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</si>
  <si>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</si>
  <si>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</si>
  <si>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</si>
  <si>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</si>
  <si>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</si>
  <si>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</si>
  <si>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</si>
  <si>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</si>
  <si>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</si>
  <si>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</si>
  <si>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</si>
  <si>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</si>
  <si>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</si>
  <si>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</si>
  <si>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</si>
  <si>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</si>
  <si>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</si>
  <si>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</si>
  <si>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</si>
  <si>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</si>
  <si>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</si>
  <si>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</si>
  <si>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</si>
  <si>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</si>
  <si>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</si>
  <si>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</si>
  <si>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</si>
  <si>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</si>
  <si>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</si>
  <si>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</si>
  <si>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</si>
  <si>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</si>
  <si>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</si>
  <si>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</si>
  <si>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</si>
  <si>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</si>
  <si>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</si>
  <si>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</si>
  <si>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</si>
  <si>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</si>
  <si>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</si>
  <si>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</si>
  <si>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</si>
  <si>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</si>
  <si>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</si>
  <si>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</si>
  <si>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</si>
  <si>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</si>
  <si>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</si>
  <si>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</si>
  <si>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</si>
  <si>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</si>
  <si>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</si>
  <si>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</si>
  <si>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</si>
  <si>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</si>
  <si>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</si>
  <si>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</si>
  <si>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</si>
  <si>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</si>
  <si>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</si>
  <si>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</si>
  <si>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</si>
  <si>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</si>
  <si>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</si>
  <si>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</si>
  <si>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</si>
  <si>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</si>
  <si>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</si>
  <si>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</si>
  <si>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</si>
  <si>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</si>
  <si>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</si>
  <si>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</si>
  <si>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</si>
  <si>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</si>
  <si>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</si>
  <si>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</si>
  <si>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</si>
  <si>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</si>
  <si>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</si>
  <si>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</si>
  <si>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</si>
  <si>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</si>
  <si>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</si>
  <si>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</si>
  <si>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</si>
  <si>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</si>
  <si>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</si>
  <si>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</si>
  <si>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</si>
  <si>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</si>
  <si>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</si>
  <si>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</si>
  <si>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</si>
  <si>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</si>
  <si>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</si>
  <si>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</si>
  <si>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</si>
  <si>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</si>
  <si>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</si>
  <si>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</si>
  <si>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</si>
  <si>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</si>
  <si>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</si>
  <si>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</si>
  <si>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</si>
  <si>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</si>
  <si>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</si>
  <si>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</si>
  <si>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</si>
  <si>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</si>
  <si>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</si>
  <si>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</si>
  <si>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</si>
  <si>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</si>
  <si>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</si>
  <si>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</si>
  <si>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</si>
  <si>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</si>
  <si>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</si>
  <si>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</si>
  <si>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</si>
  <si>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</si>
  <si>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</si>
  <si>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</si>
  <si>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</si>
  <si>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</si>
  <si>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</si>
  <si>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</si>
  <si>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</si>
  <si>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</si>
  <si>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</si>
  <si>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</si>
  <si>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</si>
  <si>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</si>
  <si>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</si>
  <si>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</si>
  <si>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</si>
  <si>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</si>
  <si>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</si>
  <si>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</si>
  <si>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</si>
  <si>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</si>
  <si>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</si>
  <si>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</si>
  <si>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</si>
  <si>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</si>
  <si>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</si>
  <si>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</si>
  <si>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</si>
  <si>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</si>
  <si>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</si>
  <si>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</si>
  <si>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</si>
  <si>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</si>
  <si>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</si>
  <si>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</si>
  <si>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</si>
  <si>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</si>
  <si>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</si>
  <si>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</si>
  <si>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</si>
  <si>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</si>
  <si>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</si>
  <si>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</si>
  <si>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</si>
  <si>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</si>
  <si>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</si>
  <si>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</si>
  <si>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</si>
  <si>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</si>
  <si>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</si>
  <si>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</si>
  <si>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</si>
  <si>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</si>
  <si>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</si>
  <si>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</si>
  <si>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</si>
  <si>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</si>
  <si>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</si>
  <si>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</si>
  <si>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</si>
  <si>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</si>
  <si>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</si>
  <si>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</si>
  <si>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</si>
  <si>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</si>
  <si>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</si>
  <si>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</si>
  <si>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</si>
  <si>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</si>
  <si>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</si>
  <si>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</si>
  <si>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</si>
  <si>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</si>
  <si>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</si>
  <si>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</si>
  <si>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</si>
  <si>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</si>
  <si>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</si>
  <si>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</si>
  <si>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</si>
  <si>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</si>
  <si>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</si>
  <si>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</si>
  <si>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</si>
  <si>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</si>
  <si>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</si>
  <si>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</si>
  <si>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</si>
  <si>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</si>
  <si>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</si>
  <si>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</si>
  <si>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</si>
  <si>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</si>
  <si>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</si>
  <si>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</si>
  <si>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</si>
  <si>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</si>
  <si>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</si>
  <si>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</si>
  <si>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</si>
  <si>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</si>
  <si>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</si>
  <si>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</si>
  <si>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</si>
  <si>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</si>
  <si>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</si>
  <si>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</si>
  <si>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</si>
  <si>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</si>
  <si>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</si>
  <si>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</si>
  <si>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</si>
  <si>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</si>
  <si>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</si>
  <si>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</si>
  <si>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</si>
  <si>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</si>
  <si>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</si>
  <si>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</si>
  <si>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</si>
  <si>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</si>
  <si>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</si>
  <si>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</si>
  <si>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</si>
  <si>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</si>
  <si>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</si>
  <si>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</si>
  <si>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</si>
  <si>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</si>
  <si>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</si>
  <si>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</si>
  <si>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</si>
  <si>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</si>
  <si>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</si>
  <si>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</si>
  <si>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</si>
  <si>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</si>
  <si>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</si>
  <si>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</si>
  <si>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</si>
  <si>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</si>
  <si>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</si>
  <si>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</si>
  <si>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</si>
  <si>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</si>
  <si>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</si>
  <si>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</si>
  <si>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</si>
  <si>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</si>
  <si>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</si>
  <si>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</si>
  <si>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</si>
  <si>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</si>
  <si>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</si>
  <si>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</si>
  <si>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</si>
  <si>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</si>
  <si>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</si>
  <si>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</si>
  <si>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</si>
  <si>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</si>
  <si>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</si>
  <si>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</si>
  <si>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</si>
  <si>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</si>
  <si>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</si>
  <si>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</si>
  <si>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</si>
  <si>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</si>
  <si>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</si>
  <si>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</si>
  <si>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</si>
  <si>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</si>
  <si>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</si>
  <si>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</si>
  <si>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</si>
  <si>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</si>
  <si>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</si>
  <si>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</si>
  <si>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</si>
  <si>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</si>
  <si>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</si>
  <si>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</si>
  <si>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</si>
  <si>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</si>
  <si>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</si>
  <si>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</si>
  <si>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</si>
  <si>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</si>
  <si>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</si>
  <si>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</si>
  <si>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</si>
  <si>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</si>
  <si>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</si>
  <si>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</si>
  <si>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</si>
  <si>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</si>
  <si>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</si>
  <si>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</si>
  <si>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</si>
  <si>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</si>
  <si>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</si>
  <si>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</si>
  <si>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</si>
  <si>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</si>
  <si>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</si>
  <si>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</si>
  <si>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</si>
  <si>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</si>
  <si>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</si>
  <si>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</si>
  <si>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</si>
  <si>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</si>
  <si>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</si>
  <si>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</si>
  <si>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</si>
  <si>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</si>
  <si>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</si>
  <si>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</si>
  <si>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</si>
  <si>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</si>
  <si>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</si>
  <si>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</si>
  <si>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</si>
  <si>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</si>
  <si>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</si>
  <si>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</si>
  <si>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</si>
  <si>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</si>
  <si>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</si>
  <si>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</si>
  <si>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</si>
  <si>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</si>
  <si>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</si>
  <si>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</si>
  <si>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</si>
  <si>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</si>
  <si>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</si>
  <si>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</si>
  <si>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</si>
  <si>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</si>
  <si>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</si>
  <si>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</si>
  <si>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</si>
  <si>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</si>
  <si>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</si>
  <si>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</si>
  <si>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</si>
  <si>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</si>
  <si>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</si>
  <si>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</si>
  <si>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</si>
  <si>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</si>
  <si>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</si>
  <si>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</si>
  <si>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</si>
  <si>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</si>
  <si>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</si>
  <si>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</si>
  <si>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</si>
  <si>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</si>
  <si>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</si>
  <si>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</si>
  <si>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</si>
  <si>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</si>
  <si>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</si>
  <si>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</si>
  <si>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</si>
  <si>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</si>
  <si>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</si>
  <si>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</si>
  <si>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</si>
  <si>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</si>
  <si>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</si>
  <si>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</si>
  <si>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</si>
  <si>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</si>
  <si>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</si>
  <si>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</si>
  <si>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</si>
  <si>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</si>
  <si>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</si>
  <si>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</si>
  <si>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</si>
  <si>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</si>
  <si>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</si>
  <si>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</si>
  <si>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</si>
  <si>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</si>
  <si>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</si>
  <si>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</si>
  <si>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</si>
  <si>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</si>
  <si>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</si>
  <si>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</si>
  <si>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</si>
  <si>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</si>
  <si>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</si>
  <si>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</si>
  <si>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</si>
  <si>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</si>
  <si>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</si>
  <si>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</si>
  <si>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</si>
  <si>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</si>
  <si>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</si>
  <si>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</si>
  <si>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</si>
  <si>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</si>
  <si>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</si>
  <si>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</si>
  <si>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</si>
  <si>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</si>
  <si>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</si>
  <si>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</si>
  <si>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</si>
  <si>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</si>
  <si>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</si>
  <si>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</si>
  <si>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</si>
  <si>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</si>
  <si>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</si>
  <si>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</si>
  <si>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</si>
  <si>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</si>
  <si>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</si>
  <si>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</si>
  <si>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</si>
  <si>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</si>
  <si>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</si>
  <si>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</si>
  <si>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</si>
  <si>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</si>
  <si>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</si>
  <si>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</si>
  <si>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</si>
  <si>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</si>
  <si>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</si>
  <si>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</si>
  <si>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</si>
  <si>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</si>
  <si>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</si>
  <si>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</si>
  <si>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</si>
  <si>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</si>
  <si>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</si>
  <si>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</si>
  <si>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</si>
  <si>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</si>
  <si>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</si>
  <si>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</si>
  <si>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</si>
  <si>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</si>
  <si>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</si>
  <si>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</si>
  <si>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</si>
  <si>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</si>
  <si>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</si>
  <si>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</si>
  <si>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</si>
  <si>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</si>
  <si>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</si>
  <si>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</si>
  <si>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</si>
  <si>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</si>
  <si>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</si>
  <si>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</si>
  <si>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</si>
  <si>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</si>
  <si>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</si>
  <si>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</si>
  <si>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</si>
  <si>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</si>
  <si>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</si>
  <si>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</si>
  <si>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</si>
  <si>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</si>
  <si>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</si>
  <si>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</si>
  <si>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</si>
  <si>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</si>
  <si>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</si>
  <si>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</si>
  <si>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</si>
  <si>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</si>
  <si>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</si>
  <si>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</si>
  <si>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</si>
  <si>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</si>
  <si>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</si>
  <si>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</si>
  <si>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</si>
  <si>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</si>
  <si>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</si>
  <si>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</si>
  <si>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</si>
  <si>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</si>
  <si>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</si>
  <si>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</si>
  <si>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</si>
  <si>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</si>
  <si>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</si>
  <si>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</si>
  <si>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</si>
  <si>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</si>
  <si>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</si>
  <si>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</si>
  <si>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</si>
  <si>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</si>
  <si>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</si>
  <si>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</si>
  <si>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</si>
  <si>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</si>
  <si>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</si>
  <si>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</si>
  <si>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</si>
  <si>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</si>
  <si>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</si>
  <si>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</si>
  <si>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</si>
  <si>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</si>
  <si>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</si>
  <si>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</si>
  <si>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</si>
  <si>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</si>
  <si>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</si>
  <si>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</si>
  <si>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</si>
  <si>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</si>
  <si>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</si>
  <si>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</si>
  <si>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</si>
  <si>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</si>
  <si>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</si>
  <si>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</si>
  <si>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</si>
  <si>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</si>
  <si>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</si>
  <si>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</si>
  <si>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</si>
  <si>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</si>
  <si>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</si>
  <si>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</si>
  <si>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</si>
  <si>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</si>
  <si>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</si>
  <si>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</si>
  <si>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</si>
  <si>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</si>
  <si>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</si>
  <si>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</si>
  <si>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</si>
  <si>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</si>
  <si>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</si>
  <si>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</si>
  <si>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</si>
  <si>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</si>
  <si>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</si>
  <si>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</si>
  <si>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</si>
  <si>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</si>
  <si>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</si>
  <si>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</si>
  <si>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</si>
  <si>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</si>
  <si>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</si>
  <si>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</si>
  <si>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</si>
  <si>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</si>
  <si>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</si>
  <si>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</si>
  <si>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</si>
  <si>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</si>
  <si>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</si>
  <si>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</si>
  <si>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</si>
  <si>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</si>
  <si>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</si>
  <si>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</si>
  <si>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</si>
  <si>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</si>
  <si>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</si>
  <si>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</si>
  <si>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</si>
  <si>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</si>
  <si>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</si>
  <si>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</si>
  <si>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</si>
  <si>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</si>
  <si>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</si>
  <si>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</si>
  <si>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</si>
  <si>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</si>
  <si>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</si>
  <si>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</si>
  <si>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</si>
  <si>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</si>
  <si>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</si>
  <si>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</si>
  <si>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</si>
  <si>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</si>
  <si>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</si>
  <si>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</si>
  <si>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</si>
  <si>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</si>
  <si>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</si>
  <si>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</si>
  <si>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</si>
  <si>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</si>
  <si>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</si>
  <si>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</si>
  <si>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</si>
  <si>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</si>
  <si>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</si>
  <si>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</si>
  <si>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</si>
  <si>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</si>
  <si>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</si>
  <si>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</si>
  <si>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</si>
  <si>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</si>
  <si>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</si>
  <si>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</si>
  <si>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</si>
  <si>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</si>
  <si>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</si>
  <si>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</si>
  <si>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</si>
  <si>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</si>
  <si>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</si>
  <si>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</si>
  <si>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</si>
  <si>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</si>
  <si>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</si>
  <si>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</si>
  <si>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</si>
  <si>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</si>
  <si>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</si>
  <si>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</si>
  <si>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</si>
  <si>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</si>
  <si>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</si>
  <si>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</si>
  <si>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</si>
  <si>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</si>
  <si>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</si>
  <si>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</si>
  <si>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</si>
  <si>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</si>
  <si>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</si>
  <si>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</si>
  <si>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</si>
  <si>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</si>
  <si>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</si>
  <si>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</si>
  <si>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</si>
  <si>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</si>
  <si>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</si>
  <si>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</si>
  <si>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</si>
  <si>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</si>
  <si>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</si>
  <si>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</si>
  <si>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</si>
  <si>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</si>
  <si>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</si>
  <si>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</si>
  <si>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</si>
  <si>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</si>
  <si>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</si>
  <si>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</si>
  <si>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</si>
  <si>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</si>
  <si>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</si>
  <si>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</si>
  <si>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</si>
  <si>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</si>
  <si>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</si>
  <si>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</si>
  <si>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</si>
  <si>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</si>
  <si>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</si>
  <si>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</si>
  <si>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</si>
  <si>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</si>
  <si>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</si>
  <si>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</si>
  <si>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</si>
  <si>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</si>
  <si>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</si>
  <si>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</si>
  <si>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</si>
  <si>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</si>
  <si>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</si>
  <si>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</si>
  <si>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</si>
  <si>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</si>
  <si>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</si>
  <si>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</si>
  <si>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</si>
  <si>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</si>
  <si>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</si>
  <si>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</si>
  <si>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</si>
  <si>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</si>
  <si>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</si>
  <si>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</si>
  <si>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</si>
  <si>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</si>
  <si>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</si>
  <si>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</si>
  <si>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</si>
  <si>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</si>
  <si>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</si>
  <si>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</si>
  <si>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</si>
  <si>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</si>
  <si>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</si>
  <si>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</si>
  <si>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</si>
  <si>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</si>
  <si>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</si>
  <si>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</si>
  <si>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</si>
  <si>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</si>
  <si>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</si>
  <si>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</si>
  <si>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</si>
  <si>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</si>
  <si>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</si>
  <si>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</si>
  <si>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</si>
  <si>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</si>
  <si>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</si>
  <si>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</si>
  <si>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</si>
  <si>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</si>
  <si>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</si>
  <si>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</si>
  <si>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</si>
  <si>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</si>
  <si>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</si>
  <si>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</si>
  <si>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</si>
  <si>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</si>
  <si>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</si>
  <si>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</si>
  <si>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</si>
  <si>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</si>
  <si>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</si>
  <si>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</si>
  <si>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</si>
  <si>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</si>
  <si>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</si>
  <si>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</si>
  <si>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</si>
  <si>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</si>
  <si>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</si>
  <si>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</si>
  <si>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</si>
  <si>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</si>
  <si>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</si>
  <si>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</si>
  <si>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</si>
  <si>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</si>
  <si>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</si>
  <si>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</si>
  <si>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</si>
  <si>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</si>
  <si>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</si>
  <si>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</si>
  <si>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</si>
  <si>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</si>
  <si>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</si>
  <si>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</si>
  <si>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</si>
  <si>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</si>
  <si>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</si>
  <si>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</si>
  <si>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</si>
  <si>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</si>
  <si>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</si>
  <si>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</si>
  <si>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</si>
  <si>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</si>
  <si>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</si>
  <si>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</si>
  <si>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</si>
  <si>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</si>
  <si>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</si>
  <si>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</si>
  <si>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</si>
  <si>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</si>
  <si>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</si>
  <si>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</si>
  <si>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</si>
  <si>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</si>
  <si>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</si>
  <si>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</si>
  <si>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</si>
  <si>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</si>
  <si>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</si>
  <si>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</si>
  <si>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</si>
  <si>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</si>
  <si>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</si>
  <si>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</si>
  <si>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</si>
  <si>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</si>
  <si>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</si>
  <si>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</si>
  <si>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</si>
  <si>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</si>
  <si>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</si>
  <si>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</si>
  <si>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</si>
  <si>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</si>
  <si>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</si>
  <si>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</si>
  <si>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</si>
  <si>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</si>
  <si>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</si>
  <si>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</si>
  <si>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</si>
  <si>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</si>
  <si>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</si>
  <si>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</si>
  <si>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</si>
  <si>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</si>
  <si>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</si>
  <si>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</si>
  <si>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</si>
  <si>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</si>
  <si>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</si>
  <si>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</si>
  <si>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</si>
  <si>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</si>
  <si>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</si>
  <si>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</si>
  <si>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</si>
  <si>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</si>
  <si>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</si>
  <si>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</si>
  <si>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</si>
  <si>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</si>
  <si>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</si>
  <si>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</si>
  <si>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</si>
  <si>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</si>
  <si>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</si>
  <si>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</si>
  <si>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</si>
  <si>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</si>
  <si>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</si>
  <si>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</si>
  <si>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</si>
  <si>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</si>
  <si>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</si>
  <si>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</si>
  <si>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</si>
  <si>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</si>
  <si>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</si>
  <si>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</si>
  <si>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</si>
  <si>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</si>
  <si>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</si>
  <si>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</si>
  <si>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</si>
  <si>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</si>
  <si>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</si>
  <si>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</si>
  <si>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</si>
  <si>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</si>
  <si>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</si>
  <si>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</si>
  <si>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</si>
  <si>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</si>
  <si>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</si>
  <si>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</si>
  <si>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</si>
  <si>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</si>
  <si>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</si>
  <si>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</si>
  <si>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</si>
  <si>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</si>
  <si>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</si>
  <si>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</si>
  <si>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</si>
  <si>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</si>
  <si>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</si>
  <si>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</si>
  <si>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</si>
  <si>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</si>
  <si>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</si>
  <si>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</si>
  <si>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</si>
  <si>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</si>
  <si>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</si>
  <si>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</si>
  <si>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</si>
  <si>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</si>
  <si>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</si>
  <si>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</si>
  <si>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</si>
  <si>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</si>
  <si>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</si>
  <si>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</si>
  <si>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</si>
  <si>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</si>
  <si>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</si>
  <si>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</si>
  <si>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</si>
  <si>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</si>
  <si>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</si>
  <si>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</si>
  <si>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</si>
  <si>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</si>
  <si>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</si>
  <si>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</si>
  <si>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</si>
  <si>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</si>
  <si>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</si>
  <si>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</si>
  <si>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</si>
  <si>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</si>
  <si>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</si>
  <si>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</si>
  <si>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</si>
  <si>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</si>
  <si>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</si>
  <si>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</si>
  <si>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</si>
  <si>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</si>
  <si>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</si>
  <si>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</si>
  <si>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</si>
  <si>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</si>
  <si>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</si>
  <si>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</si>
  <si>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</si>
  <si>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</si>
  <si>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</si>
  <si>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</si>
  <si>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</si>
  <si>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</si>
  <si>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</si>
  <si>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</si>
  <si>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</si>
  <si>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</si>
  <si>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</si>
  <si>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</si>
  <si>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</si>
  <si>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</si>
  <si>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</si>
  <si>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</si>
  <si>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</si>
  <si>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</si>
  <si>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</si>
  <si>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</si>
  <si>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</si>
  <si>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</si>
  <si>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</si>
  <si>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</si>
  <si>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</si>
  <si>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</si>
  <si>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</si>
  <si>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</si>
  <si>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</si>
  <si>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</si>
  <si>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</si>
  <si>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</si>
  <si>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</si>
  <si>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</si>
  <si>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</si>
  <si>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</si>
  <si>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</si>
  <si>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</si>
  <si>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</si>
  <si>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</si>
  <si>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</si>
  <si>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</si>
  <si>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</si>
  <si>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</si>
  <si>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</si>
  <si>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</si>
  <si>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</si>
  <si>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</si>
  <si>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</si>
  <si>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</si>
  <si>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</si>
  <si>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</si>
  <si>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</si>
  <si>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</si>
  <si>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</si>
  <si>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</si>
  <si>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</si>
  <si>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</si>
  <si>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</si>
  <si>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</si>
  <si>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</si>
  <si>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</si>
  <si>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</si>
  <si>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</si>
  <si>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</si>
  <si>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</si>
  <si>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</si>
  <si>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</si>
  <si>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</si>
  <si>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</si>
  <si>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</si>
  <si>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</si>
  <si>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</si>
  <si>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</si>
  <si>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</si>
  <si>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</si>
  <si>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</si>
  <si>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</si>
  <si>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</si>
  <si>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</si>
  <si>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</si>
  <si>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</si>
  <si>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</si>
  <si>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</si>
  <si>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</si>
  <si>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</si>
  <si>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</si>
  <si>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</si>
  <si>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</si>
  <si>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</si>
  <si>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</si>
  <si>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</si>
  <si>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</si>
  <si>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</si>
  <si>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</si>
  <si>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</si>
  <si>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</si>
  <si>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</si>
  <si>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</si>
  <si>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</si>
  <si>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</si>
  <si>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</si>
  <si>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</si>
  <si>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</si>
  <si>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</si>
  <si>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</si>
  <si>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</si>
  <si>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</si>
  <si>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</si>
  <si>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</si>
  <si>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</si>
  <si>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</si>
  <si>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</si>
  <si>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</si>
  <si>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</si>
  <si>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</si>
  <si>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</si>
  <si>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</si>
  <si>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</si>
  <si>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</si>
  <si>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</si>
  <si>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</si>
  <si>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</si>
  <si>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</si>
  <si>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</si>
  <si>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</si>
  <si>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</si>
  <si>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</si>
  <si>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</si>
  <si>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</si>
  <si>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</si>
  <si>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</si>
  <si>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</si>
  <si>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</si>
  <si>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</si>
  <si>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</si>
  <si>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</si>
  <si>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</si>
  <si>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</si>
  <si>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</si>
  <si>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</si>
  <si>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</si>
  <si>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</si>
  <si>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</si>
  <si>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</si>
  <si>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</si>
  <si>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</si>
  <si>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</si>
  <si>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</si>
  <si>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</si>
  <si>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</si>
  <si>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</si>
  <si>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</si>
  <si>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</si>
  <si>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</si>
  <si>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</si>
  <si>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</si>
  <si>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</si>
  <si>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</si>
  <si>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</si>
  <si>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</si>
  <si>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</si>
  <si>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</si>
  <si>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</si>
  <si>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</si>
  <si>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</si>
  <si>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</si>
  <si>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</si>
  <si>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</si>
  <si>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</si>
  <si>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</si>
  <si>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</si>
  <si>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</si>
  <si>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</si>
  <si>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</si>
  <si>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</si>
  <si>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</si>
  <si>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</si>
  <si>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</si>
  <si>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</si>
  <si>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</si>
  <si>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</si>
  <si>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</si>
  <si>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</si>
  <si>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</si>
  <si>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</si>
  <si>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</si>
  <si>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</si>
  <si>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</si>
  <si>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</si>
  <si>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</si>
  <si>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</si>
  <si>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</si>
  <si>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</si>
  <si>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</si>
  <si>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</si>
  <si>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</si>
  <si>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</si>
  <si>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</si>
  <si>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</si>
  <si>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</si>
  <si>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</si>
  <si>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</si>
  <si>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</si>
  <si>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</si>
  <si>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</si>
  <si>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</si>
  <si>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</si>
  <si>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</si>
  <si>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</si>
  <si>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</si>
  <si>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</si>
  <si>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</si>
  <si>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</si>
  <si>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</si>
  <si>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</si>
  <si>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</si>
  <si>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</si>
  <si>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</si>
  <si>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</si>
  <si>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</si>
  <si>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</si>
  <si>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</si>
  <si>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</si>
  <si>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</si>
  <si>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</si>
  <si>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</si>
  <si>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</si>
  <si>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</si>
  <si>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</si>
  <si>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</si>
  <si>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</si>
  <si>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</si>
  <si>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</si>
  <si>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</si>
  <si>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</si>
  <si>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</si>
  <si>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</si>
  <si>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</si>
  <si>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</si>
  <si>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</si>
  <si>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</si>
  <si>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</si>
  <si>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</si>
  <si>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</si>
  <si>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</si>
  <si>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</si>
  <si>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</si>
  <si>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</si>
  <si>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</si>
  <si>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</si>
  <si>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</si>
  <si>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</si>
  <si>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</si>
  <si>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</si>
  <si>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</si>
  <si>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</si>
  <si>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</si>
  <si>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</si>
  <si>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</si>
  <si>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</si>
  <si>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</si>
  <si>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</si>
  <si>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</si>
  <si>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</si>
  <si>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</si>
  <si>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</si>
  <si>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</si>
  <si>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</si>
  <si>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</si>
  <si>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</si>
  <si>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</si>
  <si>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</si>
  <si>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</si>
  <si>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</si>
  <si>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</si>
  <si>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</si>
  <si>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</si>
  <si>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</si>
  <si>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</si>
  <si>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</si>
  <si>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</si>
  <si>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</si>
  <si>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</si>
  <si>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</si>
  <si>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</si>
  <si>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</si>
  <si>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</si>
  <si>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</si>
  <si>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</si>
  <si>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</si>
  <si>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</si>
  <si>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</si>
  <si>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</si>
  <si>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</si>
  <si>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</si>
  <si>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</si>
  <si>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</si>
  <si>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</si>
  <si>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</si>
  <si>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</si>
  <si>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</si>
  <si>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</si>
  <si>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</si>
  <si>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</si>
  <si>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</si>
  <si>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</si>
  <si>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</si>
  <si>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</si>
  <si>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</si>
  <si>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</si>
  <si>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</si>
  <si>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</si>
  <si>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</si>
  <si>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</si>
  <si>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</si>
  <si>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</si>
  <si>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</si>
  <si>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</si>
  <si>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</si>
  <si>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</si>
  <si>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</si>
  <si>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</si>
  <si>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</si>
  <si>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</si>
  <si>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</si>
  <si>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</si>
  <si>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</si>
  <si>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</si>
  <si>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</si>
  <si>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</si>
  <si>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</si>
  <si>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</si>
  <si>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</si>
  <si>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</si>
  <si>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</si>
  <si>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</si>
  <si>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</si>
  <si>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</si>
  <si>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</si>
  <si>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</si>
  <si>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</si>
  <si>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</si>
  <si>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</si>
  <si>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</si>
  <si>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</si>
  <si>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</si>
  <si>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</si>
  <si>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</si>
  <si>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</si>
  <si>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</si>
  <si>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</si>
  <si>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</si>
  <si>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</si>
  <si>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</si>
  <si>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</si>
  <si>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</si>
  <si>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</si>
  <si>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</si>
  <si>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</si>
  <si>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</si>
  <si>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</si>
  <si>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</si>
  <si>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</si>
  <si>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</si>
  <si>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</si>
  <si>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</si>
  <si>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</si>
  <si>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</si>
  <si>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</si>
  <si>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</si>
  <si>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</si>
  <si>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</si>
  <si>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</si>
  <si>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</si>
  <si>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</si>
  <si>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</si>
  <si>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</si>
  <si>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</si>
  <si>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</si>
  <si>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</si>
  <si>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</si>
  <si>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</si>
  <si>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</si>
  <si>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</si>
  <si>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</si>
  <si>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</si>
  <si>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</si>
  <si>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</si>
  <si>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</si>
  <si>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</si>
  <si>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</si>
  <si>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</si>
  <si>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</si>
  <si>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</si>
  <si>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</si>
  <si>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</si>
  <si>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</si>
  <si>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</si>
  <si>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</si>
  <si>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</si>
  <si>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</si>
  <si>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</si>
  <si>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</si>
  <si>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</si>
  <si>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</si>
  <si>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</si>
  <si>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</si>
  <si>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</si>
  <si>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</si>
  <si>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</si>
  <si>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</si>
  <si>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</si>
  <si>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</si>
  <si>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</si>
  <si>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</si>
  <si>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</si>
  <si>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</si>
  <si>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</si>
  <si>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</si>
  <si>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</si>
  <si>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</si>
  <si>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</si>
  <si>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</si>
  <si>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</si>
  <si>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</si>
  <si>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</si>
  <si>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</si>
  <si>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</si>
  <si>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</si>
  <si>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</si>
  <si>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</si>
  <si>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</si>
  <si>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</si>
  <si>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</si>
  <si>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</si>
  <si>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</si>
  <si>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</si>
  <si>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</si>
  <si>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</si>
  <si>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</si>
  <si>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</si>
  <si>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</si>
  <si>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</si>
  <si>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</si>
  <si>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</si>
  <si>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</si>
  <si>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</si>
  <si>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</si>
  <si>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</si>
  <si>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</si>
  <si>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</si>
  <si>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</si>
  <si>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</si>
  <si>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</si>
  <si>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</si>
  <si>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</si>
  <si>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</si>
  <si>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</si>
  <si>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</si>
  <si>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</si>
  <si>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</si>
  <si>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</si>
  <si>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</si>
  <si>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</si>
  <si>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</si>
  <si>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</si>
  <si>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</si>
  <si>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</si>
  <si>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</si>
  <si>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</si>
  <si>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</si>
  <si>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</si>
  <si>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</si>
  <si>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</si>
  <si>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</si>
  <si>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</si>
  <si>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</si>
  <si>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</si>
  <si>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</si>
  <si>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</si>
  <si>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</si>
  <si>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</si>
  <si>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</si>
  <si>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</si>
  <si>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</si>
  <si>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</si>
  <si>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</si>
  <si>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</si>
  <si>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</si>
  <si>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</si>
  <si>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</si>
  <si>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</si>
  <si>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</si>
  <si>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</si>
  <si>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</si>
  <si>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</si>
  <si>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</si>
  <si>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</si>
  <si>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</si>
  <si>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</si>
  <si>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</si>
  <si>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</si>
  <si>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</si>
  <si>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</si>
  <si>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</si>
  <si>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</si>
  <si>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</si>
  <si>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</si>
  <si>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</si>
  <si>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</si>
  <si>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</si>
  <si>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</si>
  <si>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</si>
  <si>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</si>
  <si>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</si>
  <si>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</si>
  <si>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</si>
  <si>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</si>
  <si>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</si>
  <si>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</si>
  <si>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</si>
  <si>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</si>
  <si>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</si>
  <si>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</si>
  <si>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</si>
  <si>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</si>
  <si>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</si>
  <si>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</si>
  <si>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</si>
  <si>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</si>
  <si>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</si>
  <si>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</si>
  <si>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</si>
  <si>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</si>
  <si>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</si>
  <si>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</si>
  <si>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</si>
  <si>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</si>
  <si>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</si>
  <si>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</si>
  <si>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</si>
  <si>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</si>
  <si>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</si>
  <si>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</si>
  <si>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</si>
  <si>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</si>
  <si>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</si>
  <si>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</si>
  <si>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</si>
  <si>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</si>
  <si>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</si>
  <si>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</si>
  <si>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</si>
  <si>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</si>
  <si>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</si>
  <si>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</si>
  <si>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</si>
  <si>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</si>
  <si>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</si>
  <si>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</si>
  <si>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</si>
  <si>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</si>
  <si>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</si>
  <si>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</si>
  <si>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</si>
  <si>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</si>
  <si>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</si>
  <si>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</si>
  <si>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</si>
  <si>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</si>
  <si>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</si>
  <si>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</si>
  <si>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</si>
  <si>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</si>
  <si>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</si>
  <si>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</si>
  <si>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</si>
  <si>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</si>
  <si>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</si>
  <si>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</si>
  <si>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</si>
  <si>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</si>
  <si>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</si>
  <si>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</si>
  <si>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</si>
  <si>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</si>
  <si>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</si>
  <si>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</si>
  <si>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</si>
  <si>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</si>
  <si>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</si>
  <si>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</si>
  <si>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</si>
  <si>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</si>
  <si>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</si>
  <si>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</si>
  <si>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</si>
  <si>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</si>
  <si>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</si>
  <si>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</si>
  <si>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</si>
  <si>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</si>
  <si>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</si>
  <si>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</si>
  <si>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</si>
  <si>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</si>
  <si>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</si>
  <si>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</si>
  <si>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</si>
  <si>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</si>
  <si>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</si>
  <si>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</si>
  <si>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</si>
  <si>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</si>
  <si>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</si>
  <si>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</si>
  <si>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</si>
  <si>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</si>
  <si>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</si>
  <si>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</si>
  <si>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</si>
  <si>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</si>
  <si>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</si>
  <si>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</si>
  <si>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</si>
  <si>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</si>
  <si>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</si>
  <si>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</si>
  <si>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</si>
  <si>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</si>
  <si>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</si>
  <si>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</si>
  <si>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</si>
  <si>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</si>
  <si>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</si>
  <si>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</si>
  <si>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</si>
  <si>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</si>
  <si>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</si>
  <si>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</si>
  <si>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</si>
  <si>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</si>
  <si>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</si>
  <si>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</si>
  <si>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</si>
  <si>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</si>
  <si>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</si>
  <si>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</si>
  <si>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</si>
  <si>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</si>
  <si>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</si>
  <si>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</si>
  <si>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</si>
  <si>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</si>
  <si>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</si>
  <si>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</si>
  <si>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</si>
  <si>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</si>
  <si>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</si>
  <si>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</si>
  <si>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</si>
  <si>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</si>
  <si>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</si>
  <si>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</si>
  <si>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</si>
  <si>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</si>
  <si>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</si>
  <si>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</si>
  <si>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</si>
  <si>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</si>
  <si>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</si>
  <si>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</si>
  <si>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</si>
  <si>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</si>
  <si>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</si>
  <si>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</si>
  <si>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</si>
  <si>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</si>
  <si>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</si>
  <si>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</si>
  <si>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</si>
  <si>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</si>
  <si>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</si>
  <si>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</si>
  <si>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</si>
  <si>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</si>
  <si>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</si>
  <si>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</si>
  <si>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</si>
  <si>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</si>
  <si>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</si>
  <si>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</si>
  <si>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</si>
  <si>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</si>
  <si>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</si>
  <si>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</si>
  <si>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</si>
  <si>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</si>
  <si>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</si>
  <si>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</si>
  <si>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</si>
  <si>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</si>
  <si>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</si>
  <si>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</si>
  <si>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</si>
  <si>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</si>
  <si>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</si>
  <si>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</si>
  <si>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</si>
  <si>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</si>
  <si>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</si>
  <si>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</si>
  <si>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</si>
  <si>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</si>
  <si>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</si>
  <si>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</si>
  <si>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</si>
  <si>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</si>
  <si>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</si>
  <si>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</si>
  <si>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</si>
  <si>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</si>
  <si>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</si>
  <si>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</si>
  <si>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</si>
  <si>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</si>
  <si>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</si>
  <si>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</si>
  <si>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</si>
  <si>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</si>
  <si>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</si>
  <si>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</si>
  <si>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</si>
  <si>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</si>
  <si>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</si>
  <si>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</si>
  <si>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</si>
  <si>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</si>
  <si>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</si>
  <si>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</si>
  <si>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</si>
  <si>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</si>
  <si>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</si>
  <si>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</si>
  <si>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</si>
  <si>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</si>
  <si>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</si>
  <si>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</si>
  <si>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</si>
  <si>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</si>
  <si>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</si>
  <si>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</si>
  <si>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</si>
  <si>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</si>
  <si>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</si>
  <si>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</si>
  <si>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</si>
  <si>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</si>
  <si>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</si>
  <si>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</si>
  <si>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</si>
  <si>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</si>
  <si>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</si>
  <si>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</si>
  <si>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</si>
  <si>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</si>
  <si>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</si>
  <si>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</si>
  <si>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</si>
  <si>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</si>
  <si>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</si>
  <si>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</si>
  <si>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</si>
  <si>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</si>
  <si>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</si>
  <si>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</si>
  <si>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</si>
  <si>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</si>
  <si>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</si>
  <si>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</si>
  <si>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</si>
  <si>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</si>
  <si>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</si>
  <si>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</si>
  <si>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</si>
  <si>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</si>
  <si>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</si>
  <si>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</si>
  <si>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</si>
  <si>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</si>
  <si>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</si>
  <si>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</si>
  <si>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</si>
  <si>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</si>
  <si>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</si>
  <si>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</si>
  <si>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</si>
  <si>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</si>
  <si>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</si>
  <si>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</si>
  <si>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</si>
  <si>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</si>
  <si>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</si>
  <si>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</si>
  <si>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</si>
  <si>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</si>
  <si>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</si>
  <si>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</si>
  <si>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</si>
  <si>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</si>
  <si>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</si>
  <si>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</si>
  <si>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</si>
  <si>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</si>
  <si>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</si>
  <si>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</si>
  <si>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</si>
  <si>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</si>
  <si>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</si>
  <si>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</si>
  <si>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</si>
  <si>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</si>
  <si>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</si>
  <si>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</si>
  <si>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</si>
  <si>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</si>
  <si>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</si>
  <si>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</si>
  <si>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</si>
  <si>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</si>
  <si>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</si>
  <si>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</si>
  <si>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</si>
  <si>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</si>
  <si>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</si>
  <si>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</si>
  <si>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</si>
  <si>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</si>
  <si>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</si>
  <si>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</si>
  <si>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</si>
  <si>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</si>
  <si>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</si>
  <si>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</si>
  <si>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</si>
  <si>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</si>
  <si>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</si>
  <si>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</si>
  <si>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</si>
  <si>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</si>
  <si>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</si>
  <si>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</si>
  <si>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</si>
  <si>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</si>
  <si>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</si>
  <si>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</si>
  <si>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</si>
  <si>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</si>
  <si>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</si>
  <si>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</si>
  <si>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</si>
  <si>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</si>
  <si>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</si>
  <si>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</si>
  <si>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</si>
  <si>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</si>
  <si>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</si>
  <si>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</si>
  <si>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</si>
  <si>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</si>
  <si>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</si>
  <si>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</si>
  <si>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</si>
  <si>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</si>
  <si>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</si>
  <si>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</si>
  <si>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</si>
  <si>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</si>
  <si>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</si>
  <si>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</si>
  <si>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</si>
  <si>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</si>
  <si>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</si>
  <si>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</si>
  <si>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</si>
  <si>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</si>
  <si>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</si>
  <si>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</si>
  <si>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</si>
  <si>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</si>
  <si>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</si>
  <si>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</si>
  <si>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</si>
  <si>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</si>
  <si>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</si>
  <si>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</si>
  <si>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</si>
  <si>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</si>
  <si>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</si>
  <si>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</si>
  <si>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</si>
  <si>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</si>
  <si>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</si>
  <si>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</si>
  <si>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</si>
  <si>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</si>
  <si>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</si>
  <si>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</si>
  <si>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</si>
  <si>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</si>
  <si>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</si>
  <si>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</si>
  <si>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</si>
  <si>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</si>
  <si>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</si>
  <si>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</si>
  <si>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</si>
  <si>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</si>
  <si>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</si>
  <si>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</si>
  <si>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</si>
  <si>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</si>
  <si>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</si>
  <si>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</si>
  <si>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</si>
  <si>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</si>
  <si>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</si>
  <si>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</si>
  <si>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</si>
  <si>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</si>
  <si>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</si>
  <si>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</si>
  <si>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</si>
  <si>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</si>
  <si>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</si>
  <si>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</si>
  <si>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</si>
  <si>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</si>
  <si>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</si>
  <si>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</si>
  <si>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</si>
  <si>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</si>
  <si>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</si>
  <si>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</si>
  <si>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</si>
  <si>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</si>
  <si>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</si>
  <si>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</si>
  <si>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</si>
  <si>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</si>
  <si>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</si>
  <si>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</si>
  <si>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</si>
  <si>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</si>
  <si>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</si>
  <si>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</si>
  <si>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</si>
  <si>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</si>
  <si>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</si>
  <si>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</si>
  <si>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</si>
  <si>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</si>
  <si>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</si>
  <si>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</si>
  <si>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</si>
  <si>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</si>
  <si>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</si>
  <si>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</si>
  <si>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</si>
  <si>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</si>
  <si>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</si>
  <si>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</si>
  <si>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</si>
  <si>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</si>
  <si>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</si>
  <si>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</si>
  <si>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</si>
  <si>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</si>
  <si>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</si>
  <si>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</si>
  <si>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</si>
  <si>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</si>
  <si>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</si>
  <si>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</si>
  <si>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</si>
  <si>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</si>
  <si>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</si>
  <si>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</si>
  <si>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</si>
  <si>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</si>
  <si>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</si>
  <si>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</si>
  <si>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</si>
  <si>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</si>
  <si>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</si>
  <si>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</si>
  <si>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</si>
  <si>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</si>
  <si>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</si>
  <si>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</si>
  <si>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</si>
  <si>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</si>
  <si>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</si>
  <si>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</si>
  <si>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</si>
  <si>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</si>
  <si>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</si>
  <si>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</si>
  <si>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</si>
  <si>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</si>
  <si>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</si>
  <si>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</si>
  <si>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</si>
  <si>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</si>
  <si>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</si>
  <si>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</si>
  <si>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</si>
  <si>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</si>
  <si>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</si>
  <si>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</si>
  <si>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</si>
  <si>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</si>
  <si>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</si>
  <si>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</si>
  <si>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</si>
  <si>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</si>
  <si>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</si>
  <si>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</si>
  <si>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</si>
  <si>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</si>
  <si>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</si>
  <si>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</si>
  <si>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</si>
  <si>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</si>
  <si>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</si>
  <si>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</si>
  <si>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</si>
  <si>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</si>
  <si>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</si>
  <si>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</si>
  <si>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</si>
  <si>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</si>
  <si>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</si>
  <si>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</si>
  <si>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</si>
  <si>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</si>
  <si>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</si>
  <si>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</si>
  <si>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</si>
  <si>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</si>
  <si>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</si>
  <si>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</si>
  <si>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</si>
  <si>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</si>
  <si>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</si>
  <si>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</si>
  <si>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</si>
  <si>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</si>
  <si>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</si>
  <si>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</si>
  <si>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</si>
  <si>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</si>
  <si>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</si>
  <si>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</si>
  <si>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</si>
  <si>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</si>
  <si>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</si>
  <si>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</si>
  <si>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</si>
  <si>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</si>
  <si>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</si>
  <si>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</si>
  <si>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</si>
  <si>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</si>
  <si>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</si>
  <si>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</si>
  <si>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</si>
  <si>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</si>
  <si>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</si>
  <si>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</si>
  <si>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</si>
  <si>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</si>
  <si>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</si>
  <si>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</si>
  <si>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</si>
  <si>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</si>
  <si>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</si>
  <si>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</si>
  <si>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</si>
  <si>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</si>
  <si>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</si>
  <si>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</si>
  <si>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</si>
  <si>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</si>
  <si>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</si>
  <si>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</si>
  <si>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</si>
  <si>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</si>
  <si>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</si>
  <si>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</si>
  <si>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</si>
  <si>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</si>
  <si>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</si>
  <si>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</si>
  <si>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</si>
  <si>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</si>
  <si>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</si>
  <si>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</si>
  <si>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</si>
  <si>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</si>
  <si>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</si>
  <si>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</si>
  <si>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</si>
  <si>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</si>
  <si>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</si>
  <si>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</si>
  <si>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</si>
  <si>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</si>
  <si>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</si>
  <si>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</si>
  <si>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</si>
  <si>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</si>
  <si>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</si>
  <si>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</si>
  <si>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</si>
  <si>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</si>
  <si>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</si>
  <si>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</si>
  <si>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</si>
  <si>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</si>
  <si>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</si>
  <si>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</si>
  <si>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</si>
  <si>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</si>
  <si>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</si>
  <si>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</si>
  <si>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</si>
  <si>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</si>
  <si>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</si>
  <si>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</si>
  <si>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</si>
  <si>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</si>
  <si>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</si>
  <si>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</si>
  <si>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</si>
  <si>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</si>
  <si>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</si>
  <si>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</si>
  <si>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</si>
  <si>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</si>
  <si>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</si>
  <si>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</si>
  <si>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</si>
  <si>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</si>
  <si>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</si>
  <si>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</si>
  <si>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</si>
  <si>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</si>
  <si>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</si>
  <si>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</si>
  <si>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</si>
  <si>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</si>
  <si>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</si>
  <si>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</si>
  <si>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</si>
  <si>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</si>
  <si>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</si>
  <si>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</si>
  <si>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</si>
  <si>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</si>
  <si>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</si>
  <si>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</si>
  <si>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</si>
  <si>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</si>
  <si>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</si>
  <si>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</si>
  <si>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</si>
  <si>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</si>
  <si>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</si>
  <si>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</si>
  <si>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</si>
  <si>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</si>
  <si>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</si>
  <si>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</si>
  <si>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</si>
  <si>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</si>
  <si>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</si>
  <si>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</si>
  <si>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</si>
  <si>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</si>
  <si>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</si>
  <si>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</si>
  <si>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</si>
  <si>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</si>
  <si>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</si>
  <si>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</si>
  <si>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</si>
  <si>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</si>
  <si>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</si>
  <si>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</si>
  <si>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</si>
  <si>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</si>
  <si>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</si>
  <si>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</si>
  <si>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</si>
  <si>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</si>
  <si>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</si>
  <si>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</si>
  <si>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</si>
  <si>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</si>
  <si>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</si>
  <si>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</si>
  <si>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</si>
  <si>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</si>
  <si>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</si>
  <si>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</si>
  <si>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</si>
  <si>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</si>
  <si>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</si>
  <si>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</si>
  <si>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</si>
  <si>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</si>
  <si>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</si>
  <si>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</si>
  <si>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</si>
  <si>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</si>
  <si>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</si>
  <si>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</si>
  <si>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</si>
  <si>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</si>
  <si>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</si>
  <si>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</si>
  <si>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</si>
  <si>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</si>
  <si>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</si>
  <si>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</si>
  <si>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</si>
  <si>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</si>
  <si>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</si>
  <si>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</si>
  <si>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</si>
  <si>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</si>
  <si>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</si>
  <si>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</si>
  <si>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</si>
  <si>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</si>
  <si>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</si>
  <si>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</si>
  <si>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</si>
  <si>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</si>
  <si>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</si>
  <si>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</si>
  <si>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</si>
  <si>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</si>
  <si>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</si>
  <si>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</si>
  <si>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</si>
  <si>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</si>
  <si>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</si>
  <si>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</si>
  <si>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</si>
  <si>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</si>
  <si>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</si>
  <si>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</si>
  <si>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</si>
  <si>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</si>
  <si>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</si>
  <si>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</si>
  <si>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</si>
  <si>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</si>
  <si>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</si>
  <si>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</si>
  <si>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</si>
  <si>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</si>
  <si>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</si>
  <si>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</si>
  <si>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</si>
  <si>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</si>
  <si>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</si>
  <si>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</si>
  <si>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</si>
  <si>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</si>
  <si>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</si>
  <si>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</si>
  <si>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</si>
  <si>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</si>
  <si>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</si>
  <si>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</si>
  <si>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</si>
  <si>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</si>
  <si>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</si>
  <si>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</si>
  <si>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</si>
  <si>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</si>
  <si>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</si>
  <si>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</si>
  <si>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</si>
  <si>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</si>
  <si>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</si>
  <si>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</si>
  <si>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</si>
  <si>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</si>
  <si>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</si>
  <si>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</si>
  <si>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</si>
  <si>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</si>
  <si>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</si>
  <si>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</si>
  <si>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</si>
  <si>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</si>
  <si>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</si>
  <si>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</si>
  <si>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</si>
  <si>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</si>
  <si>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</si>
  <si>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</si>
  <si>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</si>
  <si>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</si>
  <si>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</si>
  <si>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</si>
  <si>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</si>
  <si>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</si>
  <si>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</si>
  <si>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</si>
  <si>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</si>
  <si>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</si>
  <si>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</si>
  <si>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</si>
  <si>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</si>
  <si>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</si>
  <si>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</si>
  <si>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</si>
  <si>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</si>
  <si>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</si>
  <si>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</si>
  <si>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</si>
  <si>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</si>
  <si>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</si>
  <si>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</si>
  <si>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</si>
  <si>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</si>
  <si>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</si>
  <si>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</si>
  <si>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</si>
  <si>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</si>
  <si>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</si>
  <si>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</si>
  <si>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</si>
  <si>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</si>
  <si>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</si>
  <si>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</si>
  <si>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</si>
  <si>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</si>
  <si>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</si>
  <si>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</si>
  <si>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</si>
  <si>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</si>
  <si>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</si>
  <si>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</si>
  <si>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</si>
  <si>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</si>
  <si>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</si>
  <si>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</si>
  <si>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</si>
  <si>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</si>
  <si>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</si>
  <si>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</si>
  <si>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</si>
  <si>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</si>
  <si>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</si>
  <si>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</si>
  <si>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</si>
  <si>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</si>
  <si>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</si>
  <si>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</si>
  <si>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</si>
  <si>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</si>
  <si>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</si>
  <si>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</si>
  <si>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</si>
  <si>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</si>
  <si>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</si>
  <si>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</si>
  <si>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</si>
  <si>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</si>
  <si>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</si>
  <si>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</si>
  <si>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</si>
  <si>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</si>
  <si>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</si>
  <si>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</si>
  <si>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</si>
  <si>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</si>
  <si>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</si>
  <si>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</si>
  <si>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</si>
  <si>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</si>
  <si>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</si>
  <si>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</si>
  <si>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</si>
  <si>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</si>
  <si>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</si>
  <si>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</si>
  <si>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</si>
  <si>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</si>
  <si>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</si>
  <si>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</si>
  <si>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</si>
  <si>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</si>
  <si>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</si>
  <si>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</si>
  <si>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</si>
  <si>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</si>
  <si>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</si>
  <si>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</si>
  <si>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</si>
  <si>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</si>
  <si>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</si>
  <si>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</si>
  <si>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</si>
  <si>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</si>
  <si>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</si>
  <si>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</si>
  <si>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</si>
  <si>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</si>
  <si>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</si>
  <si>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</si>
  <si>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</si>
  <si>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</si>
  <si>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</si>
  <si>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</si>
  <si>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</si>
  <si>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</si>
  <si>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</si>
  <si>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</si>
  <si>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</si>
  <si>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</si>
  <si>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</si>
  <si>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</si>
  <si>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</si>
  <si>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</si>
  <si>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</si>
  <si>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</si>
  <si>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</si>
  <si>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</si>
  <si>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</si>
  <si>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</si>
  <si>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</si>
  <si>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</si>
  <si>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</si>
  <si>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</si>
  <si>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</si>
  <si>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</si>
  <si>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</si>
  <si>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</si>
  <si>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</si>
  <si>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</si>
  <si>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</si>
  <si>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</si>
  <si>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</si>
  <si>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</si>
  <si>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</si>
  <si>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</si>
  <si>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</si>
  <si>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</si>
  <si>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</si>
  <si>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</si>
  <si>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</si>
  <si>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</si>
  <si>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</si>
  <si>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</si>
  <si>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</si>
  <si>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</si>
  <si>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</si>
  <si>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</si>
  <si>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</si>
  <si>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</si>
  <si>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</si>
  <si>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</si>
  <si>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</si>
  <si>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</si>
  <si>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</si>
  <si>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</si>
  <si>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</si>
  <si>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</si>
  <si>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</si>
  <si>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</si>
  <si>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</si>
  <si>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</si>
  <si>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</si>
  <si>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</si>
  <si>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</si>
  <si>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</si>
  <si>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</si>
  <si>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</si>
  <si>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</si>
  <si>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</si>
  <si>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</si>
  <si>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</si>
  <si>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</si>
  <si>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</si>
  <si>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</si>
  <si>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</si>
  <si>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</si>
  <si>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</si>
  <si>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</si>
  <si>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</si>
  <si>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</si>
  <si>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</si>
  <si>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</si>
  <si>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</si>
  <si>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</si>
  <si>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</si>
  <si>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</si>
  <si>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</si>
  <si>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</si>
  <si>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</si>
  <si>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</si>
  <si>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</si>
  <si>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</si>
  <si>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</si>
  <si>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</si>
  <si>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</si>
  <si>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</si>
  <si>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</si>
  <si>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</si>
  <si>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</si>
  <si>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</si>
  <si>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</si>
  <si>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</si>
  <si>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</si>
  <si>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</si>
  <si>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</si>
  <si>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</si>
  <si>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</si>
  <si>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</si>
  <si>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</si>
  <si>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</si>
  <si>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</si>
  <si>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</si>
  <si>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</si>
  <si>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</si>
  <si>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</si>
  <si>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</si>
  <si>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</si>
  <si>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</si>
  <si>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</si>
  <si>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</si>
  <si>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</si>
  <si>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</si>
  <si>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</si>
  <si>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</si>
  <si>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</si>
  <si>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</si>
  <si>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</si>
  <si>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</si>
  <si>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</si>
  <si>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</si>
  <si>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</si>
  <si>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</si>
  <si>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</si>
  <si>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</si>
  <si>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</si>
  <si>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</si>
  <si>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</si>
  <si>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</si>
  <si>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</si>
  <si>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</si>
  <si>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</si>
  <si>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</si>
  <si>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</si>
  <si>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</si>
  <si>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</si>
  <si>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</si>
  <si>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</si>
  <si>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</si>
  <si>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</si>
  <si>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</si>
  <si>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</si>
  <si>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</si>
  <si>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</si>
  <si>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</si>
  <si>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</si>
  <si>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</si>
  <si>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</si>
  <si>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</si>
  <si>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</si>
  <si>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</si>
  <si>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</si>
  <si>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</si>
  <si>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</si>
  <si>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</si>
  <si>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</si>
  <si>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</si>
  <si>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</si>
  <si>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</si>
  <si>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</si>
  <si>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</si>
  <si>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</si>
  <si>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</si>
  <si>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</si>
  <si>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</si>
  <si>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</si>
  <si>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</si>
  <si>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</si>
  <si>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</si>
  <si>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</si>
  <si>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</si>
  <si>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</si>
  <si>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</si>
  <si>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</si>
  <si>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</si>
  <si>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</si>
  <si>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</si>
  <si>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</si>
  <si>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</si>
  <si>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</si>
  <si>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</si>
  <si>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</si>
  <si>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</si>
  <si>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</si>
  <si>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</si>
  <si>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</si>
  <si>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</si>
  <si>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</si>
  <si>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</si>
  <si>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</si>
  <si>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</si>
  <si>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</si>
  <si>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</si>
  <si>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</si>
  <si>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</si>
  <si>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</si>
  <si>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</si>
  <si>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</si>
  <si>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</si>
  <si>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</si>
  <si>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</si>
  <si>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</si>
  <si>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</si>
  <si>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</si>
  <si>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</si>
  <si>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</si>
  <si>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</si>
  <si>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</si>
  <si>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</si>
  <si>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</si>
  <si>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</si>
  <si>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</si>
  <si>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</si>
  <si>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</si>
  <si>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</si>
  <si>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</si>
  <si>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</si>
  <si>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</si>
  <si>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</si>
  <si>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</si>
  <si>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</si>
  <si>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</si>
  <si>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</si>
  <si>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</si>
  <si>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</si>
  <si>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</si>
  <si>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</si>
  <si>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</si>
  <si>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</si>
  <si>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</si>
  <si>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</si>
  <si>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</si>
  <si>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</si>
  <si>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</si>
  <si>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</si>
  <si>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</si>
  <si>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</si>
  <si>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</si>
  <si>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</si>
  <si>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</si>
  <si>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</si>
  <si>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</si>
  <si>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</si>
  <si>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</si>
  <si>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</si>
  <si>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</si>
  <si>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</si>
  <si>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</si>
  <si>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</si>
  <si>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</si>
  <si>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</si>
  <si>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</si>
  <si>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</si>
  <si>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</si>
  <si>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</si>
  <si>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</si>
  <si>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</si>
  <si>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</si>
  <si>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</si>
  <si>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</si>
  <si>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</si>
  <si>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</si>
  <si>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</si>
  <si>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</si>
  <si>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</si>
  <si>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</si>
  <si>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</si>
  <si>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</si>
  <si>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</si>
  <si>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</si>
  <si>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</si>
  <si>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</si>
  <si>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</si>
  <si>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</si>
  <si>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</si>
  <si>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</si>
  <si>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</si>
  <si>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</si>
  <si>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</si>
  <si>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</si>
  <si>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</si>
  <si>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</si>
  <si>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</si>
  <si>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</si>
  <si>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</si>
  <si>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</si>
  <si>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</si>
  <si>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</si>
  <si>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</si>
  <si>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</si>
  <si>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</si>
  <si>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</si>
  <si>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</si>
  <si>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</si>
  <si>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</si>
  <si>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</si>
  <si>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</si>
  <si>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</si>
  <si>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</si>
  <si>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</si>
  <si>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</si>
  <si>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</si>
  <si>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</si>
  <si>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</si>
  <si>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</si>
  <si>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</si>
  <si>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</si>
  <si>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</si>
  <si>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</si>
  <si>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</si>
  <si>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</si>
  <si>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</si>
  <si>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</si>
  <si>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</si>
  <si>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</si>
  <si>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</si>
  <si>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</si>
  <si>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</si>
  <si>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</si>
  <si>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</si>
  <si>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</si>
  <si>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</si>
  <si>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</si>
  <si>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</si>
  <si>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</si>
  <si>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</si>
  <si>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</si>
  <si>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</si>
  <si>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</si>
  <si>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</si>
  <si>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</si>
  <si>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</si>
  <si>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</si>
  <si>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</si>
  <si>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</si>
  <si>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</si>
  <si>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</si>
  <si>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</si>
  <si>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</si>
  <si>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</si>
  <si>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</si>
  <si>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</si>
  <si>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</si>
  <si>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</si>
  <si>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</si>
  <si>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</si>
  <si>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</si>
  <si>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</si>
  <si>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</si>
  <si>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</si>
  <si>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</si>
  <si>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</si>
  <si>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</si>
  <si>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</si>
  <si>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</si>
  <si>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</si>
  <si>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</si>
  <si>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</si>
  <si>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</si>
  <si>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</si>
  <si>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</si>
  <si>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</si>
  <si>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</si>
  <si>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</si>
  <si>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</si>
  <si>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</si>
  <si>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</si>
  <si>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</si>
  <si>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</si>
  <si>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</si>
  <si>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</si>
  <si>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</si>
  <si>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</si>
  <si>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</si>
  <si>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</si>
  <si>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</si>
  <si>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</si>
  <si>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</si>
  <si>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</si>
  <si>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</si>
  <si>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</si>
  <si>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</si>
  <si>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</si>
  <si>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</si>
  <si>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</si>
  <si>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</si>
  <si>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</si>
  <si>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</si>
  <si>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</si>
  <si>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</si>
  <si>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</si>
  <si>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</si>
  <si>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</si>
  <si>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</si>
  <si>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</si>
  <si>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</si>
  <si>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</si>
  <si>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</si>
  <si>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</si>
  <si>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</si>
  <si>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</si>
  <si>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</si>
  <si>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</si>
  <si>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</si>
  <si>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</si>
  <si>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</si>
  <si>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</si>
  <si>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</si>
  <si>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</si>
  <si>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</si>
  <si>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</si>
  <si>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</si>
  <si>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</si>
  <si>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</si>
  <si>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</si>
  <si>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</si>
  <si>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</si>
  <si>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</si>
  <si>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</si>
  <si>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</si>
  <si>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</si>
  <si>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</si>
  <si>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</si>
  <si>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</si>
  <si>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</si>
  <si>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</si>
  <si>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</si>
  <si>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</si>
  <si>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</si>
  <si>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</si>
  <si>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</si>
  <si>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</si>
  <si>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</si>
  <si>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</si>
  <si>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</si>
  <si>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</si>
  <si>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</si>
  <si>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</si>
  <si>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</si>
  <si>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</si>
  <si>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</si>
  <si>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</si>
  <si>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</si>
  <si>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</si>
  <si>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</si>
  <si>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</si>
  <si>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</si>
  <si>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</si>
  <si>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</si>
  <si>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</si>
  <si>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</si>
  <si>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</si>
  <si>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</si>
  <si>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</si>
  <si>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</si>
  <si>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</si>
  <si>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</si>
  <si>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</si>
  <si>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</si>
  <si>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</si>
  <si>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</si>
  <si>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</si>
  <si>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</si>
  <si>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</si>
  <si>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</si>
  <si>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</si>
  <si>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</si>
  <si>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</si>
  <si>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</si>
  <si>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</si>
  <si>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</si>
  <si>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</si>
  <si>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</si>
  <si>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</si>
  <si>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</si>
  <si>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</si>
  <si>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</si>
  <si>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</si>
  <si>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</si>
  <si>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</si>
  <si>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</si>
  <si>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</si>
  <si>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</si>
  <si>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</si>
  <si>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</si>
  <si>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</si>
  <si>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</si>
  <si>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</si>
  <si>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</si>
  <si>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</si>
  <si>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</si>
  <si>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</si>
  <si>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</si>
  <si>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</si>
  <si>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</si>
  <si>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</si>
  <si>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</si>
  <si>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</si>
  <si>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</si>
  <si>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</si>
  <si>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</si>
  <si>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</si>
  <si>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</si>
  <si>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</si>
  <si>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</si>
  <si>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</si>
  <si>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</si>
  <si>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</si>
  <si>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</si>
  <si>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</si>
  <si>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</si>
  <si>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</si>
  <si>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</si>
  <si>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</si>
  <si>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</si>
  <si>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</si>
  <si>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</si>
  <si>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</si>
  <si>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</si>
  <si>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</si>
  <si>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</si>
  <si>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</si>
  <si>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</si>
  <si>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</si>
  <si>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</si>
  <si>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</si>
  <si>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</si>
  <si>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</si>
  <si>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</si>
  <si>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</si>
  <si>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</si>
  <si>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</si>
  <si>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</si>
  <si>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</si>
  <si>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</si>
  <si>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</si>
  <si>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</si>
  <si>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</si>
  <si>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</si>
  <si>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</si>
  <si>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</si>
  <si>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</si>
  <si>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</si>
  <si>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</si>
  <si>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</si>
  <si>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</si>
  <si>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</si>
  <si>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</si>
  <si>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</si>
  <si>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</si>
  <si>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</si>
  <si>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</si>
  <si>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</si>
  <si>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</si>
  <si>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</si>
  <si>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</si>
  <si>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</si>
  <si>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</si>
  <si>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</si>
  <si>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</si>
  <si>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</si>
  <si>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</si>
  <si>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</si>
  <si>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</si>
  <si>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</si>
  <si>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</si>
  <si>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</si>
  <si>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</si>
  <si>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</si>
  <si>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</si>
  <si>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</si>
  <si>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</si>
  <si>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</si>
  <si>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</si>
  <si>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</si>
  <si>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</si>
  <si>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</si>
  <si>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</si>
  <si>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</si>
  <si>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</si>
  <si>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</si>
  <si>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</si>
  <si>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</si>
  <si>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</si>
  <si>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</si>
  <si>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</si>
  <si>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</si>
  <si>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</si>
  <si>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</si>
  <si>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</si>
  <si>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</si>
  <si>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</si>
  <si>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</si>
  <si>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</si>
  <si>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</si>
  <si>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</si>
  <si>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</si>
  <si>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</si>
  <si>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</si>
  <si>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</si>
  <si>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</si>
  <si>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</si>
  <si>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</si>
  <si>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</si>
  <si>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</si>
  <si>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</si>
  <si>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</si>
  <si>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</si>
  <si>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</si>
  <si>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</si>
  <si>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</si>
  <si>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</si>
  <si>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</si>
  <si>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</si>
  <si>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</si>
  <si>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</si>
  <si>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</si>
  <si>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</si>
  <si>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</si>
  <si>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</si>
  <si>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</si>
  <si>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</si>
  <si>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</si>
  <si>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</si>
  <si>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</si>
  <si>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</si>
  <si>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</si>
  <si>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</si>
  <si>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</si>
  <si>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</si>
  <si>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</si>
  <si>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</si>
  <si>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</si>
  <si>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</si>
  <si>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</si>
  <si>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</si>
  <si>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</si>
  <si>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</si>
  <si>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</si>
  <si>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</si>
  <si>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</si>
  <si>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</si>
  <si>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</si>
  <si>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</si>
  <si>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</si>
  <si>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</si>
  <si>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</si>
  <si>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</si>
  <si>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</si>
  <si>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</si>
  <si>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</si>
  <si>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</si>
  <si>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</si>
  <si>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</si>
  <si>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</si>
  <si>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</si>
  <si>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</si>
  <si>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</si>
  <si>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</si>
  <si>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</si>
  <si>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</si>
  <si>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</si>
  <si>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</si>
  <si>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</si>
  <si>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</si>
  <si>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</si>
  <si>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</si>
  <si>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</si>
  <si>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</si>
  <si>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</si>
  <si>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</si>
  <si>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</si>
  <si>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</si>
  <si>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</si>
  <si>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</si>
  <si>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</si>
  <si>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</si>
  <si>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</si>
  <si>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</si>
  <si>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</si>
  <si>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</si>
  <si>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</si>
  <si>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</si>
  <si>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</si>
  <si>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</si>
  <si>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</si>
  <si>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</si>
  <si>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</si>
  <si>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</si>
  <si>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</si>
  <si>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</si>
  <si>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</si>
  <si>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</si>
  <si>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</si>
  <si>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</si>
  <si>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</si>
  <si>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</si>
  <si>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</si>
  <si>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</si>
  <si>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</si>
  <si>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</si>
  <si>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</si>
  <si>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</si>
  <si>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TOTAL ISSUES FOUND:</t>
  </si>
  <si>
    <t xml:space="preserve">STATUS: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</si>
</sst>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2F5233"/>
      <name val="Calibri"/>
      <family val="0"/>
      <charset val="1"/>
    </font>
    <font>
      <b val="true"/>
      <sz val="1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n">
        <v>44930</v>
      </c>
      <c r="C2" s="2" t="s">
        <v>19</v>
      </c>
      <c r="D2" s="2" t="s">
        <v>20</v>
      </c>
      <c r="E2" s="2" t="n">
        <v>5</v>
      </c>
      <c r="F2" s="4" t="n">
        <v>570.62</v>
      </c>
      <c r="G2" s="2" t="s">
        <v>21</v>
      </c>
      <c r="H2" s="2" t="s">
        <v>22</v>
      </c>
      <c r="I2" s="2" t="s">
        <v>23</v>
      </c>
      <c r="J2" s="2" t="s">
        <v>24</v>
      </c>
      <c r="K2" s="2" t="n">
        <v>7</v>
      </c>
      <c r="L2" s="2" t="s">
        <v>25</v>
      </c>
      <c r="M2" s="2" t="s">
        <v>26</v>
      </c>
      <c r="N2" s="4" t="n">
        <v>2853.1</v>
      </c>
      <c r="O2" s="2" t="str">
        <f aca="false">IF(COUNTIF($A$2:$A$1201,A2)&gt;1,"DUPLICATE","Unique")</f>
        <v>Unique</v>
      </c>
      <c r="P2" s="2" t="str">
        <f aca="false">IF(L2="","MISSING","OK")</f>
        <v>OK</v>
      </c>
      <c r="Q2" s="2" t="str">
        <f aca="false">IF(ISNUMBER(B2),"OK","BAD DATE")</f>
        <v>OK</v>
      </c>
      <c r="R2" s="2" t="str">
        <f aca="false">IF(ROUND(F2,2)=F2,"OK","FIX")</f>
        <v>OK</v>
      </c>
    </row>
    <row r="3" customFormat="false" ht="15" hidden="false" customHeight="false" outlineLevel="0" collapsed="false">
      <c r="A3" s="2" t="s">
        <v>27</v>
      </c>
      <c r="B3" s="3" t="n">
        <v>45527</v>
      </c>
      <c r="C3" s="2" t="s">
        <v>28</v>
      </c>
      <c r="D3" s="2" t="s">
        <v>29</v>
      </c>
      <c r="E3" s="2" t="n">
        <v>2</v>
      </c>
      <c r="F3" s="4" t="n">
        <v>151.35</v>
      </c>
      <c r="G3" s="2" t="s">
        <v>30</v>
      </c>
      <c r="H3" s="2" t="s">
        <v>31</v>
      </c>
      <c r="I3" s="2" t="s">
        <v>23</v>
      </c>
      <c r="J3" s="2" t="s">
        <v>32</v>
      </c>
      <c r="K3" s="2" t="n">
        <v>3</v>
      </c>
      <c r="L3" s="2" t="s">
        <v>25</v>
      </c>
      <c r="M3" s="2" t="s">
        <v>33</v>
      </c>
      <c r="N3" s="4" t="n">
        <v>302.7</v>
      </c>
      <c r="O3" s="2" t="str">
        <f aca="false">IF(COUNTIF($A$2:$A$1201,A3)&gt;1,"DUPLICATE","Unique")</f>
        <v>Unique</v>
      </c>
      <c r="P3" s="2" t="str">
        <f aca="false">IF(L3="","MISSING","OK")</f>
        <v>OK</v>
      </c>
      <c r="Q3" s="2" t="str">
        <f aca="false">IF(ISNUMBER(B3),"OK","BAD DATE")</f>
        <v>OK</v>
      </c>
      <c r="R3" s="2" t="str">
        <f aca="false">IF(ROUND(F3,2)=F3,"OK","FIX")</f>
        <v>OK</v>
      </c>
    </row>
    <row r="4" customFormat="false" ht="15" hidden="false" customHeight="false" outlineLevel="0" collapsed="false">
      <c r="A4" s="2" t="s">
        <v>34</v>
      </c>
      <c r="B4" s="3" t="n">
        <v>45349</v>
      </c>
      <c r="C4" s="2" t="s">
        <v>35</v>
      </c>
      <c r="D4" s="2" t="s">
        <v>36</v>
      </c>
      <c r="E4" s="2" t="n">
        <v>5</v>
      </c>
      <c r="F4" s="4" t="n">
        <v>550.68</v>
      </c>
      <c r="G4" s="2" t="s">
        <v>37</v>
      </c>
      <c r="H4" s="2" t="s">
        <v>38</v>
      </c>
      <c r="I4" s="2" t="s">
        <v>39</v>
      </c>
      <c r="J4" s="2" t="s">
        <v>40</v>
      </c>
      <c r="K4" s="2" t="n">
        <v>8</v>
      </c>
      <c r="L4" s="2" t="s">
        <v>41</v>
      </c>
      <c r="M4" s="2" t="s">
        <v>42</v>
      </c>
      <c r="N4" s="4" t="n">
        <v>2753.4</v>
      </c>
      <c r="O4" s="2" t="str">
        <f aca="false">IF(COUNTIF($A$2:$A$1201,A4)&gt;1,"DUPLICATE","Unique")</f>
        <v>Unique</v>
      </c>
      <c r="P4" s="2" t="str">
        <f aca="false">IF(L4="","MISSING","OK")</f>
        <v>OK</v>
      </c>
      <c r="Q4" s="2" t="str">
        <f aca="false">IF(ISNUMBER(B4),"OK","BAD DATE")</f>
        <v>OK</v>
      </c>
      <c r="R4" s="2" t="str">
        <f aca="false">IF(ROUND(F4,2)=F4,"OK","FIX")</f>
        <v>OK</v>
      </c>
    </row>
    <row r="5" customFormat="false" ht="15" hidden="false" customHeight="false" outlineLevel="0" collapsed="false">
      <c r="A5" s="2" t="s">
        <v>43</v>
      </c>
      <c r="B5" s="3" t="n">
        <v>45214</v>
      </c>
      <c r="C5" s="2" t="s">
        <v>44</v>
      </c>
      <c r="D5" s="2" t="s">
        <v>45</v>
      </c>
      <c r="E5" s="2" t="n">
        <v>1</v>
      </c>
      <c r="F5" s="4" t="n">
        <v>273.19</v>
      </c>
      <c r="G5" s="2" t="s">
        <v>46</v>
      </c>
      <c r="H5" s="2" t="s">
        <v>22</v>
      </c>
      <c r="I5" s="2" t="s">
        <v>47</v>
      </c>
      <c r="J5" s="2" t="s">
        <v>48</v>
      </c>
      <c r="K5" s="2" t="n">
        <v>5</v>
      </c>
      <c r="L5" s="2" t="s">
        <v>25</v>
      </c>
      <c r="M5" s="2" t="s">
        <v>49</v>
      </c>
      <c r="N5" s="4" t="n">
        <v>273.19</v>
      </c>
      <c r="O5" s="2" t="str">
        <f aca="false">IF(COUNTIF($A$2:$A$1201,A5)&gt;1,"DUPLICATE","Unique")</f>
        <v>Unique</v>
      </c>
      <c r="P5" s="2" t="str">
        <f aca="false">IF(L5="","MISSING","OK")</f>
        <v>OK</v>
      </c>
      <c r="Q5" s="2" t="str">
        <f aca="false">IF(ISNUMBER(B5),"OK","BAD DATE")</f>
        <v>OK</v>
      </c>
      <c r="R5" s="2" t="str">
        <f aca="false">IF(ROUND(F5,2)=F5,"OK","FIX")</f>
        <v>OK</v>
      </c>
    </row>
    <row r="6" customFormat="false" ht="15" hidden="false" customHeight="false" outlineLevel="0" collapsed="false">
      <c r="A6" s="2" t="s">
        <v>50</v>
      </c>
      <c r="B6" s="3" t="n">
        <v>45785</v>
      </c>
      <c r="C6" s="2" t="s">
        <v>51</v>
      </c>
      <c r="D6" s="2" t="s">
        <v>52</v>
      </c>
      <c r="E6" s="2" t="n">
        <v>4</v>
      </c>
      <c r="F6" s="4" t="n">
        <v>626.01</v>
      </c>
      <c r="G6" s="2" t="s">
        <v>53</v>
      </c>
      <c r="H6" s="2" t="s">
        <v>31</v>
      </c>
      <c r="I6" s="2" t="s">
        <v>54</v>
      </c>
      <c r="J6" s="2" t="s">
        <v>55</v>
      </c>
      <c r="K6" s="2" t="n">
        <v>8</v>
      </c>
      <c r="L6" s="2" t="s">
        <v>25</v>
      </c>
      <c r="M6" s="2" t="s">
        <v>42</v>
      </c>
      <c r="N6" s="4" t="n">
        <v>2504.04</v>
      </c>
      <c r="O6" s="2" t="str">
        <f aca="false">IF(COUNTIF($A$2:$A$1201,A6)&gt;1,"DUPLICATE","Unique")</f>
        <v>Unique</v>
      </c>
      <c r="P6" s="2" t="str">
        <f aca="false">IF(L6="","MISSING","OK")</f>
        <v>OK</v>
      </c>
      <c r="Q6" s="2" t="str">
        <f aca="false">IF(ISNUMBER(B6),"OK","BAD DATE")</f>
        <v>OK</v>
      </c>
      <c r="R6" s="2" t="str">
        <f aca="false">IF(ROUND(F6,2)=F6,"OK","FIX")</f>
        <v>OK</v>
      </c>
    </row>
    <row r="7" customFormat="false" ht="15" hidden="false" customHeight="false" outlineLevel="0" collapsed="false">
      <c r="A7" s="2" t="s">
        <v>56</v>
      </c>
      <c r="B7" s="3" t="n">
        <v>45222</v>
      </c>
      <c r="C7" s="2" t="s">
        <v>57</v>
      </c>
      <c r="D7" s="2" t="s">
        <v>29</v>
      </c>
      <c r="E7" s="2" t="n">
        <v>2</v>
      </c>
      <c r="F7" s="4" t="n">
        <v>245.86</v>
      </c>
      <c r="G7" s="2" t="s">
        <v>58</v>
      </c>
      <c r="H7" s="2" t="s">
        <v>38</v>
      </c>
      <c r="I7" s="2" t="s">
        <v>23</v>
      </c>
      <c r="J7" s="2" t="s">
        <v>59</v>
      </c>
      <c r="K7" s="2" t="n">
        <v>4</v>
      </c>
      <c r="L7" s="2" t="s">
        <v>25</v>
      </c>
      <c r="M7" s="2" t="s">
        <v>26</v>
      </c>
      <c r="N7" s="4" t="n">
        <v>491.72</v>
      </c>
      <c r="O7" s="2" t="str">
        <f aca="false">IF(COUNTIF($A$2:$A$1201,A7)&gt;1,"DUPLICATE","Unique")</f>
        <v>Unique</v>
      </c>
      <c r="P7" s="2" t="str">
        <f aca="false">IF(L7="","MISSING","OK")</f>
        <v>OK</v>
      </c>
      <c r="Q7" s="2" t="str">
        <f aca="false">IF(ISNUMBER(B7),"OK","BAD DATE")</f>
        <v>OK</v>
      </c>
      <c r="R7" s="2" t="str">
        <f aca="false">IF(ROUND(F7,2)=F7,"OK","FIX")</f>
        <v>OK</v>
      </c>
    </row>
    <row r="8" customFormat="false" ht="15" hidden="false" customHeight="false" outlineLevel="0" collapsed="false">
      <c r="A8" s="2" t="s">
        <v>60</v>
      </c>
      <c r="B8" s="3" t="n">
        <v>45825</v>
      </c>
      <c r="C8" s="2" t="s">
        <v>61</v>
      </c>
      <c r="D8" s="2" t="s">
        <v>62</v>
      </c>
      <c r="E8" s="2" t="n">
        <v>1</v>
      </c>
      <c r="F8" s="4" t="n">
        <v>664.42</v>
      </c>
      <c r="G8" s="2" t="s">
        <v>63</v>
      </c>
      <c r="H8" s="2" t="s">
        <v>64</v>
      </c>
      <c r="I8" s="2" t="s">
        <v>47</v>
      </c>
      <c r="J8" s="2" t="s">
        <v>65</v>
      </c>
      <c r="K8" s="2" t="n">
        <v>6</v>
      </c>
      <c r="L8" s="2" t="s">
        <v>25</v>
      </c>
      <c r="M8" s="2" t="s">
        <v>49</v>
      </c>
      <c r="N8" s="4" t="n">
        <v>664.42</v>
      </c>
      <c r="O8" s="2" t="str">
        <f aca="false">IF(COUNTIF($A$2:$A$1201,A8)&gt;1,"DUPLICATE","Unique")</f>
        <v>Unique</v>
      </c>
      <c r="P8" s="2" t="str">
        <f aca="false">IF(L8="","MISSING","OK")</f>
        <v>OK</v>
      </c>
      <c r="Q8" s="2" t="str">
        <f aca="false">IF(ISNUMBER(B8),"OK","BAD DATE")</f>
        <v>OK</v>
      </c>
      <c r="R8" s="2" t="str">
        <f aca="false">IF(ROUND(F8,2)=F8,"OK","FIX")</f>
        <v>OK</v>
      </c>
    </row>
    <row r="9" customFormat="false" ht="15" hidden="false" customHeight="false" outlineLevel="0" collapsed="false">
      <c r="A9" s="2" t="s">
        <v>66</v>
      </c>
      <c r="B9" s="3" t="n">
        <v>45058</v>
      </c>
      <c r="C9" s="2" t="s">
        <v>67</v>
      </c>
      <c r="D9" s="2" t="s">
        <v>20</v>
      </c>
      <c r="E9" s="2" t="n">
        <v>5</v>
      </c>
      <c r="F9" s="4" t="n">
        <v>149.55</v>
      </c>
      <c r="G9" s="2" t="s">
        <v>68</v>
      </c>
      <c r="H9" s="2" t="s">
        <v>69</v>
      </c>
      <c r="I9" s="2" t="s">
        <v>23</v>
      </c>
      <c r="J9" s="2" t="s">
        <v>70</v>
      </c>
      <c r="K9" s="2" t="n">
        <v>9</v>
      </c>
      <c r="L9" s="2" t="s">
        <v>41</v>
      </c>
      <c r="M9" s="2" t="s">
        <v>49</v>
      </c>
      <c r="N9" s="4" t="n">
        <v>747.75</v>
      </c>
      <c r="O9" s="2" t="str">
        <f aca="false">IF(COUNTIF($A$2:$A$1201,A9)&gt;1,"DUPLICATE","Unique")</f>
        <v>Unique</v>
      </c>
      <c r="P9" s="2" t="str">
        <f aca="false">IF(L9="","MISSING","OK")</f>
        <v>OK</v>
      </c>
      <c r="Q9" s="2" t="str">
        <f aca="false">IF(ISNUMBER(B9),"OK","BAD DATE")</f>
        <v>OK</v>
      </c>
      <c r="R9" s="2" t="str">
        <f aca="false">IF(ROUND(F9,2)=F9,"OK","FIX")</f>
        <v>OK</v>
      </c>
    </row>
    <row r="10" customFormat="false" ht="15" hidden="false" customHeight="false" outlineLevel="0" collapsed="false">
      <c r="A10" s="2" t="s">
        <v>71</v>
      </c>
      <c r="B10" s="3" t="n">
        <v>45749</v>
      </c>
      <c r="C10" s="2" t="s">
        <v>72</v>
      </c>
      <c r="D10" s="2" t="s">
        <v>29</v>
      </c>
      <c r="E10" s="2" t="n">
        <v>2</v>
      </c>
      <c r="F10" s="4" t="n">
        <v>134.28</v>
      </c>
      <c r="G10" s="2" t="s">
        <v>73</v>
      </c>
      <c r="H10" s="2" t="s">
        <v>64</v>
      </c>
      <c r="I10" s="2" t="s">
        <v>39</v>
      </c>
      <c r="J10" s="2" t="s">
        <v>74</v>
      </c>
      <c r="K10" s="2" t="n">
        <v>2</v>
      </c>
      <c r="L10" s="2"/>
      <c r="M10" s="2" t="s">
        <v>42</v>
      </c>
      <c r="N10" s="4" t="n">
        <v>268.56</v>
      </c>
      <c r="O10" s="2" t="str">
        <f aca="false">IF(COUNTIF($A$2:$A$1201,A10)&gt;1,"DUPLICATE","Unique")</f>
        <v>Unique</v>
      </c>
      <c r="P10" s="2" t="str">
        <f aca="false">IF(L10="","MISSING","OK")</f>
        <v>MISSING</v>
      </c>
      <c r="Q10" s="2" t="str">
        <f aca="false">IF(ISNUMBER(B10),"OK","BAD DATE")</f>
        <v>OK</v>
      </c>
      <c r="R10" s="2" t="str">
        <f aca="false">IF(ROUND(F10,2)=F10,"OK","FIX")</f>
        <v>OK</v>
      </c>
    </row>
    <row r="11" customFormat="false" ht="15" hidden="false" customHeight="false" outlineLevel="0" collapsed="false">
      <c r="A11" s="2" t="s">
        <v>75</v>
      </c>
      <c r="B11" s="3" t="n">
        <v>45251</v>
      </c>
      <c r="C11" s="2" t="s">
        <v>76</v>
      </c>
      <c r="D11" s="2" t="s">
        <v>77</v>
      </c>
      <c r="E11" s="2" t="n">
        <v>4</v>
      </c>
      <c r="F11" s="4" t="n">
        <v>509.38</v>
      </c>
      <c r="G11" s="2" t="s">
        <v>78</v>
      </c>
      <c r="H11" s="2" t="s">
        <v>38</v>
      </c>
      <c r="I11" s="2" t="s">
        <v>23</v>
      </c>
      <c r="J11" s="2" t="s">
        <v>79</v>
      </c>
      <c r="K11" s="2" t="n">
        <v>6</v>
      </c>
      <c r="L11" s="2" t="s">
        <v>25</v>
      </c>
      <c r="M11" s="2" t="s">
        <v>80</v>
      </c>
      <c r="N11" s="4" t="n">
        <v>2037.52</v>
      </c>
      <c r="O11" s="2" t="str">
        <f aca="false">IF(COUNTIF($A$2:$A$1201,A11)&gt;1,"DUPLICATE","Unique")</f>
        <v>Unique</v>
      </c>
      <c r="P11" s="2" t="str">
        <f aca="false">IF(L11="","MISSING","OK")</f>
        <v>OK</v>
      </c>
      <c r="Q11" s="2" t="str">
        <f aca="false">IF(ISNUMBER(B11),"OK","BAD DATE")</f>
        <v>OK</v>
      </c>
      <c r="R11" s="2" t="str">
        <f aca="false">IF(ROUND(F11,2)=F11,"OK","FIX")</f>
        <v>OK</v>
      </c>
    </row>
    <row r="12" customFormat="false" ht="15" hidden="false" customHeight="false" outlineLevel="0" collapsed="false">
      <c r="A12" s="2" t="s">
        <v>81</v>
      </c>
      <c r="B12" s="3" t="n">
        <v>45289</v>
      </c>
      <c r="C12" s="2" t="s">
        <v>82</v>
      </c>
      <c r="D12" s="2" t="s">
        <v>36</v>
      </c>
      <c r="E12" s="2" t="n">
        <v>5</v>
      </c>
      <c r="F12" s="4" t="n">
        <v>625.97</v>
      </c>
      <c r="G12" s="2" t="s">
        <v>83</v>
      </c>
      <c r="H12" s="2" t="s">
        <v>38</v>
      </c>
      <c r="I12" s="2" t="s">
        <v>47</v>
      </c>
      <c r="J12" s="2" t="s">
        <v>84</v>
      </c>
      <c r="K12" s="2" t="n">
        <v>9</v>
      </c>
      <c r="L12" s="2" t="s">
        <v>85</v>
      </c>
      <c r="M12" s="2" t="s">
        <v>26</v>
      </c>
      <c r="N12" s="4" t="n">
        <v>3129.85</v>
      </c>
      <c r="O12" s="2" t="str">
        <f aca="false">IF(COUNTIF($A$2:$A$1201,A12)&gt;1,"DUPLICATE","Unique")</f>
        <v>Unique</v>
      </c>
      <c r="P12" s="2" t="str">
        <f aca="false">IF(L12="","MISSING","OK")</f>
        <v>OK</v>
      </c>
      <c r="Q12" s="2" t="str">
        <f aca="false">IF(ISNUMBER(B12),"OK","BAD DATE")</f>
        <v>OK</v>
      </c>
      <c r="R12" s="2" t="str">
        <f aca="false">IF(ROUND(F12,2)=F12,"OK","FIX")</f>
        <v>OK</v>
      </c>
    </row>
    <row r="13" customFormat="false" ht="15" hidden="false" customHeight="false" outlineLevel="0" collapsed="false">
      <c r="A13" s="2" t="s">
        <v>86</v>
      </c>
      <c r="B13" s="3" t="n">
        <v>45339</v>
      </c>
      <c r="C13" s="2" t="s">
        <v>87</v>
      </c>
      <c r="D13" s="2" t="s">
        <v>20</v>
      </c>
      <c r="E13" s="2" t="n">
        <v>3</v>
      </c>
      <c r="F13" s="4" t="n">
        <v>49.14</v>
      </c>
      <c r="G13" s="2" t="s">
        <v>88</v>
      </c>
      <c r="H13" s="2" t="s">
        <v>31</v>
      </c>
      <c r="I13" s="2" t="s">
        <v>47</v>
      </c>
      <c r="J13" s="2" t="s">
        <v>89</v>
      </c>
      <c r="K13" s="2" t="n">
        <v>7</v>
      </c>
      <c r="L13" s="2" t="s">
        <v>25</v>
      </c>
      <c r="M13" s="2" t="s">
        <v>42</v>
      </c>
      <c r="N13" s="4" t="n">
        <v>147.42</v>
      </c>
      <c r="O13" s="2" t="str">
        <f aca="false">IF(COUNTIF($A$2:$A$1201,A13)&gt;1,"DUPLICATE","Unique")</f>
        <v>Unique</v>
      </c>
      <c r="P13" s="2" t="str">
        <f aca="false">IF(L13="","MISSING","OK")</f>
        <v>OK</v>
      </c>
      <c r="Q13" s="2" t="str">
        <f aca="false">IF(ISNUMBER(B13),"OK","BAD DATE")</f>
        <v>OK</v>
      </c>
      <c r="R13" s="2" t="str">
        <f aca="false">IF(ROUND(F13,2)=F13,"OK","FIX")</f>
        <v>OK</v>
      </c>
    </row>
    <row r="14" customFormat="false" ht="15" hidden="false" customHeight="false" outlineLevel="0" collapsed="false">
      <c r="A14" s="2" t="s">
        <v>90</v>
      </c>
      <c r="B14" s="3" t="n">
        <v>45580</v>
      </c>
      <c r="C14" s="2" t="s">
        <v>91</v>
      </c>
      <c r="D14" s="2" t="s">
        <v>20</v>
      </c>
      <c r="E14" s="2" t="n">
        <v>2</v>
      </c>
      <c r="F14" s="4" t="n">
        <v>180.5</v>
      </c>
      <c r="G14" s="2" t="s">
        <v>92</v>
      </c>
      <c r="H14" s="2" t="s">
        <v>22</v>
      </c>
      <c r="I14" s="2" t="s">
        <v>93</v>
      </c>
      <c r="J14" s="2" t="s">
        <v>94</v>
      </c>
      <c r="K14" s="2" t="n">
        <v>6</v>
      </c>
      <c r="L14" s="2" t="s">
        <v>41</v>
      </c>
      <c r="M14" s="2" t="s">
        <v>33</v>
      </c>
      <c r="N14" s="4" t="n">
        <v>361</v>
      </c>
      <c r="O14" s="2" t="str">
        <f aca="false">IF(COUNTIF($A$2:$A$1201,A14)&gt;1,"DUPLICATE","Unique")</f>
        <v>Unique</v>
      </c>
      <c r="P14" s="2" t="str">
        <f aca="false">IF(L14="","MISSING","OK")</f>
        <v>OK</v>
      </c>
      <c r="Q14" s="2" t="str">
        <f aca="false">IF(ISNUMBER(B14),"OK","BAD DATE")</f>
        <v>OK</v>
      </c>
      <c r="R14" s="2" t="str">
        <f aca="false">IF(ROUND(F14,2)=F14,"OK","FIX")</f>
        <v>OK</v>
      </c>
    </row>
    <row r="15" customFormat="false" ht="15" hidden="false" customHeight="false" outlineLevel="0" collapsed="false">
      <c r="A15" s="2" t="s">
        <v>95</v>
      </c>
      <c r="B15" s="3" t="n">
        <v>45168</v>
      </c>
      <c r="C15" s="2" t="s">
        <v>96</v>
      </c>
      <c r="D15" s="2" t="s">
        <v>62</v>
      </c>
      <c r="E15" s="2" t="n">
        <v>3</v>
      </c>
      <c r="F15" s="4" t="n">
        <v>201.49</v>
      </c>
      <c r="G15" s="2" t="s">
        <v>97</v>
      </c>
      <c r="H15" s="2" t="s">
        <v>38</v>
      </c>
      <c r="I15" s="2" t="s">
        <v>47</v>
      </c>
      <c r="J15" s="2" t="s">
        <v>98</v>
      </c>
      <c r="K15" s="2" t="n">
        <v>4</v>
      </c>
      <c r="L15" s="2" t="s">
        <v>41</v>
      </c>
      <c r="M15" s="2" t="s">
        <v>49</v>
      </c>
      <c r="N15" s="4" t="n">
        <v>604.47</v>
      </c>
      <c r="O15" s="2" t="str">
        <f aca="false">IF(COUNTIF($A$2:$A$1201,A15)&gt;1,"DUPLICATE","Unique")</f>
        <v>Unique</v>
      </c>
      <c r="P15" s="2" t="str">
        <f aca="false">IF(L15="","MISSING","OK")</f>
        <v>OK</v>
      </c>
      <c r="Q15" s="2" t="str">
        <f aca="false">IF(ISNUMBER(B15),"OK","BAD DATE")</f>
        <v>OK</v>
      </c>
      <c r="R15" s="2" t="str">
        <f aca="false">IF(ROUND(F15,2)=F15,"OK","FIX")</f>
        <v>OK</v>
      </c>
    </row>
    <row r="16" customFormat="false" ht="15" hidden="false" customHeight="false" outlineLevel="0" collapsed="false">
      <c r="A16" s="2" t="s">
        <v>99</v>
      </c>
      <c r="B16" s="3" t="n">
        <v>45012</v>
      </c>
      <c r="C16" s="2" t="s">
        <v>100</v>
      </c>
      <c r="D16" s="2" t="s">
        <v>36</v>
      </c>
      <c r="E16" s="2" t="n">
        <v>2</v>
      </c>
      <c r="F16" s="4" t="n">
        <v>393.33</v>
      </c>
      <c r="G16" s="2" t="s">
        <v>101</v>
      </c>
      <c r="H16" s="2" t="s">
        <v>22</v>
      </c>
      <c r="I16" s="2" t="s">
        <v>93</v>
      </c>
      <c r="J16" s="2" t="s">
        <v>102</v>
      </c>
      <c r="K16" s="2" t="n">
        <v>3</v>
      </c>
      <c r="L16" s="2" t="s">
        <v>25</v>
      </c>
      <c r="M16" s="2" t="s">
        <v>26</v>
      </c>
      <c r="N16" s="4" t="n">
        <v>786.66</v>
      </c>
      <c r="O16" s="2" t="str">
        <f aca="false">IF(COUNTIF($A$2:$A$1201,A16)&gt;1,"DUPLICATE","Unique")</f>
        <v>Unique</v>
      </c>
      <c r="P16" s="2" t="str">
        <f aca="false">IF(L16="","MISSING","OK")</f>
        <v>OK</v>
      </c>
      <c r="Q16" s="2" t="str">
        <f aca="false">IF(ISNUMBER(B16),"OK","BAD DATE")</f>
        <v>OK</v>
      </c>
      <c r="R16" s="2" t="str">
        <f aca="false">IF(ROUND(F16,2)=F16,"OK","FIX")</f>
        <v>OK</v>
      </c>
    </row>
    <row r="17" customFormat="false" ht="15" hidden="false" customHeight="false" outlineLevel="0" collapsed="false">
      <c r="A17" s="2" t="s">
        <v>103</v>
      </c>
      <c r="B17" s="3" t="n">
        <v>45124</v>
      </c>
      <c r="C17" s="2" t="s">
        <v>104</v>
      </c>
      <c r="D17" s="2" t="s">
        <v>52</v>
      </c>
      <c r="E17" s="2" t="n">
        <v>1</v>
      </c>
      <c r="F17" s="4" t="n">
        <v>473.96</v>
      </c>
      <c r="G17" s="2" t="s">
        <v>105</v>
      </c>
      <c r="H17" s="2" t="s">
        <v>69</v>
      </c>
      <c r="I17" s="2" t="s">
        <v>54</v>
      </c>
      <c r="J17" s="2" t="s">
        <v>106</v>
      </c>
      <c r="K17" s="2" t="n">
        <v>3</v>
      </c>
      <c r="L17" s="2"/>
      <c r="M17" s="2" t="s">
        <v>80</v>
      </c>
      <c r="N17" s="4" t="n">
        <v>473.96</v>
      </c>
      <c r="O17" s="2" t="str">
        <f aca="false">IF(COUNTIF($A$2:$A$1201,A17)&gt;1,"DUPLICATE","Unique")</f>
        <v>Unique</v>
      </c>
      <c r="P17" s="2" t="str">
        <f aca="false">IF(L17="","MISSING","OK")</f>
        <v>MISSING</v>
      </c>
      <c r="Q17" s="2" t="str">
        <f aca="false">IF(ISNUMBER(B17),"OK","BAD DATE")</f>
        <v>OK</v>
      </c>
      <c r="R17" s="2" t="str">
        <f aca="false">IF(ROUND(F17,2)=F17,"OK","FIX")</f>
        <v>OK</v>
      </c>
    </row>
    <row r="18" customFormat="false" ht="15" hidden="false" customHeight="false" outlineLevel="0" collapsed="false">
      <c r="A18" s="2" t="s">
        <v>107</v>
      </c>
      <c r="B18" s="3" t="n">
        <v>44950</v>
      </c>
      <c r="C18" s="2" t="s">
        <v>108</v>
      </c>
      <c r="D18" s="2" t="s">
        <v>52</v>
      </c>
      <c r="E18" s="2" t="n">
        <v>2</v>
      </c>
      <c r="F18" s="4" t="n">
        <v>533.81</v>
      </c>
      <c r="G18" s="2" t="s">
        <v>109</v>
      </c>
      <c r="H18" s="2" t="s">
        <v>38</v>
      </c>
      <c r="I18" s="2" t="s">
        <v>93</v>
      </c>
      <c r="J18" s="2" t="s">
        <v>110</v>
      </c>
      <c r="K18" s="2" t="n">
        <v>3</v>
      </c>
      <c r="L18" s="2" t="s">
        <v>41</v>
      </c>
      <c r="M18" s="2" t="s">
        <v>42</v>
      </c>
      <c r="N18" s="4" t="n">
        <v>1067.62</v>
      </c>
      <c r="O18" s="2" t="str">
        <f aca="false">IF(COUNTIF($A$2:$A$1201,A18)&gt;1,"DUPLICATE","Unique")</f>
        <v>Unique</v>
      </c>
      <c r="P18" s="2" t="str">
        <f aca="false">IF(L18="","MISSING","OK")</f>
        <v>OK</v>
      </c>
      <c r="Q18" s="2" t="str">
        <f aca="false">IF(ISNUMBER(B18),"OK","BAD DATE")</f>
        <v>OK</v>
      </c>
      <c r="R18" s="2" t="str">
        <f aca="false">IF(ROUND(F18,2)=F18,"OK","FIX")</f>
        <v>OK</v>
      </c>
    </row>
    <row r="19" customFormat="false" ht="15" hidden="false" customHeight="false" outlineLevel="0" collapsed="false">
      <c r="A19" s="2" t="s">
        <v>111</v>
      </c>
      <c r="B19" s="3" t="n">
        <v>45353</v>
      </c>
      <c r="C19" s="2" t="s">
        <v>112</v>
      </c>
      <c r="D19" s="2" t="s">
        <v>36</v>
      </c>
      <c r="E19" s="2" t="n">
        <v>1</v>
      </c>
      <c r="F19" s="4" t="n">
        <v>423.4</v>
      </c>
      <c r="G19" s="2" t="s">
        <v>113</v>
      </c>
      <c r="H19" s="2" t="s">
        <v>22</v>
      </c>
      <c r="I19" s="2" t="s">
        <v>23</v>
      </c>
      <c r="J19" s="2" t="s">
        <v>114</v>
      </c>
      <c r="K19" s="2" t="n">
        <v>3</v>
      </c>
      <c r="L19" s="2"/>
      <c r="M19" s="2" t="s">
        <v>33</v>
      </c>
      <c r="N19" s="4" t="n">
        <v>423.4</v>
      </c>
      <c r="O19" s="2" t="str">
        <f aca="false">IF(COUNTIF($A$2:$A$1201,A19)&gt;1,"DUPLICATE","Unique")</f>
        <v>Unique</v>
      </c>
      <c r="P19" s="2" t="str">
        <f aca="false">IF(L19="","MISSING","OK")</f>
        <v>MISSING</v>
      </c>
      <c r="Q19" s="2" t="str">
        <f aca="false">IF(ISNUMBER(B19),"OK","BAD DATE")</f>
        <v>OK</v>
      </c>
      <c r="R19" s="2" t="str">
        <f aca="false">IF(ROUND(F19,2)=F19,"OK","FIX")</f>
        <v>OK</v>
      </c>
    </row>
    <row r="20" customFormat="false" ht="15" hidden="false" customHeight="false" outlineLevel="0" collapsed="false">
      <c r="A20" s="2" t="s">
        <v>115</v>
      </c>
      <c r="B20" s="3" t="n">
        <v>45742</v>
      </c>
      <c r="C20" s="2" t="s">
        <v>116</v>
      </c>
      <c r="D20" s="2" t="s">
        <v>77</v>
      </c>
      <c r="E20" s="2" t="n">
        <v>1</v>
      </c>
      <c r="F20" s="4" t="n">
        <v>431.44</v>
      </c>
      <c r="G20" s="2" t="s">
        <v>117</v>
      </c>
      <c r="H20" s="2" t="s">
        <v>64</v>
      </c>
      <c r="I20" s="2" t="s">
        <v>93</v>
      </c>
      <c r="J20" s="2" t="s">
        <v>118</v>
      </c>
      <c r="K20" s="2" t="n">
        <v>3</v>
      </c>
      <c r="L20" s="2" t="s">
        <v>25</v>
      </c>
      <c r="M20" s="2" t="s">
        <v>49</v>
      </c>
      <c r="N20" s="4" t="n">
        <v>431.44</v>
      </c>
      <c r="O20" s="2" t="str">
        <f aca="false">IF(COUNTIF($A$2:$A$1201,A20)&gt;1,"DUPLICATE","Unique")</f>
        <v>Unique</v>
      </c>
      <c r="P20" s="2" t="str">
        <f aca="false">IF(L20="","MISSING","OK")</f>
        <v>OK</v>
      </c>
      <c r="Q20" s="2" t="str">
        <f aca="false">IF(ISNUMBER(B20),"OK","BAD DATE")</f>
        <v>OK</v>
      </c>
      <c r="R20" s="2" t="str">
        <f aca="false">IF(ROUND(F20,2)=F20,"OK","FIX")</f>
        <v>OK</v>
      </c>
    </row>
    <row r="21" customFormat="false" ht="15" hidden="false" customHeight="false" outlineLevel="0" collapsed="false">
      <c r="A21" s="2" t="s">
        <v>119</v>
      </c>
      <c r="B21" s="3" t="n">
        <v>44949</v>
      </c>
      <c r="C21" s="2" t="s">
        <v>120</v>
      </c>
      <c r="D21" s="2" t="s">
        <v>20</v>
      </c>
      <c r="E21" s="2" t="n">
        <v>5</v>
      </c>
      <c r="F21" s="4" t="n">
        <v>224</v>
      </c>
      <c r="G21" s="2" t="s">
        <v>121</v>
      </c>
      <c r="H21" s="2" t="s">
        <v>69</v>
      </c>
      <c r="I21" s="2" t="s">
        <v>47</v>
      </c>
      <c r="J21" s="2" t="s">
        <v>122</v>
      </c>
      <c r="K21" s="2" t="n">
        <v>9</v>
      </c>
      <c r="L21" s="2" t="s">
        <v>25</v>
      </c>
      <c r="M21" s="2" t="s">
        <v>80</v>
      </c>
      <c r="N21" s="4" t="n">
        <v>1120</v>
      </c>
      <c r="O21" s="2" t="str">
        <f aca="false">IF(COUNTIF($A$2:$A$1201,A21)&gt;1,"DUPLICATE","Unique")</f>
        <v>Unique</v>
      </c>
      <c r="P21" s="2" t="str">
        <f aca="false">IF(L21="","MISSING","OK")</f>
        <v>OK</v>
      </c>
      <c r="Q21" s="2" t="str">
        <f aca="false">IF(ISNUMBER(B21),"OK","BAD DATE")</f>
        <v>OK</v>
      </c>
      <c r="R21" s="2" t="str">
        <f aca="false">IF(ROUND(F21,2)=F21,"OK","FIX")</f>
        <v>OK</v>
      </c>
    </row>
    <row r="22" customFormat="false" ht="15" hidden="false" customHeight="false" outlineLevel="0" collapsed="false">
      <c r="A22" s="2" t="s">
        <v>123</v>
      </c>
      <c r="B22" s="3" t="n">
        <v>45054</v>
      </c>
      <c r="C22" s="2" t="s">
        <v>124</v>
      </c>
      <c r="D22" s="2" t="s">
        <v>45</v>
      </c>
      <c r="E22" s="2" t="n">
        <v>5</v>
      </c>
      <c r="F22" s="4" t="n">
        <v>62.51</v>
      </c>
      <c r="G22" s="2" t="s">
        <v>125</v>
      </c>
      <c r="H22" s="2" t="s">
        <v>69</v>
      </c>
      <c r="I22" s="2" t="s">
        <v>93</v>
      </c>
      <c r="J22" s="2" t="s">
        <v>126</v>
      </c>
      <c r="K22" s="2" t="n">
        <v>9</v>
      </c>
      <c r="L22" s="2" t="s">
        <v>85</v>
      </c>
      <c r="M22" s="2" t="s">
        <v>26</v>
      </c>
      <c r="N22" s="4" t="n">
        <v>312.55</v>
      </c>
      <c r="O22" s="2" t="str">
        <f aca="false">IF(COUNTIF($A$2:$A$1201,A22)&gt;1,"DUPLICATE","Unique")</f>
        <v>Unique</v>
      </c>
      <c r="P22" s="2" t="str">
        <f aca="false">IF(L22="","MISSING","OK")</f>
        <v>OK</v>
      </c>
      <c r="Q22" s="2" t="str">
        <f aca="false">IF(ISNUMBER(B22),"OK","BAD DATE")</f>
        <v>OK</v>
      </c>
      <c r="R22" s="2" t="str">
        <f aca="false">IF(ROUND(F22,2)=F22,"OK","FIX")</f>
        <v>OK</v>
      </c>
    </row>
    <row r="23" customFormat="false" ht="15" hidden="false" customHeight="false" outlineLevel="0" collapsed="false">
      <c r="A23" s="2" t="s">
        <v>127</v>
      </c>
      <c r="B23" s="3" t="n">
        <v>45613</v>
      </c>
      <c r="C23" s="2" t="s">
        <v>128</v>
      </c>
      <c r="D23" s="2" t="s">
        <v>20</v>
      </c>
      <c r="E23" s="2" t="n">
        <v>4</v>
      </c>
      <c r="F23" s="4" t="n">
        <v>342.95</v>
      </c>
      <c r="G23" s="2" t="s">
        <v>129</v>
      </c>
      <c r="H23" s="2" t="s">
        <v>69</v>
      </c>
      <c r="I23" s="2" t="s">
        <v>54</v>
      </c>
      <c r="J23" s="2" t="s">
        <v>130</v>
      </c>
      <c r="K23" s="2" t="n">
        <v>6</v>
      </c>
      <c r="L23" s="2"/>
      <c r="M23" s="2" t="s">
        <v>80</v>
      </c>
      <c r="N23" s="4" t="n">
        <v>1371.8</v>
      </c>
      <c r="O23" s="2" t="str">
        <f aca="false">IF(COUNTIF($A$2:$A$1201,A23)&gt;1,"DUPLICATE","Unique")</f>
        <v>Unique</v>
      </c>
      <c r="P23" s="2" t="str">
        <f aca="false">IF(L23="","MISSING","OK")</f>
        <v>MISSING</v>
      </c>
      <c r="Q23" s="2" t="str">
        <f aca="false">IF(ISNUMBER(B23),"OK","BAD DATE")</f>
        <v>OK</v>
      </c>
      <c r="R23" s="2" t="str">
        <f aca="false">IF(ROUND(F23,2)=F23,"OK","FIX")</f>
        <v>OK</v>
      </c>
    </row>
    <row r="24" customFormat="false" ht="15" hidden="false" customHeight="false" outlineLevel="0" collapsed="false">
      <c r="A24" s="2" t="s">
        <v>131</v>
      </c>
      <c r="B24" s="3" t="n">
        <v>44955</v>
      </c>
      <c r="C24" s="2" t="s">
        <v>132</v>
      </c>
      <c r="D24" s="2" t="s">
        <v>20</v>
      </c>
      <c r="E24" s="2" t="n">
        <v>2</v>
      </c>
      <c r="F24" s="4" t="n">
        <v>49.62</v>
      </c>
      <c r="G24" s="2" t="s">
        <v>133</v>
      </c>
      <c r="H24" s="2" t="s">
        <v>31</v>
      </c>
      <c r="I24" s="2" t="s">
        <v>93</v>
      </c>
      <c r="J24" s="2" t="s">
        <v>134</v>
      </c>
      <c r="K24" s="2" t="n">
        <v>2</v>
      </c>
      <c r="L24" s="2" t="s">
        <v>25</v>
      </c>
      <c r="M24" s="2" t="s">
        <v>80</v>
      </c>
      <c r="N24" s="4" t="n">
        <v>99.24</v>
      </c>
      <c r="O24" s="2" t="str">
        <f aca="false">IF(COUNTIF($A$2:$A$1201,A24)&gt;1,"DUPLICATE","Unique")</f>
        <v>Unique</v>
      </c>
      <c r="P24" s="2" t="str">
        <f aca="false">IF(L24="","MISSING","OK")</f>
        <v>OK</v>
      </c>
      <c r="Q24" s="2" t="str">
        <f aca="false">IF(ISNUMBER(B24),"OK","BAD DATE")</f>
        <v>OK</v>
      </c>
      <c r="R24" s="2" t="str">
        <f aca="false">IF(ROUND(F24,2)=F24,"OK","FIX")</f>
        <v>OK</v>
      </c>
    </row>
    <row r="25" customFormat="false" ht="15" hidden="false" customHeight="false" outlineLevel="0" collapsed="false">
      <c r="A25" s="2" t="s">
        <v>135</v>
      </c>
      <c r="B25" s="3" t="n">
        <v>45756</v>
      </c>
      <c r="C25" s="2" t="s">
        <v>136</v>
      </c>
      <c r="D25" s="2" t="s">
        <v>29</v>
      </c>
      <c r="E25" s="2" t="n">
        <v>4</v>
      </c>
      <c r="F25" s="4" t="n">
        <v>273.25</v>
      </c>
      <c r="G25" s="2" t="s">
        <v>137</v>
      </c>
      <c r="H25" s="2" t="s">
        <v>22</v>
      </c>
      <c r="I25" s="2" t="s">
        <v>39</v>
      </c>
      <c r="J25" s="2" t="s">
        <v>138</v>
      </c>
      <c r="K25" s="2" t="n">
        <v>5</v>
      </c>
      <c r="L25" s="2" t="s">
        <v>41</v>
      </c>
      <c r="M25" s="2" t="s">
        <v>33</v>
      </c>
      <c r="N25" s="4" t="n">
        <v>1093</v>
      </c>
      <c r="O25" s="2" t="str">
        <f aca="false">IF(COUNTIF($A$2:$A$1201,A25)&gt;1,"DUPLICATE","Unique")</f>
        <v>Unique</v>
      </c>
      <c r="P25" s="2" t="str">
        <f aca="false">IF(L25="","MISSING","OK")</f>
        <v>OK</v>
      </c>
      <c r="Q25" s="2" t="str">
        <f aca="false">IF(ISNUMBER(B25),"OK","BAD DATE")</f>
        <v>OK</v>
      </c>
      <c r="R25" s="2" t="str">
        <f aca="false">IF(ROUND(F25,2)=F25,"OK","FIX")</f>
        <v>OK</v>
      </c>
    </row>
    <row r="26" customFormat="false" ht="15" hidden="false" customHeight="false" outlineLevel="0" collapsed="false">
      <c r="A26" s="2" t="s">
        <v>139</v>
      </c>
      <c r="B26" s="3" t="n">
        <v>45595</v>
      </c>
      <c r="C26" s="2" t="s">
        <v>140</v>
      </c>
      <c r="D26" s="2" t="s">
        <v>62</v>
      </c>
      <c r="E26" s="2" t="n">
        <v>2</v>
      </c>
      <c r="F26" s="4" t="n">
        <v>230.95</v>
      </c>
      <c r="G26" s="2" t="s">
        <v>141</v>
      </c>
      <c r="H26" s="2" t="s">
        <v>31</v>
      </c>
      <c r="I26" s="2" t="s">
        <v>54</v>
      </c>
      <c r="J26" s="2" t="s">
        <v>142</v>
      </c>
      <c r="K26" s="2" t="n">
        <v>3</v>
      </c>
      <c r="L26" s="2" t="s">
        <v>85</v>
      </c>
      <c r="M26" s="2" t="s">
        <v>33</v>
      </c>
      <c r="N26" s="4" t="n">
        <v>461.9</v>
      </c>
      <c r="O26" s="2" t="str">
        <f aca="false">IF(COUNTIF($A$2:$A$1201,A26)&gt;1,"DUPLICATE","Unique")</f>
        <v>Unique</v>
      </c>
      <c r="P26" s="2" t="str">
        <f aca="false">IF(L26="","MISSING","OK")</f>
        <v>OK</v>
      </c>
      <c r="Q26" s="2" t="str">
        <f aca="false">IF(ISNUMBER(B26),"OK","BAD DATE")</f>
        <v>OK</v>
      </c>
      <c r="R26" s="2" t="str">
        <f aca="false">IF(ROUND(F26,2)=F26,"OK","FIX")</f>
        <v>OK</v>
      </c>
    </row>
    <row r="27" customFormat="false" ht="15" hidden="false" customHeight="false" outlineLevel="0" collapsed="false">
      <c r="A27" s="2" t="s">
        <v>143</v>
      </c>
      <c r="B27" s="3" t="n">
        <v>45497</v>
      </c>
      <c r="C27" s="2" t="s">
        <v>144</v>
      </c>
      <c r="D27" s="2" t="s">
        <v>20</v>
      </c>
      <c r="E27" s="2" t="n">
        <v>1</v>
      </c>
      <c r="F27" s="4" t="n">
        <v>399.98</v>
      </c>
      <c r="G27" s="2" t="s">
        <v>145</v>
      </c>
      <c r="H27" s="2" t="s">
        <v>22</v>
      </c>
      <c r="I27" s="2" t="s">
        <v>54</v>
      </c>
      <c r="J27" s="2" t="s">
        <v>146</v>
      </c>
      <c r="K27" s="2" t="n">
        <v>3</v>
      </c>
      <c r="L27" s="2" t="s">
        <v>85</v>
      </c>
      <c r="M27" s="2" t="s">
        <v>42</v>
      </c>
      <c r="N27" s="4" t="n">
        <v>399.98</v>
      </c>
      <c r="O27" s="2" t="str">
        <f aca="false">IF(COUNTIF($A$2:$A$1201,A27)&gt;1,"DUPLICATE","Unique")</f>
        <v>Unique</v>
      </c>
      <c r="P27" s="2" t="str">
        <f aca="false">IF(L27="","MISSING","OK")</f>
        <v>OK</v>
      </c>
      <c r="Q27" s="2" t="str">
        <f aca="false">IF(ISNUMBER(B27),"OK","BAD DATE")</f>
        <v>OK</v>
      </c>
      <c r="R27" s="2" t="str">
        <f aca="false">IF(ROUND(F27,2)=F27,"OK","FIX")</f>
        <v>OK</v>
      </c>
    </row>
    <row r="28" customFormat="false" ht="15" hidden="false" customHeight="false" outlineLevel="0" collapsed="false">
      <c r="A28" s="2" t="s">
        <v>147</v>
      </c>
      <c r="B28" s="3" t="n">
        <v>45357</v>
      </c>
      <c r="C28" s="2" t="s">
        <v>148</v>
      </c>
      <c r="D28" s="2" t="s">
        <v>62</v>
      </c>
      <c r="E28" s="2" t="n">
        <v>5</v>
      </c>
      <c r="F28" s="4" t="n">
        <v>59.55</v>
      </c>
      <c r="G28" s="2" t="s">
        <v>149</v>
      </c>
      <c r="H28" s="2" t="s">
        <v>31</v>
      </c>
      <c r="I28" s="2" t="s">
        <v>54</v>
      </c>
      <c r="J28" s="2" t="s">
        <v>150</v>
      </c>
      <c r="K28" s="2" t="n">
        <v>6</v>
      </c>
      <c r="L28" s="2"/>
      <c r="M28" s="2" t="s">
        <v>33</v>
      </c>
      <c r="N28" s="4" t="n">
        <v>297.75</v>
      </c>
      <c r="O28" s="2" t="str">
        <f aca="false">IF(COUNTIF($A$2:$A$1201,A28)&gt;1,"DUPLICATE","Unique")</f>
        <v>Unique</v>
      </c>
      <c r="P28" s="2" t="str">
        <f aca="false">IF(L28="","MISSING","OK")</f>
        <v>MISSING</v>
      </c>
      <c r="Q28" s="2" t="str">
        <f aca="false">IF(ISNUMBER(B28),"OK","BAD DATE")</f>
        <v>OK</v>
      </c>
      <c r="R28" s="2" t="str">
        <f aca="false">IF(ROUND(F28,2)=F28,"OK","FIX")</f>
        <v>OK</v>
      </c>
    </row>
    <row r="29" customFormat="false" ht="15" hidden="false" customHeight="false" outlineLevel="0" collapsed="false">
      <c r="A29" s="2" t="s">
        <v>151</v>
      </c>
      <c r="B29" s="3" t="n">
        <v>45344</v>
      </c>
      <c r="C29" s="2" t="s">
        <v>152</v>
      </c>
      <c r="D29" s="2" t="s">
        <v>52</v>
      </c>
      <c r="E29" s="2" t="n">
        <v>1</v>
      </c>
      <c r="F29" s="4" t="n">
        <v>472.74</v>
      </c>
      <c r="G29" s="2" t="s">
        <v>153</v>
      </c>
      <c r="H29" s="2" t="s">
        <v>31</v>
      </c>
      <c r="I29" s="2" t="s">
        <v>23</v>
      </c>
      <c r="J29" s="2" t="s">
        <v>154</v>
      </c>
      <c r="K29" s="2" t="n">
        <v>6</v>
      </c>
      <c r="L29" s="2" t="s">
        <v>85</v>
      </c>
      <c r="M29" s="2" t="s">
        <v>80</v>
      </c>
      <c r="N29" s="4" t="n">
        <v>472.74</v>
      </c>
      <c r="O29" s="2" t="str">
        <f aca="false">IF(COUNTIF($A$2:$A$1201,A29)&gt;1,"DUPLICATE","Unique")</f>
        <v>Unique</v>
      </c>
      <c r="P29" s="2" t="str">
        <f aca="false">IF(L29="","MISSING","OK")</f>
        <v>OK</v>
      </c>
      <c r="Q29" s="2" t="str">
        <f aca="false">IF(ISNUMBER(B29),"OK","BAD DATE")</f>
        <v>OK</v>
      </c>
      <c r="R29" s="2" t="str">
        <f aca="false">IF(ROUND(F29,2)=F29,"OK","FIX")</f>
        <v>OK</v>
      </c>
    </row>
    <row r="30" customFormat="false" ht="15" hidden="false" customHeight="false" outlineLevel="0" collapsed="false">
      <c r="A30" s="2" t="s">
        <v>155</v>
      </c>
      <c r="B30" s="3" t="n">
        <v>45251</v>
      </c>
      <c r="C30" s="2" t="s">
        <v>156</v>
      </c>
      <c r="D30" s="2" t="s">
        <v>29</v>
      </c>
      <c r="E30" s="2" t="n">
        <v>4</v>
      </c>
      <c r="F30" s="4" t="n">
        <v>160.07</v>
      </c>
      <c r="G30" s="2" t="s">
        <v>157</v>
      </c>
      <c r="H30" s="2" t="s">
        <v>31</v>
      </c>
      <c r="I30" s="2" t="s">
        <v>93</v>
      </c>
      <c r="J30" s="2" t="s">
        <v>158</v>
      </c>
      <c r="K30" s="2" t="n">
        <v>5</v>
      </c>
      <c r="L30" s="2"/>
      <c r="M30" s="2" t="s">
        <v>42</v>
      </c>
      <c r="N30" s="4" t="n">
        <v>640.28</v>
      </c>
      <c r="O30" s="2" t="str">
        <f aca="false">IF(COUNTIF($A$2:$A$1201,A30)&gt;1,"DUPLICATE","Unique")</f>
        <v>Unique</v>
      </c>
      <c r="P30" s="2" t="str">
        <f aca="false">IF(L30="","MISSING","OK")</f>
        <v>MISSING</v>
      </c>
      <c r="Q30" s="2" t="str">
        <f aca="false">IF(ISNUMBER(B30),"OK","BAD DATE")</f>
        <v>OK</v>
      </c>
      <c r="R30" s="2" t="str">
        <f aca="false">IF(ROUND(F30,2)=F30,"OK","FIX")</f>
        <v>OK</v>
      </c>
    </row>
    <row r="31" customFormat="false" ht="15" hidden="false" customHeight="false" outlineLevel="0" collapsed="false">
      <c r="A31" s="2" t="s">
        <v>159</v>
      </c>
      <c r="B31" s="3" t="n">
        <v>45555</v>
      </c>
      <c r="C31" s="2" t="s">
        <v>160</v>
      </c>
      <c r="D31" s="2" t="s">
        <v>77</v>
      </c>
      <c r="E31" s="2" t="n">
        <v>3</v>
      </c>
      <c r="F31" s="4" t="n">
        <v>423.53</v>
      </c>
      <c r="G31" s="2" t="s">
        <v>161</v>
      </c>
      <c r="H31" s="2" t="s">
        <v>38</v>
      </c>
      <c r="I31" s="2" t="s">
        <v>54</v>
      </c>
      <c r="J31" s="2" t="s">
        <v>162</v>
      </c>
      <c r="K31" s="2" t="n">
        <v>6</v>
      </c>
      <c r="L31" s="2" t="s">
        <v>25</v>
      </c>
      <c r="M31" s="2" t="s">
        <v>33</v>
      </c>
      <c r="N31" s="4" t="n">
        <v>1270.59</v>
      </c>
      <c r="O31" s="2" t="str">
        <f aca="false">IF(COUNTIF($A$2:$A$1201,A31)&gt;1,"DUPLICATE","Unique")</f>
        <v>Unique</v>
      </c>
      <c r="P31" s="2" t="str">
        <f aca="false">IF(L31="","MISSING","OK")</f>
        <v>OK</v>
      </c>
      <c r="Q31" s="2" t="str">
        <f aca="false">IF(ISNUMBER(B31),"OK","BAD DATE")</f>
        <v>OK</v>
      </c>
      <c r="R31" s="2" t="str">
        <f aca="false">IF(ROUND(F31,2)=F31,"OK","FIX")</f>
        <v>OK</v>
      </c>
    </row>
    <row r="32" customFormat="false" ht="15" hidden="false" customHeight="false" outlineLevel="0" collapsed="false">
      <c r="A32" s="2" t="s">
        <v>163</v>
      </c>
      <c r="B32" s="3" t="n">
        <v>45738</v>
      </c>
      <c r="C32" s="2" t="s">
        <v>164</v>
      </c>
      <c r="D32" s="2" t="s">
        <v>20</v>
      </c>
      <c r="E32" s="2" t="n">
        <v>2</v>
      </c>
      <c r="F32" s="4" t="n">
        <v>426.7</v>
      </c>
      <c r="G32" s="2" t="s">
        <v>165</v>
      </c>
      <c r="H32" s="2" t="s">
        <v>31</v>
      </c>
      <c r="I32" s="2" t="s">
        <v>93</v>
      </c>
      <c r="J32" s="2" t="s">
        <v>166</v>
      </c>
      <c r="K32" s="2" t="n">
        <v>5</v>
      </c>
      <c r="L32" s="2" t="s">
        <v>25</v>
      </c>
      <c r="M32" s="2" t="s">
        <v>33</v>
      </c>
      <c r="N32" s="4" t="n">
        <v>853.4</v>
      </c>
      <c r="O32" s="2" t="str">
        <f aca="false">IF(COUNTIF($A$2:$A$1201,A32)&gt;1,"DUPLICATE","Unique")</f>
        <v>Unique</v>
      </c>
      <c r="P32" s="2" t="str">
        <f aca="false">IF(L32="","MISSING","OK")</f>
        <v>OK</v>
      </c>
      <c r="Q32" s="2" t="str">
        <f aca="false">IF(ISNUMBER(B32),"OK","BAD DATE")</f>
        <v>OK</v>
      </c>
      <c r="R32" s="2" t="str">
        <f aca="false">IF(ROUND(F32,2)=F32,"OK","FIX")</f>
        <v>OK</v>
      </c>
    </row>
    <row r="33" customFormat="false" ht="15" hidden="false" customHeight="false" outlineLevel="0" collapsed="false">
      <c r="A33" s="2" t="s">
        <v>167</v>
      </c>
      <c r="B33" s="3" t="n">
        <v>45107</v>
      </c>
      <c r="C33" s="2" t="s">
        <v>168</v>
      </c>
      <c r="D33" s="2" t="s">
        <v>45</v>
      </c>
      <c r="E33" s="2" t="n">
        <v>3</v>
      </c>
      <c r="F33" s="4" t="n">
        <v>500.08</v>
      </c>
      <c r="G33" s="2" t="s">
        <v>169</v>
      </c>
      <c r="H33" s="2" t="s">
        <v>22</v>
      </c>
      <c r="I33" s="2" t="s">
        <v>47</v>
      </c>
      <c r="J33" s="2" t="s">
        <v>170</v>
      </c>
      <c r="K33" s="2" t="n">
        <v>6</v>
      </c>
      <c r="L33" s="2"/>
      <c r="M33" s="2" t="s">
        <v>49</v>
      </c>
      <c r="N33" s="4" t="n">
        <v>1500.24</v>
      </c>
      <c r="O33" s="2" t="str">
        <f aca="false">IF(COUNTIF($A$2:$A$1201,A33)&gt;1,"DUPLICATE","Unique")</f>
        <v>Unique</v>
      </c>
      <c r="P33" s="2" t="str">
        <f aca="false">IF(L33="","MISSING","OK")</f>
        <v>MISSING</v>
      </c>
      <c r="Q33" s="2" t="str">
        <f aca="false">IF(ISNUMBER(B33),"OK","BAD DATE")</f>
        <v>OK</v>
      </c>
      <c r="R33" s="2" t="str">
        <f aca="false">IF(ROUND(F33,2)=F33,"OK","FIX")</f>
        <v>OK</v>
      </c>
    </row>
    <row r="34" customFormat="false" ht="15" hidden="false" customHeight="false" outlineLevel="0" collapsed="false">
      <c r="A34" s="2" t="s">
        <v>171</v>
      </c>
      <c r="B34" s="3" t="n">
        <v>45047</v>
      </c>
      <c r="C34" s="2" t="s">
        <v>172</v>
      </c>
      <c r="D34" s="2" t="s">
        <v>36</v>
      </c>
      <c r="E34" s="2" t="n">
        <v>5</v>
      </c>
      <c r="F34" s="4" t="n">
        <v>536.72</v>
      </c>
      <c r="G34" s="2" t="s">
        <v>173</v>
      </c>
      <c r="H34" s="2" t="s">
        <v>69</v>
      </c>
      <c r="I34" s="2" t="s">
        <v>54</v>
      </c>
      <c r="J34" s="2" t="s">
        <v>174</v>
      </c>
      <c r="K34" s="2" t="n">
        <v>10</v>
      </c>
      <c r="L34" s="2"/>
      <c r="M34" s="2" t="s">
        <v>42</v>
      </c>
      <c r="N34" s="4" t="n">
        <v>2683.6</v>
      </c>
      <c r="O34" s="2" t="str">
        <f aca="false">IF(COUNTIF($A$2:$A$1201,A34)&gt;1,"DUPLICATE","Unique")</f>
        <v>Unique</v>
      </c>
      <c r="P34" s="2" t="str">
        <f aca="false">IF(L34="","MISSING","OK")</f>
        <v>MISSING</v>
      </c>
      <c r="Q34" s="2" t="str">
        <f aca="false">IF(ISNUMBER(B34),"OK","BAD DATE")</f>
        <v>OK</v>
      </c>
      <c r="R34" s="2" t="str">
        <f aca="false">IF(ROUND(F34,2)=F34,"OK","FIX")</f>
        <v>OK</v>
      </c>
    </row>
    <row r="35" customFormat="false" ht="15" hidden="false" customHeight="false" outlineLevel="0" collapsed="false">
      <c r="A35" s="2" t="s">
        <v>175</v>
      </c>
      <c r="B35" s="3" t="n">
        <v>45082</v>
      </c>
      <c r="C35" s="2" t="s">
        <v>176</v>
      </c>
      <c r="D35" s="2" t="s">
        <v>45</v>
      </c>
      <c r="E35" s="2" t="n">
        <v>1</v>
      </c>
      <c r="F35" s="4" t="n">
        <v>162.77</v>
      </c>
      <c r="G35" s="2" t="s">
        <v>177</v>
      </c>
      <c r="H35" s="2" t="s">
        <v>31</v>
      </c>
      <c r="I35" s="2" t="s">
        <v>39</v>
      </c>
      <c r="J35" s="2" t="s">
        <v>178</v>
      </c>
      <c r="K35" s="2" t="n">
        <v>4</v>
      </c>
      <c r="L35" s="2" t="s">
        <v>85</v>
      </c>
      <c r="M35" s="2" t="s">
        <v>49</v>
      </c>
      <c r="N35" s="4" t="n">
        <v>162.77</v>
      </c>
      <c r="O35" s="2" t="str">
        <f aca="false">IF(COUNTIF($A$2:$A$1201,A35)&gt;1,"DUPLICATE","Unique")</f>
        <v>Unique</v>
      </c>
      <c r="P35" s="2" t="str">
        <f aca="false">IF(L35="","MISSING","OK")</f>
        <v>OK</v>
      </c>
      <c r="Q35" s="2" t="str">
        <f aca="false">IF(ISNUMBER(B35),"OK","BAD DATE")</f>
        <v>OK</v>
      </c>
      <c r="R35" s="2" t="str">
        <f aca="false">IF(ROUND(F35,2)=F35,"OK","FIX")</f>
        <v>OK</v>
      </c>
    </row>
    <row r="36" customFormat="false" ht="15" hidden="false" customHeight="false" outlineLevel="0" collapsed="false">
      <c r="A36" s="2" t="s">
        <v>179</v>
      </c>
      <c r="B36" s="3" t="n">
        <v>44933</v>
      </c>
      <c r="C36" s="2" t="s">
        <v>180</v>
      </c>
      <c r="D36" s="2" t="s">
        <v>45</v>
      </c>
      <c r="E36" s="2" t="n">
        <v>4</v>
      </c>
      <c r="F36" s="4" t="n">
        <v>576.52</v>
      </c>
      <c r="G36" s="2" t="s">
        <v>181</v>
      </c>
      <c r="H36" s="2" t="s">
        <v>38</v>
      </c>
      <c r="I36" s="2" t="s">
        <v>93</v>
      </c>
      <c r="J36" s="2" t="s">
        <v>182</v>
      </c>
      <c r="K36" s="2" t="n">
        <v>5</v>
      </c>
      <c r="L36" s="2" t="s">
        <v>85</v>
      </c>
      <c r="M36" s="2" t="s">
        <v>49</v>
      </c>
      <c r="N36" s="4" t="n">
        <v>2306.08</v>
      </c>
      <c r="O36" s="2" t="str">
        <f aca="false">IF(COUNTIF($A$2:$A$1201,A36)&gt;1,"DUPLICATE","Unique")</f>
        <v>Unique</v>
      </c>
      <c r="P36" s="2" t="str">
        <f aca="false">IF(L36="","MISSING","OK")</f>
        <v>OK</v>
      </c>
      <c r="Q36" s="2" t="str">
        <f aca="false">IF(ISNUMBER(B36),"OK","BAD DATE")</f>
        <v>OK</v>
      </c>
      <c r="R36" s="2" t="str">
        <f aca="false">IF(ROUND(F36,2)=F36,"OK","FIX")</f>
        <v>OK</v>
      </c>
    </row>
    <row r="37" customFormat="false" ht="15" hidden="false" customHeight="false" outlineLevel="0" collapsed="false">
      <c r="A37" s="2" t="s">
        <v>183</v>
      </c>
      <c r="B37" s="3" t="n">
        <v>45633</v>
      </c>
      <c r="C37" s="2" t="s">
        <v>184</v>
      </c>
      <c r="D37" s="2" t="s">
        <v>20</v>
      </c>
      <c r="E37" s="2" t="n">
        <v>2</v>
      </c>
      <c r="F37" s="4" t="n">
        <v>465.15</v>
      </c>
      <c r="G37" s="2" t="s">
        <v>185</v>
      </c>
      <c r="H37" s="2" t="s">
        <v>31</v>
      </c>
      <c r="I37" s="2" t="s">
        <v>23</v>
      </c>
      <c r="J37" s="2" t="s">
        <v>186</v>
      </c>
      <c r="K37" s="2" t="n">
        <v>2</v>
      </c>
      <c r="L37" s="2" t="s">
        <v>25</v>
      </c>
      <c r="M37" s="2" t="s">
        <v>49</v>
      </c>
      <c r="N37" s="4" t="n">
        <v>930.3</v>
      </c>
      <c r="O37" s="2" t="str">
        <f aca="false">IF(COUNTIF($A$2:$A$1201,A37)&gt;1,"DUPLICATE","Unique")</f>
        <v>Unique</v>
      </c>
      <c r="P37" s="2" t="str">
        <f aca="false">IF(L37="","MISSING","OK")</f>
        <v>OK</v>
      </c>
      <c r="Q37" s="2" t="str">
        <f aca="false">IF(ISNUMBER(B37),"OK","BAD DATE")</f>
        <v>OK</v>
      </c>
      <c r="R37" s="2" t="str">
        <f aca="false">IF(ROUND(F37,2)=F37,"OK","FIX")</f>
        <v>OK</v>
      </c>
    </row>
    <row r="38" customFormat="false" ht="15" hidden="false" customHeight="false" outlineLevel="0" collapsed="false">
      <c r="A38" s="2" t="s">
        <v>187</v>
      </c>
      <c r="B38" s="3" t="n">
        <v>45785</v>
      </c>
      <c r="C38" s="2" t="s">
        <v>188</v>
      </c>
      <c r="D38" s="2" t="s">
        <v>62</v>
      </c>
      <c r="E38" s="2" t="n">
        <v>2</v>
      </c>
      <c r="F38" s="4" t="n">
        <v>534.43</v>
      </c>
      <c r="G38" s="2" t="s">
        <v>189</v>
      </c>
      <c r="H38" s="2" t="s">
        <v>22</v>
      </c>
      <c r="I38" s="2" t="s">
        <v>93</v>
      </c>
      <c r="J38" s="2" t="s">
        <v>190</v>
      </c>
      <c r="K38" s="2" t="n">
        <v>5</v>
      </c>
      <c r="L38" s="2"/>
      <c r="M38" s="2" t="s">
        <v>49</v>
      </c>
      <c r="N38" s="4" t="n">
        <v>1068.86</v>
      </c>
      <c r="O38" s="2" t="str">
        <f aca="false">IF(COUNTIF($A$2:$A$1201,A38)&gt;1,"DUPLICATE","Unique")</f>
        <v>Unique</v>
      </c>
      <c r="P38" s="2" t="str">
        <f aca="false">IF(L38="","MISSING","OK")</f>
        <v>MISSING</v>
      </c>
      <c r="Q38" s="2" t="str">
        <f aca="false">IF(ISNUMBER(B38),"OK","BAD DATE")</f>
        <v>OK</v>
      </c>
      <c r="R38" s="2" t="str">
        <f aca="false">IF(ROUND(F38,2)=F38,"OK","FIX")</f>
        <v>OK</v>
      </c>
    </row>
    <row r="39" customFormat="false" ht="15" hidden="false" customHeight="false" outlineLevel="0" collapsed="false">
      <c r="A39" s="2" t="s">
        <v>191</v>
      </c>
      <c r="B39" s="3" t="n">
        <v>45579</v>
      </c>
      <c r="C39" s="2" t="s">
        <v>192</v>
      </c>
      <c r="D39" s="2" t="s">
        <v>62</v>
      </c>
      <c r="E39" s="2" t="n">
        <v>2</v>
      </c>
      <c r="F39" s="4" t="n">
        <v>76.74</v>
      </c>
      <c r="G39" s="2" t="s">
        <v>193</v>
      </c>
      <c r="H39" s="2" t="s">
        <v>69</v>
      </c>
      <c r="I39" s="2" t="s">
        <v>47</v>
      </c>
      <c r="J39" s="2" t="s">
        <v>194</v>
      </c>
      <c r="K39" s="2" t="n">
        <v>7</v>
      </c>
      <c r="L39" s="2" t="s">
        <v>25</v>
      </c>
      <c r="M39" s="2" t="s">
        <v>26</v>
      </c>
      <c r="N39" s="4" t="n">
        <v>153.48</v>
      </c>
      <c r="O39" s="2" t="str">
        <f aca="false">IF(COUNTIF($A$2:$A$1201,A39)&gt;1,"DUPLICATE","Unique")</f>
        <v>Unique</v>
      </c>
      <c r="P39" s="2" t="str">
        <f aca="false">IF(L39="","MISSING","OK")</f>
        <v>OK</v>
      </c>
      <c r="Q39" s="2" t="str">
        <f aca="false">IF(ISNUMBER(B39),"OK","BAD DATE")</f>
        <v>OK</v>
      </c>
      <c r="R39" s="2" t="str">
        <f aca="false">IF(ROUND(F39,2)=F39,"OK","FIX")</f>
        <v>OK</v>
      </c>
    </row>
    <row r="40" customFormat="false" ht="15" hidden="false" customHeight="false" outlineLevel="0" collapsed="false">
      <c r="A40" s="2" t="s">
        <v>195</v>
      </c>
      <c r="B40" s="3" t="n">
        <v>45645</v>
      </c>
      <c r="C40" s="2" t="s">
        <v>196</v>
      </c>
      <c r="D40" s="2" t="s">
        <v>62</v>
      </c>
      <c r="E40" s="2" t="n">
        <v>1</v>
      </c>
      <c r="F40" s="4" t="n">
        <v>245.89</v>
      </c>
      <c r="G40" s="2" t="s">
        <v>197</v>
      </c>
      <c r="H40" s="2" t="s">
        <v>22</v>
      </c>
      <c r="I40" s="2" t="s">
        <v>54</v>
      </c>
      <c r="J40" s="2" t="s">
        <v>198</v>
      </c>
      <c r="K40" s="2" t="n">
        <v>3</v>
      </c>
      <c r="L40" s="2" t="s">
        <v>25</v>
      </c>
      <c r="M40" s="2" t="s">
        <v>80</v>
      </c>
      <c r="N40" s="4" t="n">
        <v>245.89</v>
      </c>
      <c r="O40" s="2" t="str">
        <f aca="false">IF(COUNTIF($A$2:$A$1201,A40)&gt;1,"DUPLICATE","Unique")</f>
        <v>Unique</v>
      </c>
      <c r="P40" s="2" t="str">
        <f aca="false">IF(L40="","MISSING","OK")</f>
        <v>OK</v>
      </c>
      <c r="Q40" s="2" t="str">
        <f aca="false">IF(ISNUMBER(B40),"OK","BAD DATE")</f>
        <v>OK</v>
      </c>
      <c r="R40" s="2" t="str">
        <f aca="false">IF(ROUND(F40,2)=F40,"OK","FIX")</f>
        <v>OK</v>
      </c>
    </row>
    <row r="41" customFormat="false" ht="15" hidden="false" customHeight="false" outlineLevel="0" collapsed="false">
      <c r="A41" s="2" t="s">
        <v>199</v>
      </c>
      <c r="B41" s="3" t="n">
        <v>45715</v>
      </c>
      <c r="C41" s="2" t="s">
        <v>200</v>
      </c>
      <c r="D41" s="2" t="s">
        <v>52</v>
      </c>
      <c r="E41" s="2" t="n">
        <v>3</v>
      </c>
      <c r="F41" s="4" t="n">
        <v>256.46</v>
      </c>
      <c r="G41" s="2" t="s">
        <v>201</v>
      </c>
      <c r="H41" s="2" t="s">
        <v>38</v>
      </c>
      <c r="I41" s="2" t="s">
        <v>54</v>
      </c>
      <c r="J41" s="2" t="s">
        <v>202</v>
      </c>
      <c r="K41" s="2" t="n">
        <v>4</v>
      </c>
      <c r="L41" s="2" t="s">
        <v>25</v>
      </c>
      <c r="M41" s="2" t="s">
        <v>33</v>
      </c>
      <c r="N41" s="4" t="n">
        <v>769.38</v>
      </c>
      <c r="O41" s="2" t="str">
        <f aca="false">IF(COUNTIF($A$2:$A$1201,A41)&gt;1,"DUPLICATE","Unique")</f>
        <v>Unique</v>
      </c>
      <c r="P41" s="2" t="str">
        <f aca="false">IF(L41="","MISSING","OK")</f>
        <v>OK</v>
      </c>
      <c r="Q41" s="2" t="str">
        <f aca="false">IF(ISNUMBER(B41),"OK","BAD DATE")</f>
        <v>OK</v>
      </c>
      <c r="R41" s="2" t="str">
        <f aca="false">IF(ROUND(F41,2)=F41,"OK","FIX")</f>
        <v>OK</v>
      </c>
    </row>
    <row r="42" customFormat="false" ht="15" hidden="false" customHeight="false" outlineLevel="0" collapsed="false">
      <c r="A42" s="2" t="s">
        <v>203</v>
      </c>
      <c r="B42" s="3" t="n">
        <v>45158</v>
      </c>
      <c r="C42" s="2" t="s">
        <v>204</v>
      </c>
      <c r="D42" s="2" t="s">
        <v>77</v>
      </c>
      <c r="E42" s="2" t="n">
        <v>2</v>
      </c>
      <c r="F42" s="4" t="n">
        <v>344.02</v>
      </c>
      <c r="G42" s="2" t="s">
        <v>205</v>
      </c>
      <c r="H42" s="2" t="s">
        <v>31</v>
      </c>
      <c r="I42" s="2" t="s">
        <v>54</v>
      </c>
      <c r="J42" s="2" t="s">
        <v>206</v>
      </c>
      <c r="K42" s="2" t="n">
        <v>4</v>
      </c>
      <c r="L42" s="2" t="s">
        <v>41</v>
      </c>
      <c r="M42" s="2" t="s">
        <v>26</v>
      </c>
      <c r="N42" s="4" t="n">
        <v>688.04</v>
      </c>
      <c r="O42" s="2" t="str">
        <f aca="false">IF(COUNTIF($A$2:$A$1201,A42)&gt;1,"DUPLICATE","Unique")</f>
        <v>Unique</v>
      </c>
      <c r="P42" s="2" t="str">
        <f aca="false">IF(L42="","MISSING","OK")</f>
        <v>OK</v>
      </c>
      <c r="Q42" s="2" t="str">
        <f aca="false">IF(ISNUMBER(B42),"OK","BAD DATE")</f>
        <v>OK</v>
      </c>
      <c r="R42" s="2" t="str">
        <f aca="false">IF(ROUND(F42,2)=F42,"OK","FIX")</f>
        <v>OK</v>
      </c>
    </row>
    <row r="43" customFormat="false" ht="15" hidden="false" customHeight="false" outlineLevel="0" collapsed="false">
      <c r="A43" s="2" t="s">
        <v>207</v>
      </c>
      <c r="B43" s="3" t="n">
        <v>45265</v>
      </c>
      <c r="C43" s="2" t="s">
        <v>208</v>
      </c>
      <c r="D43" s="2" t="s">
        <v>20</v>
      </c>
      <c r="E43" s="2" t="n">
        <v>3</v>
      </c>
      <c r="F43" s="4" t="n">
        <v>611.45</v>
      </c>
      <c r="G43" s="2" t="s">
        <v>209</v>
      </c>
      <c r="H43" s="2" t="s">
        <v>64</v>
      </c>
      <c r="I43" s="2" t="s">
        <v>93</v>
      </c>
      <c r="J43" s="2" t="s">
        <v>210</v>
      </c>
      <c r="K43" s="2" t="n">
        <v>4</v>
      </c>
      <c r="L43" s="2" t="s">
        <v>41</v>
      </c>
      <c r="M43" s="2" t="s">
        <v>26</v>
      </c>
      <c r="N43" s="4" t="n">
        <v>1834.35</v>
      </c>
      <c r="O43" s="2" t="str">
        <f aca="false">IF(COUNTIF($A$2:$A$1201,A43)&gt;1,"DUPLICATE","Unique")</f>
        <v>Unique</v>
      </c>
      <c r="P43" s="2" t="str">
        <f aca="false">IF(L43="","MISSING","OK")</f>
        <v>OK</v>
      </c>
      <c r="Q43" s="2" t="str">
        <f aca="false">IF(ISNUMBER(B43),"OK","BAD DATE")</f>
        <v>OK</v>
      </c>
      <c r="R43" s="2" t="str">
        <f aca="false">IF(ROUND(F43,2)=F43,"OK","FIX")</f>
        <v>OK</v>
      </c>
    </row>
    <row r="44" customFormat="false" ht="15" hidden="false" customHeight="false" outlineLevel="0" collapsed="false">
      <c r="A44" s="2" t="s">
        <v>211</v>
      </c>
      <c r="B44" s="3" t="n">
        <v>45418</v>
      </c>
      <c r="C44" s="2" t="s">
        <v>212</v>
      </c>
      <c r="D44" s="2" t="s">
        <v>52</v>
      </c>
      <c r="E44" s="2" t="n">
        <v>2</v>
      </c>
      <c r="F44" s="4" t="n">
        <v>151.66</v>
      </c>
      <c r="G44" s="2" t="s">
        <v>101</v>
      </c>
      <c r="H44" s="2" t="s">
        <v>69</v>
      </c>
      <c r="I44" s="2" t="s">
        <v>39</v>
      </c>
      <c r="J44" s="2" t="s">
        <v>213</v>
      </c>
      <c r="K44" s="2" t="n">
        <v>6</v>
      </c>
      <c r="L44" s="2"/>
      <c r="M44" s="2" t="s">
        <v>26</v>
      </c>
      <c r="N44" s="4" t="n">
        <v>303.32</v>
      </c>
      <c r="O44" s="2" t="str">
        <f aca="false">IF(COUNTIF($A$2:$A$1201,A44)&gt;1,"DUPLICATE","Unique")</f>
        <v>Unique</v>
      </c>
      <c r="P44" s="2" t="str">
        <f aca="false">IF(L44="","MISSING","OK")</f>
        <v>MISSING</v>
      </c>
      <c r="Q44" s="2" t="str">
        <f aca="false">IF(ISNUMBER(B44),"OK","BAD DATE")</f>
        <v>OK</v>
      </c>
      <c r="R44" s="2" t="str">
        <f aca="false">IF(ROUND(F44,2)=F44,"OK","FIX")</f>
        <v>OK</v>
      </c>
    </row>
    <row r="45" customFormat="false" ht="15" hidden="false" customHeight="false" outlineLevel="0" collapsed="false">
      <c r="A45" s="2" t="s">
        <v>214</v>
      </c>
      <c r="B45" s="3" t="n">
        <v>45274</v>
      </c>
      <c r="C45" s="2" t="s">
        <v>215</v>
      </c>
      <c r="D45" s="2" t="s">
        <v>45</v>
      </c>
      <c r="E45" s="2" t="n">
        <v>3</v>
      </c>
      <c r="F45" s="4" t="n">
        <v>499.21</v>
      </c>
      <c r="G45" s="2" t="s">
        <v>216</v>
      </c>
      <c r="H45" s="2" t="s">
        <v>31</v>
      </c>
      <c r="I45" s="2" t="s">
        <v>39</v>
      </c>
      <c r="J45" s="2" t="s">
        <v>217</v>
      </c>
      <c r="K45" s="2" t="n">
        <v>8</v>
      </c>
      <c r="L45" s="2"/>
      <c r="M45" s="2" t="s">
        <v>26</v>
      </c>
      <c r="N45" s="4" t="n">
        <v>1497.63</v>
      </c>
      <c r="O45" s="2" t="str">
        <f aca="false">IF(COUNTIF($A$2:$A$1201,A45)&gt;1,"DUPLICATE","Unique")</f>
        <v>Unique</v>
      </c>
      <c r="P45" s="2" t="str">
        <f aca="false">IF(L45="","MISSING","OK")</f>
        <v>MISSING</v>
      </c>
      <c r="Q45" s="2" t="str">
        <f aca="false">IF(ISNUMBER(B45),"OK","BAD DATE")</f>
        <v>OK</v>
      </c>
      <c r="R45" s="2" t="str">
        <f aca="false">IF(ROUND(F45,2)=F45,"OK","FIX")</f>
        <v>OK</v>
      </c>
    </row>
    <row r="46" customFormat="false" ht="15" hidden="false" customHeight="false" outlineLevel="0" collapsed="false">
      <c r="A46" s="2" t="s">
        <v>218</v>
      </c>
      <c r="B46" s="3" t="n">
        <v>45768</v>
      </c>
      <c r="C46" s="2" t="s">
        <v>219</v>
      </c>
      <c r="D46" s="2" t="s">
        <v>29</v>
      </c>
      <c r="E46" s="2" t="n">
        <v>2</v>
      </c>
      <c r="F46" s="4" t="n">
        <v>550.18</v>
      </c>
      <c r="G46" s="2" t="s">
        <v>169</v>
      </c>
      <c r="H46" s="2" t="s">
        <v>64</v>
      </c>
      <c r="I46" s="2" t="s">
        <v>47</v>
      </c>
      <c r="J46" s="2" t="s">
        <v>220</v>
      </c>
      <c r="K46" s="2" t="n">
        <v>3</v>
      </c>
      <c r="L46" s="2" t="s">
        <v>41</v>
      </c>
      <c r="M46" s="2" t="s">
        <v>33</v>
      </c>
      <c r="N46" s="4" t="n">
        <v>1100.36</v>
      </c>
      <c r="O46" s="2" t="str">
        <f aca="false">IF(COUNTIF($A$2:$A$1201,A46)&gt;1,"DUPLICATE","Unique")</f>
        <v>Unique</v>
      </c>
      <c r="P46" s="2" t="str">
        <f aca="false">IF(L46="","MISSING","OK")</f>
        <v>OK</v>
      </c>
      <c r="Q46" s="2" t="str">
        <f aca="false">IF(ISNUMBER(B46),"OK","BAD DATE")</f>
        <v>OK</v>
      </c>
      <c r="R46" s="2" t="str">
        <f aca="false">IF(ROUND(F46,2)=F46,"OK","FIX")</f>
        <v>OK</v>
      </c>
    </row>
    <row r="47" customFormat="false" ht="15" hidden="false" customHeight="false" outlineLevel="0" collapsed="false">
      <c r="A47" s="2" t="s">
        <v>221</v>
      </c>
      <c r="B47" s="3" t="n">
        <v>45332</v>
      </c>
      <c r="C47" s="2" t="s">
        <v>222</v>
      </c>
      <c r="D47" s="2" t="s">
        <v>45</v>
      </c>
      <c r="E47" s="2" t="n">
        <v>1</v>
      </c>
      <c r="F47" s="4" t="n">
        <v>317.25</v>
      </c>
      <c r="G47" s="2" t="s">
        <v>223</v>
      </c>
      <c r="H47" s="2" t="s">
        <v>22</v>
      </c>
      <c r="I47" s="2" t="s">
        <v>47</v>
      </c>
      <c r="J47" s="2" t="s">
        <v>224</v>
      </c>
      <c r="K47" s="2" t="n">
        <v>1</v>
      </c>
      <c r="L47" s="2" t="s">
        <v>25</v>
      </c>
      <c r="M47" s="2" t="s">
        <v>49</v>
      </c>
      <c r="N47" s="4" t="n">
        <v>317.25</v>
      </c>
      <c r="O47" s="2" t="str">
        <f aca="false">IF(COUNTIF($A$2:$A$1201,A47)&gt;1,"DUPLICATE","Unique")</f>
        <v>Unique</v>
      </c>
      <c r="P47" s="2" t="str">
        <f aca="false">IF(L47="","MISSING","OK")</f>
        <v>OK</v>
      </c>
      <c r="Q47" s="2" t="str">
        <f aca="false">IF(ISNUMBER(B47),"OK","BAD DATE")</f>
        <v>OK</v>
      </c>
      <c r="R47" s="2" t="str">
        <f aca="false">IF(ROUND(F47,2)=F47,"OK","FIX")</f>
        <v>OK</v>
      </c>
    </row>
    <row r="48" customFormat="false" ht="15" hidden="false" customHeight="false" outlineLevel="0" collapsed="false">
      <c r="A48" s="2" t="s">
        <v>225</v>
      </c>
      <c r="B48" s="3" t="n">
        <v>45469</v>
      </c>
      <c r="C48" s="2" t="s">
        <v>226</v>
      </c>
      <c r="D48" s="2" t="s">
        <v>20</v>
      </c>
      <c r="E48" s="2" t="n">
        <v>4</v>
      </c>
      <c r="F48" s="4" t="n">
        <v>550.14</v>
      </c>
      <c r="G48" s="2" t="s">
        <v>227</v>
      </c>
      <c r="H48" s="2" t="s">
        <v>22</v>
      </c>
      <c r="I48" s="2" t="s">
        <v>93</v>
      </c>
      <c r="J48" s="2" t="s">
        <v>228</v>
      </c>
      <c r="K48" s="2" t="n">
        <v>4</v>
      </c>
      <c r="L48" s="2" t="s">
        <v>41</v>
      </c>
      <c r="M48" s="2" t="s">
        <v>26</v>
      </c>
      <c r="N48" s="4" t="n">
        <v>2200.56</v>
      </c>
      <c r="O48" s="2" t="str">
        <f aca="false">IF(COUNTIF($A$2:$A$1201,A48)&gt;1,"DUPLICATE","Unique")</f>
        <v>Unique</v>
      </c>
      <c r="P48" s="2" t="str">
        <f aca="false">IF(L48="","MISSING","OK")</f>
        <v>OK</v>
      </c>
      <c r="Q48" s="2" t="str">
        <f aca="false">IF(ISNUMBER(B48),"OK","BAD DATE")</f>
        <v>OK</v>
      </c>
      <c r="R48" s="2" t="str">
        <f aca="false">IF(ROUND(F48,2)=F48,"OK","FIX")</f>
        <v>OK</v>
      </c>
    </row>
    <row r="49" customFormat="false" ht="15" hidden="false" customHeight="false" outlineLevel="0" collapsed="false">
      <c r="A49" s="2" t="s">
        <v>229</v>
      </c>
      <c r="B49" s="3" t="n">
        <v>45126</v>
      </c>
      <c r="C49" s="2" t="s">
        <v>230</v>
      </c>
      <c r="D49" s="2" t="s">
        <v>77</v>
      </c>
      <c r="E49" s="2" t="n">
        <v>2</v>
      </c>
      <c r="F49" s="4" t="n">
        <v>209.94</v>
      </c>
      <c r="G49" s="2" t="s">
        <v>231</v>
      </c>
      <c r="H49" s="2" t="s">
        <v>38</v>
      </c>
      <c r="I49" s="2" t="s">
        <v>47</v>
      </c>
      <c r="J49" s="2" t="s">
        <v>232</v>
      </c>
      <c r="K49" s="2" t="n">
        <v>3</v>
      </c>
      <c r="L49" s="2" t="s">
        <v>41</v>
      </c>
      <c r="M49" s="2" t="s">
        <v>42</v>
      </c>
      <c r="N49" s="4" t="n">
        <v>419.88</v>
      </c>
      <c r="O49" s="2" t="str">
        <f aca="false">IF(COUNTIF($A$2:$A$1201,A49)&gt;1,"DUPLICATE","Unique")</f>
        <v>Unique</v>
      </c>
      <c r="P49" s="2" t="str">
        <f aca="false">IF(L49="","MISSING","OK")</f>
        <v>OK</v>
      </c>
      <c r="Q49" s="2" t="str">
        <f aca="false">IF(ISNUMBER(B49),"OK","BAD DATE")</f>
        <v>OK</v>
      </c>
      <c r="R49" s="2" t="str">
        <f aca="false">IF(ROUND(F49,2)=F49,"OK","FIX")</f>
        <v>OK</v>
      </c>
    </row>
    <row r="50" customFormat="false" ht="15" hidden="false" customHeight="false" outlineLevel="0" collapsed="false">
      <c r="A50" s="2" t="s">
        <v>233</v>
      </c>
      <c r="B50" s="3" t="n">
        <v>45164</v>
      </c>
      <c r="C50" s="2" t="s">
        <v>234</v>
      </c>
      <c r="D50" s="2" t="s">
        <v>20</v>
      </c>
      <c r="E50" s="2" t="n">
        <v>2</v>
      </c>
      <c r="F50" s="4" t="n">
        <v>80.77</v>
      </c>
      <c r="G50" s="2" t="s">
        <v>235</v>
      </c>
      <c r="H50" s="2" t="s">
        <v>22</v>
      </c>
      <c r="I50" s="2" t="s">
        <v>23</v>
      </c>
      <c r="J50" s="2" t="s">
        <v>236</v>
      </c>
      <c r="K50" s="2" t="n">
        <v>4</v>
      </c>
      <c r="L50" s="2"/>
      <c r="M50" s="2" t="s">
        <v>80</v>
      </c>
      <c r="N50" s="4" t="n">
        <v>161.54</v>
      </c>
      <c r="O50" s="2" t="str">
        <f aca="false">IF(COUNTIF($A$2:$A$1201,A50)&gt;1,"DUPLICATE","Unique")</f>
        <v>Unique</v>
      </c>
      <c r="P50" s="2" t="str">
        <f aca="false">IF(L50="","MISSING","OK")</f>
        <v>MISSING</v>
      </c>
      <c r="Q50" s="2" t="str">
        <f aca="false">IF(ISNUMBER(B50),"OK","BAD DATE")</f>
        <v>OK</v>
      </c>
      <c r="R50" s="2" t="str">
        <f aca="false">IF(ROUND(F50,2)=F50,"OK","FIX")</f>
        <v>OK</v>
      </c>
    </row>
    <row r="51" customFormat="false" ht="15" hidden="false" customHeight="false" outlineLevel="0" collapsed="false">
      <c r="A51" s="2" t="s">
        <v>237</v>
      </c>
      <c r="B51" s="3" t="n">
        <v>45206</v>
      </c>
      <c r="C51" s="2" t="s">
        <v>238</v>
      </c>
      <c r="D51" s="2" t="s">
        <v>52</v>
      </c>
      <c r="E51" s="2" t="n">
        <v>1</v>
      </c>
      <c r="F51" s="4" t="n">
        <v>30.44</v>
      </c>
      <c r="G51" s="2" t="s">
        <v>133</v>
      </c>
      <c r="H51" s="2" t="s">
        <v>38</v>
      </c>
      <c r="I51" s="2" t="s">
        <v>23</v>
      </c>
      <c r="J51" s="2" t="s">
        <v>239</v>
      </c>
      <c r="K51" s="2" t="n">
        <v>1</v>
      </c>
      <c r="L51" s="2" t="s">
        <v>25</v>
      </c>
      <c r="M51" s="2" t="s">
        <v>42</v>
      </c>
      <c r="N51" s="4" t="n">
        <v>30.44</v>
      </c>
      <c r="O51" s="2" t="str">
        <f aca="false">IF(COUNTIF($A$2:$A$1201,A51)&gt;1,"DUPLICATE","Unique")</f>
        <v>Unique</v>
      </c>
      <c r="P51" s="2" t="str">
        <f aca="false">IF(L51="","MISSING","OK")</f>
        <v>OK</v>
      </c>
      <c r="Q51" s="2" t="str">
        <f aca="false">IF(ISNUMBER(B51),"OK","BAD DATE")</f>
        <v>OK</v>
      </c>
      <c r="R51" s="2" t="str">
        <f aca="false">IF(ROUND(F51,2)=F51,"OK","FIX")</f>
        <v>OK</v>
      </c>
    </row>
    <row r="52" customFormat="false" ht="15" hidden="false" customHeight="false" outlineLevel="0" collapsed="false">
      <c r="A52" s="2" t="s">
        <v>240</v>
      </c>
      <c r="B52" s="3" t="n">
        <v>45138</v>
      </c>
      <c r="C52" s="2" t="s">
        <v>241</v>
      </c>
      <c r="D52" s="2" t="s">
        <v>36</v>
      </c>
      <c r="E52" s="2" t="n">
        <v>1</v>
      </c>
      <c r="F52" s="4" t="n">
        <v>179.22</v>
      </c>
      <c r="G52" s="2" t="s">
        <v>242</v>
      </c>
      <c r="H52" s="2" t="s">
        <v>31</v>
      </c>
      <c r="I52" s="2" t="s">
        <v>39</v>
      </c>
      <c r="J52" s="2" t="s">
        <v>243</v>
      </c>
      <c r="K52" s="2" t="n">
        <v>6</v>
      </c>
      <c r="L52" s="2" t="s">
        <v>41</v>
      </c>
      <c r="M52" s="2" t="s">
        <v>26</v>
      </c>
      <c r="N52" s="4" t="n">
        <v>179.22</v>
      </c>
      <c r="O52" s="2" t="str">
        <f aca="false">IF(COUNTIF($A$2:$A$1201,A52)&gt;1,"DUPLICATE","Unique")</f>
        <v>Unique</v>
      </c>
      <c r="P52" s="2" t="str">
        <f aca="false">IF(L52="","MISSING","OK")</f>
        <v>OK</v>
      </c>
      <c r="Q52" s="2" t="str">
        <f aca="false">IF(ISNUMBER(B52),"OK","BAD DATE")</f>
        <v>OK</v>
      </c>
      <c r="R52" s="2" t="str">
        <f aca="false">IF(ROUND(F52,2)=F52,"OK","FIX")</f>
        <v>OK</v>
      </c>
    </row>
    <row r="53" customFormat="false" ht="15" hidden="false" customHeight="false" outlineLevel="0" collapsed="false">
      <c r="A53" s="2" t="s">
        <v>244</v>
      </c>
      <c r="B53" s="3" t="n">
        <v>45656</v>
      </c>
      <c r="C53" s="2" t="s">
        <v>245</v>
      </c>
      <c r="D53" s="2" t="s">
        <v>36</v>
      </c>
      <c r="E53" s="2" t="n">
        <v>1</v>
      </c>
      <c r="F53" s="4" t="n">
        <v>388.33</v>
      </c>
      <c r="G53" s="2" t="s">
        <v>246</v>
      </c>
      <c r="H53" s="2" t="s">
        <v>69</v>
      </c>
      <c r="I53" s="2" t="s">
        <v>47</v>
      </c>
      <c r="J53" s="2" t="s">
        <v>247</v>
      </c>
      <c r="K53" s="2" t="n">
        <v>2</v>
      </c>
      <c r="L53" s="2" t="s">
        <v>25</v>
      </c>
      <c r="M53" s="2" t="s">
        <v>49</v>
      </c>
      <c r="N53" s="4" t="n">
        <v>388.33</v>
      </c>
      <c r="O53" s="2" t="str">
        <f aca="false">IF(COUNTIF($A$2:$A$1201,A53)&gt;1,"DUPLICATE","Unique")</f>
        <v>Unique</v>
      </c>
      <c r="P53" s="2" t="str">
        <f aca="false">IF(L53="","MISSING","OK")</f>
        <v>OK</v>
      </c>
      <c r="Q53" s="2" t="str">
        <f aca="false">IF(ISNUMBER(B53),"OK","BAD DATE")</f>
        <v>OK</v>
      </c>
      <c r="R53" s="2" t="str">
        <f aca="false">IF(ROUND(F53,2)=F53,"OK","FIX")</f>
        <v>OK</v>
      </c>
    </row>
    <row r="54" customFormat="false" ht="15" hidden="false" customHeight="false" outlineLevel="0" collapsed="false">
      <c r="A54" s="2" t="s">
        <v>248</v>
      </c>
      <c r="B54" s="3" t="n">
        <v>45543</v>
      </c>
      <c r="C54" s="2" t="s">
        <v>249</v>
      </c>
      <c r="D54" s="2" t="s">
        <v>36</v>
      </c>
      <c r="E54" s="2" t="n">
        <v>1</v>
      </c>
      <c r="F54" s="4" t="n">
        <v>586.44</v>
      </c>
      <c r="G54" s="2" t="s">
        <v>250</v>
      </c>
      <c r="H54" s="2" t="s">
        <v>31</v>
      </c>
      <c r="I54" s="2" t="s">
        <v>47</v>
      </c>
      <c r="J54" s="2" t="s">
        <v>251</v>
      </c>
      <c r="K54" s="2" t="n">
        <v>5</v>
      </c>
      <c r="L54" s="2" t="s">
        <v>25</v>
      </c>
      <c r="M54" s="2" t="s">
        <v>49</v>
      </c>
      <c r="N54" s="4" t="n">
        <v>586.44</v>
      </c>
      <c r="O54" s="2" t="str">
        <f aca="false">IF(COUNTIF($A$2:$A$1201,A54)&gt;1,"DUPLICATE","Unique")</f>
        <v>Unique</v>
      </c>
      <c r="P54" s="2" t="str">
        <f aca="false">IF(L54="","MISSING","OK")</f>
        <v>OK</v>
      </c>
      <c r="Q54" s="2" t="str">
        <f aca="false">IF(ISNUMBER(B54),"OK","BAD DATE")</f>
        <v>OK</v>
      </c>
      <c r="R54" s="2" t="str">
        <f aca="false">IF(ROUND(F54,2)=F54,"OK","FIX")</f>
        <v>OK</v>
      </c>
    </row>
    <row r="55" customFormat="false" ht="15" hidden="false" customHeight="false" outlineLevel="0" collapsed="false">
      <c r="A55" s="2" t="s">
        <v>252</v>
      </c>
      <c r="B55" s="3" t="n">
        <v>45430</v>
      </c>
      <c r="C55" s="2" t="s">
        <v>253</v>
      </c>
      <c r="D55" s="2" t="s">
        <v>29</v>
      </c>
      <c r="E55" s="2" t="n">
        <v>4</v>
      </c>
      <c r="F55" s="4" t="n">
        <v>488.78</v>
      </c>
      <c r="G55" s="2" t="s">
        <v>37</v>
      </c>
      <c r="H55" s="2" t="s">
        <v>31</v>
      </c>
      <c r="I55" s="2" t="s">
        <v>47</v>
      </c>
      <c r="J55" s="2" t="s">
        <v>254</v>
      </c>
      <c r="K55" s="2" t="n">
        <v>5</v>
      </c>
      <c r="L55" s="2" t="s">
        <v>41</v>
      </c>
      <c r="M55" s="2" t="s">
        <v>80</v>
      </c>
      <c r="N55" s="4" t="n">
        <v>1955.12</v>
      </c>
      <c r="O55" s="2" t="str">
        <f aca="false">IF(COUNTIF($A$2:$A$1201,A55)&gt;1,"DUPLICATE","Unique")</f>
        <v>Unique</v>
      </c>
      <c r="P55" s="2" t="str">
        <f aca="false">IF(L55="","MISSING","OK")</f>
        <v>OK</v>
      </c>
      <c r="Q55" s="2" t="str">
        <f aca="false">IF(ISNUMBER(B55),"OK","BAD DATE")</f>
        <v>OK</v>
      </c>
      <c r="R55" s="2" t="str">
        <f aca="false">IF(ROUND(F55,2)=F55,"OK","FIX")</f>
        <v>OK</v>
      </c>
    </row>
    <row r="56" customFormat="false" ht="15" hidden="false" customHeight="false" outlineLevel="0" collapsed="false">
      <c r="A56" s="2" t="s">
        <v>255</v>
      </c>
      <c r="B56" s="3" t="n">
        <v>45743</v>
      </c>
      <c r="C56" s="2" t="s">
        <v>256</v>
      </c>
      <c r="D56" s="2" t="s">
        <v>45</v>
      </c>
      <c r="E56" s="2" t="n">
        <v>1</v>
      </c>
      <c r="F56" s="4" t="n">
        <v>280.25</v>
      </c>
      <c r="G56" s="2" t="s">
        <v>257</v>
      </c>
      <c r="H56" s="2" t="s">
        <v>31</v>
      </c>
      <c r="I56" s="2" t="s">
        <v>93</v>
      </c>
      <c r="J56" s="2" t="s">
        <v>258</v>
      </c>
      <c r="K56" s="2" t="n">
        <v>5</v>
      </c>
      <c r="L56" s="2" t="s">
        <v>85</v>
      </c>
      <c r="M56" s="2" t="s">
        <v>42</v>
      </c>
      <c r="N56" s="4" t="n">
        <v>280.25</v>
      </c>
      <c r="O56" s="2" t="str">
        <f aca="false">IF(COUNTIF($A$2:$A$1201,A56)&gt;1,"DUPLICATE","Unique")</f>
        <v>Unique</v>
      </c>
      <c r="P56" s="2" t="str">
        <f aca="false">IF(L56="","MISSING","OK")</f>
        <v>OK</v>
      </c>
      <c r="Q56" s="2" t="str">
        <f aca="false">IF(ISNUMBER(B56),"OK","BAD DATE")</f>
        <v>OK</v>
      </c>
      <c r="R56" s="2" t="str">
        <f aca="false">IF(ROUND(F56,2)=F56,"OK","FIX")</f>
        <v>OK</v>
      </c>
    </row>
    <row r="57" customFormat="false" ht="15" hidden="false" customHeight="false" outlineLevel="0" collapsed="false">
      <c r="A57" s="2" t="s">
        <v>259</v>
      </c>
      <c r="B57" s="3" t="n">
        <v>45832</v>
      </c>
      <c r="C57" s="2" t="s">
        <v>260</v>
      </c>
      <c r="D57" s="2" t="s">
        <v>52</v>
      </c>
      <c r="E57" s="2" t="n">
        <v>3</v>
      </c>
      <c r="F57" s="4" t="n">
        <v>344.4</v>
      </c>
      <c r="G57" s="2" t="s">
        <v>261</v>
      </c>
      <c r="H57" s="2" t="s">
        <v>31</v>
      </c>
      <c r="I57" s="2" t="s">
        <v>39</v>
      </c>
      <c r="J57" s="2" t="s">
        <v>262</v>
      </c>
      <c r="K57" s="2" t="n">
        <v>3</v>
      </c>
      <c r="L57" s="2"/>
      <c r="M57" s="2" t="s">
        <v>49</v>
      </c>
      <c r="N57" s="4" t="n">
        <v>1033.2</v>
      </c>
      <c r="O57" s="2" t="str">
        <f aca="false">IF(COUNTIF($A$2:$A$1201,A57)&gt;1,"DUPLICATE","Unique")</f>
        <v>Unique</v>
      </c>
      <c r="P57" s="2" t="str">
        <f aca="false">IF(L57="","MISSING","OK")</f>
        <v>MISSING</v>
      </c>
      <c r="Q57" s="2" t="str">
        <f aca="false">IF(ISNUMBER(B57),"OK","BAD DATE")</f>
        <v>OK</v>
      </c>
      <c r="R57" s="2" t="str">
        <f aca="false">IF(ROUND(F57,2)=F57,"OK","FIX")</f>
        <v>OK</v>
      </c>
    </row>
    <row r="58" customFormat="false" ht="15" hidden="false" customHeight="false" outlineLevel="0" collapsed="false">
      <c r="A58" s="2" t="s">
        <v>263</v>
      </c>
      <c r="B58" s="3" t="n">
        <v>45067</v>
      </c>
      <c r="C58" s="2" t="s">
        <v>264</v>
      </c>
      <c r="D58" s="2" t="s">
        <v>36</v>
      </c>
      <c r="E58" s="2" t="n">
        <v>3</v>
      </c>
      <c r="F58" s="4" t="n">
        <v>479.21</v>
      </c>
      <c r="G58" s="2" t="s">
        <v>265</v>
      </c>
      <c r="H58" s="2" t="s">
        <v>69</v>
      </c>
      <c r="I58" s="2" t="s">
        <v>39</v>
      </c>
      <c r="J58" s="2" t="s">
        <v>266</v>
      </c>
      <c r="K58" s="2" t="n">
        <v>5</v>
      </c>
      <c r="L58" s="2" t="s">
        <v>85</v>
      </c>
      <c r="M58" s="2" t="s">
        <v>33</v>
      </c>
      <c r="N58" s="4" t="n">
        <v>1437.63</v>
      </c>
      <c r="O58" s="2" t="str">
        <f aca="false">IF(COUNTIF($A$2:$A$1201,A58)&gt;1,"DUPLICATE","Unique")</f>
        <v>Unique</v>
      </c>
      <c r="P58" s="2" t="str">
        <f aca="false">IF(L58="","MISSING","OK")</f>
        <v>OK</v>
      </c>
      <c r="Q58" s="2" t="str">
        <f aca="false">IF(ISNUMBER(B58),"OK","BAD DATE")</f>
        <v>OK</v>
      </c>
      <c r="R58" s="2" t="str">
        <f aca="false">IF(ROUND(F58,2)=F58,"OK","FIX")</f>
        <v>OK</v>
      </c>
    </row>
    <row r="59" customFormat="false" ht="15" hidden="false" customHeight="false" outlineLevel="0" collapsed="false">
      <c r="A59" s="2" t="s">
        <v>267</v>
      </c>
      <c r="B59" s="3" t="n">
        <v>44948</v>
      </c>
      <c r="C59" s="2" t="s">
        <v>268</v>
      </c>
      <c r="D59" s="2" t="s">
        <v>52</v>
      </c>
      <c r="E59" s="2" t="n">
        <v>5</v>
      </c>
      <c r="F59" s="4" t="n">
        <v>314.27</v>
      </c>
      <c r="G59" s="2" t="s">
        <v>269</v>
      </c>
      <c r="H59" s="2" t="s">
        <v>69</v>
      </c>
      <c r="I59" s="2" t="s">
        <v>47</v>
      </c>
      <c r="J59" s="2" t="s">
        <v>270</v>
      </c>
      <c r="K59" s="2" t="n">
        <v>6</v>
      </c>
      <c r="L59" s="2" t="s">
        <v>25</v>
      </c>
      <c r="M59" s="2" t="s">
        <v>26</v>
      </c>
      <c r="N59" s="4" t="n">
        <v>1571.35</v>
      </c>
      <c r="O59" s="2" t="str">
        <f aca="false">IF(COUNTIF($A$2:$A$1201,A59)&gt;1,"DUPLICATE","Unique")</f>
        <v>Unique</v>
      </c>
      <c r="P59" s="2" t="str">
        <f aca="false">IF(L59="","MISSING","OK")</f>
        <v>OK</v>
      </c>
      <c r="Q59" s="2" t="str">
        <f aca="false">IF(ISNUMBER(B59),"OK","BAD DATE")</f>
        <v>OK</v>
      </c>
      <c r="R59" s="2" t="str">
        <f aca="false">IF(ROUND(F59,2)=F59,"OK","FIX")</f>
        <v>OK</v>
      </c>
    </row>
    <row r="60" customFormat="false" ht="15" hidden="false" customHeight="false" outlineLevel="0" collapsed="false">
      <c r="A60" s="2" t="s">
        <v>271</v>
      </c>
      <c r="B60" s="3" t="n">
        <v>44941</v>
      </c>
      <c r="C60" s="2" t="s">
        <v>272</v>
      </c>
      <c r="D60" s="2" t="s">
        <v>29</v>
      </c>
      <c r="E60" s="2" t="n">
        <v>4</v>
      </c>
      <c r="F60" s="4" t="n">
        <v>474.69</v>
      </c>
      <c r="G60" s="2" t="s">
        <v>273</v>
      </c>
      <c r="H60" s="2" t="s">
        <v>64</v>
      </c>
      <c r="I60" s="2" t="s">
        <v>39</v>
      </c>
      <c r="J60" s="2" t="s">
        <v>274</v>
      </c>
      <c r="K60" s="2" t="n">
        <v>6</v>
      </c>
      <c r="L60" s="2" t="s">
        <v>25</v>
      </c>
      <c r="M60" s="2" t="s">
        <v>80</v>
      </c>
      <c r="N60" s="4" t="n">
        <v>1898.76</v>
      </c>
      <c r="O60" s="2" t="str">
        <f aca="false">IF(COUNTIF($A$2:$A$1201,A60)&gt;1,"DUPLICATE","Unique")</f>
        <v>Unique</v>
      </c>
      <c r="P60" s="2" t="str">
        <f aca="false">IF(L60="","MISSING","OK")</f>
        <v>OK</v>
      </c>
      <c r="Q60" s="2" t="str">
        <f aca="false">IF(ISNUMBER(B60),"OK","BAD DATE")</f>
        <v>OK</v>
      </c>
      <c r="R60" s="2" t="str">
        <f aca="false">IF(ROUND(F60,2)=F60,"OK","FIX")</f>
        <v>OK</v>
      </c>
    </row>
    <row r="61" customFormat="false" ht="15" hidden="false" customHeight="false" outlineLevel="0" collapsed="false">
      <c r="A61" s="2" t="s">
        <v>275</v>
      </c>
      <c r="B61" s="3" t="n">
        <v>45546</v>
      </c>
      <c r="C61" s="2" t="s">
        <v>276</v>
      </c>
      <c r="D61" s="2" t="s">
        <v>45</v>
      </c>
      <c r="E61" s="2" t="n">
        <v>4</v>
      </c>
      <c r="F61" s="4" t="n">
        <v>593.27</v>
      </c>
      <c r="G61" s="2" t="s">
        <v>277</v>
      </c>
      <c r="H61" s="2" t="s">
        <v>31</v>
      </c>
      <c r="I61" s="2" t="s">
        <v>23</v>
      </c>
      <c r="J61" s="2" t="s">
        <v>278</v>
      </c>
      <c r="K61" s="2" t="n">
        <v>5</v>
      </c>
      <c r="L61" s="2"/>
      <c r="M61" s="2" t="s">
        <v>49</v>
      </c>
      <c r="N61" s="4" t="n">
        <v>2373.08</v>
      </c>
      <c r="O61" s="2" t="str">
        <f aca="false">IF(COUNTIF($A$2:$A$1201,A61)&gt;1,"DUPLICATE","Unique")</f>
        <v>Unique</v>
      </c>
      <c r="P61" s="2" t="str">
        <f aca="false">IF(L61="","MISSING","OK")</f>
        <v>MISSING</v>
      </c>
      <c r="Q61" s="2" t="str">
        <f aca="false">IF(ISNUMBER(B61),"OK","BAD DATE")</f>
        <v>OK</v>
      </c>
      <c r="R61" s="2" t="str">
        <f aca="false">IF(ROUND(F61,2)=F61,"OK","FIX")</f>
        <v>OK</v>
      </c>
    </row>
    <row r="62" customFormat="false" ht="15" hidden="false" customHeight="false" outlineLevel="0" collapsed="false">
      <c r="A62" s="2" t="s">
        <v>279</v>
      </c>
      <c r="B62" s="3" t="n">
        <v>45525</v>
      </c>
      <c r="C62" s="2" t="s">
        <v>280</v>
      </c>
      <c r="D62" s="2" t="s">
        <v>77</v>
      </c>
      <c r="E62" s="2" t="n">
        <v>1</v>
      </c>
      <c r="F62" s="4" t="n">
        <v>417.1</v>
      </c>
      <c r="G62" s="2" t="s">
        <v>281</v>
      </c>
      <c r="H62" s="2" t="s">
        <v>22</v>
      </c>
      <c r="I62" s="2" t="s">
        <v>47</v>
      </c>
      <c r="J62" s="2" t="s">
        <v>282</v>
      </c>
      <c r="K62" s="2" t="n">
        <v>3</v>
      </c>
      <c r="L62" s="2" t="s">
        <v>41</v>
      </c>
      <c r="M62" s="2" t="s">
        <v>33</v>
      </c>
      <c r="N62" s="4" t="n">
        <v>417.1</v>
      </c>
      <c r="O62" s="2" t="str">
        <f aca="false">IF(COUNTIF($A$2:$A$1201,A62)&gt;1,"DUPLICATE","Unique")</f>
        <v>Unique</v>
      </c>
      <c r="P62" s="2" t="str">
        <f aca="false">IF(L62="","MISSING","OK")</f>
        <v>OK</v>
      </c>
      <c r="Q62" s="2" t="str">
        <f aca="false">IF(ISNUMBER(B62),"OK","BAD DATE")</f>
        <v>OK</v>
      </c>
      <c r="R62" s="2" t="str">
        <f aca="false">IF(ROUND(F62,2)=F62,"OK","FIX")</f>
        <v>OK</v>
      </c>
    </row>
    <row r="63" customFormat="false" ht="15" hidden="false" customHeight="false" outlineLevel="0" collapsed="false">
      <c r="A63" s="2" t="s">
        <v>283</v>
      </c>
      <c r="B63" s="3" t="n">
        <v>45375</v>
      </c>
      <c r="C63" s="2" t="s">
        <v>284</v>
      </c>
      <c r="D63" s="2" t="s">
        <v>77</v>
      </c>
      <c r="E63" s="2" t="n">
        <v>4</v>
      </c>
      <c r="F63" s="4" t="n">
        <v>122.2</v>
      </c>
      <c r="G63" s="2" t="s">
        <v>285</v>
      </c>
      <c r="H63" s="2" t="s">
        <v>69</v>
      </c>
      <c r="I63" s="2" t="s">
        <v>54</v>
      </c>
      <c r="J63" s="2" t="s">
        <v>286</v>
      </c>
      <c r="K63" s="2" t="n">
        <v>7</v>
      </c>
      <c r="L63" s="2" t="s">
        <v>41</v>
      </c>
      <c r="M63" s="2" t="s">
        <v>49</v>
      </c>
      <c r="N63" s="4" t="n">
        <v>488.8</v>
      </c>
      <c r="O63" s="2" t="str">
        <f aca="false">IF(COUNTIF($A$2:$A$1201,A63)&gt;1,"DUPLICATE","Unique")</f>
        <v>Unique</v>
      </c>
      <c r="P63" s="2" t="str">
        <f aca="false">IF(L63="","MISSING","OK")</f>
        <v>OK</v>
      </c>
      <c r="Q63" s="2" t="str">
        <f aca="false">IF(ISNUMBER(B63),"OK","BAD DATE")</f>
        <v>OK</v>
      </c>
      <c r="R63" s="2" t="str">
        <f aca="false">IF(ROUND(F63,2)=F63,"OK","FIX")</f>
        <v>OK</v>
      </c>
    </row>
    <row r="64" customFormat="false" ht="15" hidden="false" customHeight="false" outlineLevel="0" collapsed="false">
      <c r="A64" s="2" t="s">
        <v>287</v>
      </c>
      <c r="B64" s="3" t="n">
        <v>45160</v>
      </c>
      <c r="C64" s="2" t="s">
        <v>288</v>
      </c>
      <c r="D64" s="2" t="s">
        <v>77</v>
      </c>
      <c r="E64" s="2" t="n">
        <v>2</v>
      </c>
      <c r="F64" s="4" t="n">
        <v>43.15</v>
      </c>
      <c r="G64" s="2" t="s">
        <v>289</v>
      </c>
      <c r="H64" s="2" t="s">
        <v>22</v>
      </c>
      <c r="I64" s="2" t="s">
        <v>93</v>
      </c>
      <c r="J64" s="2" t="s">
        <v>290</v>
      </c>
      <c r="K64" s="2" t="n">
        <v>3</v>
      </c>
      <c r="L64" s="2" t="s">
        <v>85</v>
      </c>
      <c r="M64" s="2" t="s">
        <v>42</v>
      </c>
      <c r="N64" s="4" t="n">
        <v>86.3</v>
      </c>
      <c r="O64" s="2" t="str">
        <f aca="false">IF(COUNTIF($A$2:$A$1201,A64)&gt;1,"DUPLICATE","Unique")</f>
        <v>Unique</v>
      </c>
      <c r="P64" s="2" t="str">
        <f aca="false">IF(L64="","MISSING","OK")</f>
        <v>OK</v>
      </c>
      <c r="Q64" s="2" t="str">
        <f aca="false">IF(ISNUMBER(B64),"OK","BAD DATE")</f>
        <v>OK</v>
      </c>
      <c r="R64" s="2" t="str">
        <f aca="false">IF(ROUND(F64,2)=F64,"OK","FIX")</f>
        <v>OK</v>
      </c>
    </row>
    <row r="65" customFormat="false" ht="15" hidden="false" customHeight="false" outlineLevel="0" collapsed="false">
      <c r="A65" s="2" t="s">
        <v>291</v>
      </c>
      <c r="B65" s="3" t="n">
        <v>45690</v>
      </c>
      <c r="C65" s="2" t="s">
        <v>292</v>
      </c>
      <c r="D65" s="2" t="s">
        <v>45</v>
      </c>
      <c r="E65" s="2" t="n">
        <v>1</v>
      </c>
      <c r="F65" s="4" t="n">
        <v>564.86</v>
      </c>
      <c r="G65" s="2" t="s">
        <v>293</v>
      </c>
      <c r="H65" s="2" t="s">
        <v>22</v>
      </c>
      <c r="I65" s="2" t="s">
        <v>23</v>
      </c>
      <c r="J65" s="2" t="s">
        <v>294</v>
      </c>
      <c r="K65" s="2" t="n">
        <v>6</v>
      </c>
      <c r="L65" s="2" t="s">
        <v>85</v>
      </c>
      <c r="M65" s="2" t="s">
        <v>33</v>
      </c>
      <c r="N65" s="4" t="n">
        <v>564.86</v>
      </c>
      <c r="O65" s="2" t="str">
        <f aca="false">IF(COUNTIF($A$2:$A$1201,A65)&gt;1,"DUPLICATE","Unique")</f>
        <v>Unique</v>
      </c>
      <c r="P65" s="2" t="str">
        <f aca="false">IF(L65="","MISSING","OK")</f>
        <v>OK</v>
      </c>
      <c r="Q65" s="2" t="str">
        <f aca="false">IF(ISNUMBER(B65),"OK","BAD DATE")</f>
        <v>OK</v>
      </c>
      <c r="R65" s="2" t="str">
        <f aca="false">IF(ROUND(F65,2)=F65,"OK","FIX")</f>
        <v>OK</v>
      </c>
    </row>
    <row r="66" customFormat="false" ht="15" hidden="false" customHeight="false" outlineLevel="0" collapsed="false">
      <c r="A66" s="2" t="s">
        <v>295</v>
      </c>
      <c r="B66" s="3" t="n">
        <v>45833</v>
      </c>
      <c r="C66" s="2" t="s">
        <v>296</v>
      </c>
      <c r="D66" s="2" t="s">
        <v>52</v>
      </c>
      <c r="E66" s="2" t="n">
        <v>3</v>
      </c>
      <c r="F66" s="4" t="n">
        <v>130.61</v>
      </c>
      <c r="G66" s="2" t="s">
        <v>297</v>
      </c>
      <c r="H66" s="2" t="s">
        <v>22</v>
      </c>
      <c r="I66" s="2" t="s">
        <v>39</v>
      </c>
      <c r="J66" s="2" t="s">
        <v>298</v>
      </c>
      <c r="K66" s="2" t="n">
        <v>4</v>
      </c>
      <c r="L66" s="2" t="s">
        <v>41</v>
      </c>
      <c r="M66" s="2" t="s">
        <v>49</v>
      </c>
      <c r="N66" s="4" t="n">
        <v>391.83</v>
      </c>
      <c r="O66" s="2" t="str">
        <f aca="false">IF(COUNTIF($A$2:$A$1201,A66)&gt;1,"DUPLICATE","Unique")</f>
        <v>Unique</v>
      </c>
      <c r="P66" s="2" t="str">
        <f aca="false">IF(L66="","MISSING","OK")</f>
        <v>OK</v>
      </c>
      <c r="Q66" s="2" t="str">
        <f aca="false">IF(ISNUMBER(B66),"OK","BAD DATE")</f>
        <v>OK</v>
      </c>
      <c r="R66" s="2" t="str">
        <f aca="false">IF(ROUND(F66,2)=F66,"OK","FIX")</f>
        <v>OK</v>
      </c>
    </row>
    <row r="67" customFormat="false" ht="15" hidden="false" customHeight="false" outlineLevel="0" collapsed="false">
      <c r="A67" s="2" t="s">
        <v>299</v>
      </c>
      <c r="B67" s="3" t="n">
        <v>45290</v>
      </c>
      <c r="C67" s="2" t="s">
        <v>300</v>
      </c>
      <c r="D67" s="2" t="s">
        <v>20</v>
      </c>
      <c r="E67" s="2" t="n">
        <v>5</v>
      </c>
      <c r="F67" s="4" t="n">
        <v>81.7</v>
      </c>
      <c r="G67" s="2" t="s">
        <v>301</v>
      </c>
      <c r="H67" s="2" t="s">
        <v>38</v>
      </c>
      <c r="I67" s="2" t="s">
        <v>54</v>
      </c>
      <c r="J67" s="2" t="s">
        <v>302</v>
      </c>
      <c r="K67" s="2" t="n">
        <v>6</v>
      </c>
      <c r="L67" s="2"/>
      <c r="M67" s="2" t="s">
        <v>26</v>
      </c>
      <c r="N67" s="4" t="n">
        <v>408.5</v>
      </c>
      <c r="O67" s="2" t="str">
        <f aca="false">IF(COUNTIF($A$2:$A$1201,A67)&gt;1,"DUPLICATE","Unique")</f>
        <v>Unique</v>
      </c>
      <c r="P67" s="2" t="str">
        <f aca="false">IF(L67="","MISSING","OK")</f>
        <v>MISSING</v>
      </c>
      <c r="Q67" s="2" t="str">
        <f aca="false">IF(ISNUMBER(B67),"OK","BAD DATE")</f>
        <v>OK</v>
      </c>
      <c r="R67" s="2" t="str">
        <f aca="false">IF(ROUND(F67,2)=F67,"OK","FIX")</f>
        <v>OK</v>
      </c>
    </row>
    <row r="68" customFormat="false" ht="15" hidden="false" customHeight="false" outlineLevel="0" collapsed="false">
      <c r="A68" s="2" t="s">
        <v>303</v>
      </c>
      <c r="B68" s="3" t="n">
        <v>45611</v>
      </c>
      <c r="C68" s="2" t="s">
        <v>304</v>
      </c>
      <c r="D68" s="2" t="s">
        <v>45</v>
      </c>
      <c r="E68" s="2" t="n">
        <v>5</v>
      </c>
      <c r="F68" s="4" t="n">
        <v>127.18</v>
      </c>
      <c r="G68" s="2" t="s">
        <v>305</v>
      </c>
      <c r="H68" s="2" t="s">
        <v>69</v>
      </c>
      <c r="I68" s="2" t="s">
        <v>39</v>
      </c>
      <c r="J68" s="2" t="s">
        <v>306</v>
      </c>
      <c r="K68" s="2" t="n">
        <v>9</v>
      </c>
      <c r="L68" s="2" t="s">
        <v>25</v>
      </c>
      <c r="M68" s="2" t="s">
        <v>33</v>
      </c>
      <c r="N68" s="4" t="n">
        <v>635.9</v>
      </c>
      <c r="O68" s="2" t="str">
        <f aca="false">IF(COUNTIF($A$2:$A$1201,A68)&gt;1,"DUPLICATE","Unique")</f>
        <v>Unique</v>
      </c>
      <c r="P68" s="2" t="str">
        <f aca="false">IF(L68="","MISSING","OK")</f>
        <v>OK</v>
      </c>
      <c r="Q68" s="2" t="str">
        <f aca="false">IF(ISNUMBER(B68),"OK","BAD DATE")</f>
        <v>OK</v>
      </c>
      <c r="R68" s="2" t="str">
        <f aca="false">IF(ROUND(F68,2)=F68,"OK","FIX")</f>
        <v>OK</v>
      </c>
    </row>
    <row r="69" customFormat="false" ht="15" hidden="false" customHeight="false" outlineLevel="0" collapsed="false">
      <c r="A69" s="2" t="s">
        <v>307</v>
      </c>
      <c r="B69" s="3" t="n">
        <v>45635</v>
      </c>
      <c r="C69" s="2" t="s">
        <v>308</v>
      </c>
      <c r="D69" s="2" t="s">
        <v>52</v>
      </c>
      <c r="E69" s="2" t="n">
        <v>4</v>
      </c>
      <c r="F69" s="4" t="n">
        <v>12.1</v>
      </c>
      <c r="G69" s="2" t="s">
        <v>309</v>
      </c>
      <c r="H69" s="2" t="s">
        <v>22</v>
      </c>
      <c r="I69" s="2" t="s">
        <v>39</v>
      </c>
      <c r="J69" s="2" t="s">
        <v>310</v>
      </c>
      <c r="K69" s="2" t="n">
        <v>8</v>
      </c>
      <c r="L69" s="2"/>
      <c r="M69" s="2" t="s">
        <v>80</v>
      </c>
      <c r="N69" s="4" t="n">
        <v>48.4</v>
      </c>
      <c r="O69" s="2" t="str">
        <f aca="false">IF(COUNTIF($A$2:$A$1201,A69)&gt;1,"DUPLICATE","Unique")</f>
        <v>Unique</v>
      </c>
      <c r="P69" s="2" t="str">
        <f aca="false">IF(L69="","MISSING","OK")</f>
        <v>MISSING</v>
      </c>
      <c r="Q69" s="2" t="str">
        <f aca="false">IF(ISNUMBER(B69),"OK","BAD DATE")</f>
        <v>OK</v>
      </c>
      <c r="R69" s="2" t="str">
        <f aca="false">IF(ROUND(F69,2)=F69,"OK","FIX")</f>
        <v>OK</v>
      </c>
    </row>
    <row r="70" customFormat="false" ht="15" hidden="false" customHeight="false" outlineLevel="0" collapsed="false">
      <c r="A70" s="2" t="s">
        <v>311</v>
      </c>
      <c r="B70" s="3" t="n">
        <v>45271</v>
      </c>
      <c r="C70" s="2" t="s">
        <v>312</v>
      </c>
      <c r="D70" s="2" t="s">
        <v>45</v>
      </c>
      <c r="E70" s="2" t="n">
        <v>3</v>
      </c>
      <c r="F70" s="4" t="n">
        <v>490.92</v>
      </c>
      <c r="G70" s="2" t="s">
        <v>145</v>
      </c>
      <c r="H70" s="2" t="s">
        <v>38</v>
      </c>
      <c r="I70" s="2" t="s">
        <v>93</v>
      </c>
      <c r="J70" s="2" t="s">
        <v>313</v>
      </c>
      <c r="K70" s="2" t="n">
        <v>5</v>
      </c>
      <c r="L70" s="2" t="s">
        <v>41</v>
      </c>
      <c r="M70" s="2" t="s">
        <v>42</v>
      </c>
      <c r="N70" s="4" t="n">
        <v>1472.76</v>
      </c>
      <c r="O70" s="2" t="str">
        <f aca="false">IF(COUNTIF($A$2:$A$1201,A70)&gt;1,"DUPLICATE","Unique")</f>
        <v>Unique</v>
      </c>
      <c r="P70" s="2" t="str">
        <f aca="false">IF(L70="","MISSING","OK")</f>
        <v>OK</v>
      </c>
      <c r="Q70" s="2" t="str">
        <f aca="false">IF(ISNUMBER(B70),"OK","BAD DATE")</f>
        <v>OK</v>
      </c>
      <c r="R70" s="2" t="str">
        <f aca="false">IF(ROUND(F70,2)=F70,"OK","FIX")</f>
        <v>OK</v>
      </c>
    </row>
    <row r="71" customFormat="false" ht="15" hidden="false" customHeight="false" outlineLevel="0" collapsed="false">
      <c r="A71" s="2" t="s">
        <v>314</v>
      </c>
      <c r="B71" s="3" t="n">
        <v>45057</v>
      </c>
      <c r="C71" s="2" t="s">
        <v>315</v>
      </c>
      <c r="D71" s="2" t="s">
        <v>20</v>
      </c>
      <c r="E71" s="2" t="n">
        <v>3</v>
      </c>
      <c r="F71" s="4" t="n">
        <v>478.65</v>
      </c>
      <c r="G71" s="2" t="s">
        <v>316</v>
      </c>
      <c r="H71" s="2" t="s">
        <v>31</v>
      </c>
      <c r="I71" s="2" t="s">
        <v>23</v>
      </c>
      <c r="J71" s="2" t="s">
        <v>317</v>
      </c>
      <c r="K71" s="2" t="n">
        <v>4</v>
      </c>
      <c r="L71" s="2"/>
      <c r="M71" s="2" t="s">
        <v>33</v>
      </c>
      <c r="N71" s="4" t="n">
        <v>1435.95</v>
      </c>
      <c r="O71" s="2" t="str">
        <f aca="false">IF(COUNTIF($A$2:$A$1201,A71)&gt;1,"DUPLICATE","Unique")</f>
        <v>Unique</v>
      </c>
      <c r="P71" s="2" t="str">
        <f aca="false">IF(L71="","MISSING","OK")</f>
        <v>MISSING</v>
      </c>
      <c r="Q71" s="2" t="str">
        <f aca="false">IF(ISNUMBER(B71),"OK","BAD DATE")</f>
        <v>OK</v>
      </c>
      <c r="R71" s="2" t="str">
        <f aca="false">IF(ROUND(F71,2)=F71,"OK","FIX")</f>
        <v>OK</v>
      </c>
    </row>
    <row r="72" customFormat="false" ht="15" hidden="false" customHeight="false" outlineLevel="0" collapsed="false">
      <c r="A72" s="2" t="s">
        <v>318</v>
      </c>
      <c r="B72" s="3" t="n">
        <v>45072</v>
      </c>
      <c r="C72" s="2" t="s">
        <v>319</v>
      </c>
      <c r="D72" s="2" t="s">
        <v>77</v>
      </c>
      <c r="E72" s="2" t="n">
        <v>1</v>
      </c>
      <c r="F72" s="4" t="n">
        <v>629.21</v>
      </c>
      <c r="G72" s="2" t="s">
        <v>320</v>
      </c>
      <c r="H72" s="2" t="s">
        <v>64</v>
      </c>
      <c r="I72" s="2" t="s">
        <v>93</v>
      </c>
      <c r="J72" s="2" t="s">
        <v>321</v>
      </c>
      <c r="K72" s="2" t="n">
        <v>2</v>
      </c>
      <c r="L72" s="2" t="s">
        <v>41</v>
      </c>
      <c r="M72" s="2" t="s">
        <v>26</v>
      </c>
      <c r="N72" s="4" t="n">
        <v>629.21</v>
      </c>
      <c r="O72" s="2" t="str">
        <f aca="false">IF(COUNTIF($A$2:$A$1201,A72)&gt;1,"DUPLICATE","Unique")</f>
        <v>Unique</v>
      </c>
      <c r="P72" s="2" t="str">
        <f aca="false">IF(L72="","MISSING","OK")</f>
        <v>OK</v>
      </c>
      <c r="Q72" s="2" t="str">
        <f aca="false">IF(ISNUMBER(B72),"OK","BAD DATE")</f>
        <v>OK</v>
      </c>
      <c r="R72" s="2" t="str">
        <f aca="false">IF(ROUND(F72,2)=F72,"OK","FIX")</f>
        <v>OK</v>
      </c>
    </row>
    <row r="73" customFormat="false" ht="15" hidden="false" customHeight="false" outlineLevel="0" collapsed="false">
      <c r="A73" s="2" t="s">
        <v>322</v>
      </c>
      <c r="B73" s="3" t="n">
        <v>45818</v>
      </c>
      <c r="C73" s="2" t="s">
        <v>323</v>
      </c>
      <c r="D73" s="2" t="s">
        <v>20</v>
      </c>
      <c r="E73" s="2" t="n">
        <v>3</v>
      </c>
      <c r="F73" s="4" t="n">
        <v>434.45</v>
      </c>
      <c r="G73" s="2" t="s">
        <v>324</v>
      </c>
      <c r="H73" s="2" t="s">
        <v>38</v>
      </c>
      <c r="I73" s="2" t="s">
        <v>93</v>
      </c>
      <c r="J73" s="2" t="s">
        <v>325</v>
      </c>
      <c r="K73" s="2" t="n">
        <v>4</v>
      </c>
      <c r="L73" s="2"/>
      <c r="M73" s="2" t="s">
        <v>33</v>
      </c>
      <c r="N73" s="4" t="n">
        <v>1303.35</v>
      </c>
      <c r="O73" s="2" t="str">
        <f aca="false">IF(COUNTIF($A$2:$A$1201,A73)&gt;1,"DUPLICATE","Unique")</f>
        <v>Unique</v>
      </c>
      <c r="P73" s="2" t="str">
        <f aca="false">IF(L73="","MISSING","OK")</f>
        <v>MISSING</v>
      </c>
      <c r="Q73" s="2" t="str">
        <f aca="false">IF(ISNUMBER(B73),"OK","BAD DATE")</f>
        <v>OK</v>
      </c>
      <c r="R73" s="2" t="str">
        <f aca="false">IF(ROUND(F73,2)=F73,"OK","FIX")</f>
        <v>OK</v>
      </c>
    </row>
    <row r="74" customFormat="false" ht="15" hidden="false" customHeight="false" outlineLevel="0" collapsed="false">
      <c r="A74" s="2" t="s">
        <v>326</v>
      </c>
      <c r="B74" s="3" t="n">
        <v>45648</v>
      </c>
      <c r="C74" s="2" t="s">
        <v>327</v>
      </c>
      <c r="D74" s="2" t="s">
        <v>36</v>
      </c>
      <c r="E74" s="2" t="n">
        <v>4</v>
      </c>
      <c r="F74" s="4" t="n">
        <v>589.44</v>
      </c>
      <c r="G74" s="2" t="s">
        <v>105</v>
      </c>
      <c r="H74" s="2" t="s">
        <v>64</v>
      </c>
      <c r="I74" s="2" t="s">
        <v>47</v>
      </c>
      <c r="J74" s="2" t="s">
        <v>328</v>
      </c>
      <c r="K74" s="2" t="n">
        <v>5</v>
      </c>
      <c r="L74" s="2"/>
      <c r="M74" s="2" t="s">
        <v>49</v>
      </c>
      <c r="N74" s="4" t="n">
        <v>2357.76</v>
      </c>
      <c r="O74" s="2" t="str">
        <f aca="false">IF(COUNTIF($A$2:$A$1201,A74)&gt;1,"DUPLICATE","Unique")</f>
        <v>Unique</v>
      </c>
      <c r="P74" s="2" t="str">
        <f aca="false">IF(L74="","MISSING","OK")</f>
        <v>MISSING</v>
      </c>
      <c r="Q74" s="2" t="str">
        <f aca="false">IF(ISNUMBER(B74),"OK","BAD DATE")</f>
        <v>OK</v>
      </c>
      <c r="R74" s="2" t="str">
        <f aca="false">IF(ROUND(F74,2)=F74,"OK","FIX")</f>
        <v>OK</v>
      </c>
    </row>
    <row r="75" customFormat="false" ht="15" hidden="false" customHeight="false" outlineLevel="0" collapsed="false">
      <c r="A75" s="2" t="s">
        <v>329</v>
      </c>
      <c r="B75" s="3" t="n">
        <v>45049</v>
      </c>
      <c r="C75" s="2" t="s">
        <v>330</v>
      </c>
      <c r="D75" s="2" t="s">
        <v>20</v>
      </c>
      <c r="E75" s="2" t="n">
        <v>4</v>
      </c>
      <c r="F75" s="4" t="n">
        <v>433.45</v>
      </c>
      <c r="G75" s="2" t="s">
        <v>331</v>
      </c>
      <c r="H75" s="2" t="s">
        <v>64</v>
      </c>
      <c r="I75" s="2" t="s">
        <v>39</v>
      </c>
      <c r="J75" s="2" t="s">
        <v>332</v>
      </c>
      <c r="K75" s="2" t="n">
        <v>4</v>
      </c>
      <c r="L75" s="2"/>
      <c r="M75" s="2" t="s">
        <v>49</v>
      </c>
      <c r="N75" s="4" t="n">
        <v>1733.8</v>
      </c>
      <c r="O75" s="2" t="str">
        <f aca="false">IF(COUNTIF($A$2:$A$1201,A75)&gt;1,"DUPLICATE","Unique")</f>
        <v>Unique</v>
      </c>
      <c r="P75" s="2" t="str">
        <f aca="false">IF(L75="","MISSING","OK")</f>
        <v>MISSING</v>
      </c>
      <c r="Q75" s="2" t="str">
        <f aca="false">IF(ISNUMBER(B75),"OK","BAD DATE")</f>
        <v>OK</v>
      </c>
      <c r="R75" s="2" t="str">
        <f aca="false">IF(ROUND(F75,2)=F75,"OK","FIX")</f>
        <v>OK</v>
      </c>
    </row>
    <row r="76" customFormat="false" ht="15" hidden="false" customHeight="false" outlineLevel="0" collapsed="false">
      <c r="A76" s="2" t="s">
        <v>333</v>
      </c>
      <c r="B76" s="3" t="n">
        <v>45101</v>
      </c>
      <c r="C76" s="2" t="s">
        <v>334</v>
      </c>
      <c r="D76" s="2" t="s">
        <v>29</v>
      </c>
      <c r="E76" s="2" t="n">
        <v>5</v>
      </c>
      <c r="F76" s="4" t="n">
        <v>90.87</v>
      </c>
      <c r="G76" s="2" t="s">
        <v>335</v>
      </c>
      <c r="H76" s="2" t="s">
        <v>69</v>
      </c>
      <c r="I76" s="2" t="s">
        <v>93</v>
      </c>
      <c r="J76" s="2" t="s">
        <v>336</v>
      </c>
      <c r="K76" s="2" t="n">
        <v>5</v>
      </c>
      <c r="L76" s="2"/>
      <c r="M76" s="2" t="s">
        <v>26</v>
      </c>
      <c r="N76" s="4" t="n">
        <v>454.35</v>
      </c>
      <c r="O76" s="2" t="str">
        <f aca="false">IF(COUNTIF($A$2:$A$1201,A76)&gt;1,"DUPLICATE","Unique")</f>
        <v>Unique</v>
      </c>
      <c r="P76" s="2" t="str">
        <f aca="false">IF(L76="","MISSING","OK")</f>
        <v>MISSING</v>
      </c>
      <c r="Q76" s="2" t="str">
        <f aca="false">IF(ISNUMBER(B76),"OK","BAD DATE")</f>
        <v>OK</v>
      </c>
      <c r="R76" s="2" t="str">
        <f aca="false">IF(ROUND(F76,2)=F76,"OK","FIX")</f>
        <v>OK</v>
      </c>
    </row>
    <row r="77" customFormat="false" ht="15" hidden="false" customHeight="false" outlineLevel="0" collapsed="false">
      <c r="A77" s="2" t="s">
        <v>337</v>
      </c>
      <c r="B77" s="3" t="n">
        <v>45195</v>
      </c>
      <c r="C77" s="2" t="s">
        <v>338</v>
      </c>
      <c r="D77" s="2" t="s">
        <v>36</v>
      </c>
      <c r="E77" s="2" t="n">
        <v>3</v>
      </c>
      <c r="F77" s="4" t="n">
        <v>398.17</v>
      </c>
      <c r="G77" s="2" t="s">
        <v>339</v>
      </c>
      <c r="H77" s="2" t="s">
        <v>22</v>
      </c>
      <c r="I77" s="2" t="s">
        <v>54</v>
      </c>
      <c r="J77" s="2" t="s">
        <v>340</v>
      </c>
      <c r="K77" s="2" t="n">
        <v>5</v>
      </c>
      <c r="L77" s="2" t="s">
        <v>25</v>
      </c>
      <c r="M77" s="2" t="s">
        <v>42</v>
      </c>
      <c r="N77" s="4" t="n">
        <v>1194.51</v>
      </c>
      <c r="O77" s="2" t="str">
        <f aca="false">IF(COUNTIF($A$2:$A$1201,A77)&gt;1,"DUPLICATE","Unique")</f>
        <v>Unique</v>
      </c>
      <c r="P77" s="2" t="str">
        <f aca="false">IF(L77="","MISSING","OK")</f>
        <v>OK</v>
      </c>
      <c r="Q77" s="2" t="str">
        <f aca="false">IF(ISNUMBER(B77),"OK","BAD DATE")</f>
        <v>OK</v>
      </c>
      <c r="R77" s="2" t="str">
        <f aca="false">IF(ROUND(F77,2)=F77,"OK","FIX")</f>
        <v>OK</v>
      </c>
    </row>
    <row r="78" customFormat="false" ht="15" hidden="false" customHeight="false" outlineLevel="0" collapsed="false">
      <c r="A78" s="2" t="s">
        <v>341</v>
      </c>
      <c r="B78" s="3" t="n">
        <v>45382</v>
      </c>
      <c r="C78" s="2" t="s">
        <v>342</v>
      </c>
      <c r="D78" s="2" t="s">
        <v>62</v>
      </c>
      <c r="E78" s="2" t="n">
        <v>4</v>
      </c>
      <c r="F78" s="4" t="n">
        <v>382.88</v>
      </c>
      <c r="G78" s="2" t="s">
        <v>343</v>
      </c>
      <c r="H78" s="2" t="s">
        <v>69</v>
      </c>
      <c r="I78" s="2" t="s">
        <v>39</v>
      </c>
      <c r="J78" s="2" t="s">
        <v>344</v>
      </c>
      <c r="K78" s="2" t="n">
        <v>6</v>
      </c>
      <c r="L78" s="2" t="s">
        <v>85</v>
      </c>
      <c r="M78" s="2" t="s">
        <v>42</v>
      </c>
      <c r="N78" s="4" t="n">
        <v>1531.52</v>
      </c>
      <c r="O78" s="2" t="str">
        <f aca="false">IF(COUNTIF($A$2:$A$1201,A78)&gt;1,"DUPLICATE","Unique")</f>
        <v>Unique</v>
      </c>
      <c r="P78" s="2" t="str">
        <f aca="false">IF(L78="","MISSING","OK")</f>
        <v>OK</v>
      </c>
      <c r="Q78" s="2" t="str">
        <f aca="false">IF(ISNUMBER(B78),"OK","BAD DATE")</f>
        <v>OK</v>
      </c>
      <c r="R78" s="2" t="str">
        <f aca="false">IF(ROUND(F78,2)=F78,"OK","FIX")</f>
        <v>OK</v>
      </c>
    </row>
    <row r="79" customFormat="false" ht="15" hidden="false" customHeight="false" outlineLevel="0" collapsed="false">
      <c r="A79" s="2" t="s">
        <v>345</v>
      </c>
      <c r="B79" s="3" t="n">
        <v>45436</v>
      </c>
      <c r="C79" s="2" t="s">
        <v>346</v>
      </c>
      <c r="D79" s="2" t="s">
        <v>29</v>
      </c>
      <c r="E79" s="2" t="n">
        <v>1</v>
      </c>
      <c r="F79" s="4" t="n">
        <v>583.18</v>
      </c>
      <c r="G79" s="2" t="s">
        <v>347</v>
      </c>
      <c r="H79" s="2" t="s">
        <v>38</v>
      </c>
      <c r="I79" s="2" t="s">
        <v>47</v>
      </c>
      <c r="J79" s="2" t="s">
        <v>348</v>
      </c>
      <c r="K79" s="2" t="n">
        <v>5</v>
      </c>
      <c r="L79" s="2"/>
      <c r="M79" s="2" t="s">
        <v>80</v>
      </c>
      <c r="N79" s="4" t="n">
        <v>583.18</v>
      </c>
      <c r="O79" s="2" t="str">
        <f aca="false">IF(COUNTIF($A$2:$A$1201,A79)&gt;1,"DUPLICATE","Unique")</f>
        <v>Unique</v>
      </c>
      <c r="P79" s="2" t="str">
        <f aca="false">IF(L79="","MISSING","OK")</f>
        <v>MISSING</v>
      </c>
      <c r="Q79" s="2" t="str">
        <f aca="false">IF(ISNUMBER(B79),"OK","BAD DATE")</f>
        <v>OK</v>
      </c>
      <c r="R79" s="2" t="str">
        <f aca="false">IF(ROUND(F79,2)=F79,"OK","FIX")</f>
        <v>OK</v>
      </c>
    </row>
    <row r="80" customFormat="false" ht="15" hidden="false" customHeight="false" outlineLevel="0" collapsed="false">
      <c r="A80" s="2" t="s">
        <v>349</v>
      </c>
      <c r="B80" s="3" t="n">
        <v>45510</v>
      </c>
      <c r="C80" s="2" t="s">
        <v>350</v>
      </c>
      <c r="D80" s="2" t="s">
        <v>52</v>
      </c>
      <c r="E80" s="2" t="n">
        <v>4</v>
      </c>
      <c r="F80" s="4" t="n">
        <v>175.36</v>
      </c>
      <c r="G80" s="2" t="s">
        <v>351</v>
      </c>
      <c r="H80" s="2" t="s">
        <v>22</v>
      </c>
      <c r="I80" s="2" t="s">
        <v>54</v>
      </c>
      <c r="J80" s="2" t="s">
        <v>352</v>
      </c>
      <c r="K80" s="2" t="n">
        <v>4</v>
      </c>
      <c r="L80" s="2" t="s">
        <v>41</v>
      </c>
      <c r="M80" s="2" t="s">
        <v>26</v>
      </c>
      <c r="N80" s="4" t="n">
        <v>701.44</v>
      </c>
      <c r="O80" s="2" t="str">
        <f aca="false">IF(COUNTIF($A$2:$A$1201,A80)&gt;1,"DUPLICATE","Unique")</f>
        <v>Unique</v>
      </c>
      <c r="P80" s="2" t="str">
        <f aca="false">IF(L80="","MISSING","OK")</f>
        <v>OK</v>
      </c>
      <c r="Q80" s="2" t="str">
        <f aca="false">IF(ISNUMBER(B80),"OK","BAD DATE")</f>
        <v>OK</v>
      </c>
      <c r="R80" s="2" t="str">
        <f aca="false">IF(ROUND(F80,2)=F80,"OK","FIX")</f>
        <v>OK</v>
      </c>
    </row>
    <row r="81" customFormat="false" ht="15" hidden="false" customHeight="false" outlineLevel="0" collapsed="false">
      <c r="A81" s="2" t="s">
        <v>353</v>
      </c>
      <c r="B81" s="3" t="n">
        <v>45726</v>
      </c>
      <c r="C81" s="2" t="s">
        <v>354</v>
      </c>
      <c r="D81" s="2" t="s">
        <v>36</v>
      </c>
      <c r="E81" s="2" t="n">
        <v>2</v>
      </c>
      <c r="F81" s="4" t="n">
        <v>311.91</v>
      </c>
      <c r="G81" s="2" t="s">
        <v>355</v>
      </c>
      <c r="H81" s="2" t="s">
        <v>31</v>
      </c>
      <c r="I81" s="2" t="s">
        <v>23</v>
      </c>
      <c r="J81" s="2" t="s">
        <v>356</v>
      </c>
      <c r="K81" s="2" t="n">
        <v>2</v>
      </c>
      <c r="L81" s="2"/>
      <c r="M81" s="2" t="s">
        <v>49</v>
      </c>
      <c r="N81" s="4" t="n">
        <v>623.82</v>
      </c>
      <c r="O81" s="2" t="str">
        <f aca="false">IF(COUNTIF($A$2:$A$1201,A81)&gt;1,"DUPLICATE","Unique")</f>
        <v>Unique</v>
      </c>
      <c r="P81" s="2" t="str">
        <f aca="false">IF(L81="","MISSING","OK")</f>
        <v>MISSING</v>
      </c>
      <c r="Q81" s="2" t="str">
        <f aca="false">IF(ISNUMBER(B81),"OK","BAD DATE")</f>
        <v>OK</v>
      </c>
      <c r="R81" s="2" t="str">
        <f aca="false">IF(ROUND(F81,2)=F81,"OK","FIX")</f>
        <v>OK</v>
      </c>
    </row>
    <row r="82" customFormat="false" ht="15" hidden="false" customHeight="false" outlineLevel="0" collapsed="false">
      <c r="A82" s="2" t="s">
        <v>357</v>
      </c>
      <c r="B82" s="3" t="n">
        <v>45104</v>
      </c>
      <c r="C82" s="2" t="s">
        <v>358</v>
      </c>
      <c r="D82" s="2" t="s">
        <v>29</v>
      </c>
      <c r="E82" s="2" t="n">
        <v>3</v>
      </c>
      <c r="F82" s="4" t="n">
        <v>589.56</v>
      </c>
      <c r="G82" s="2" t="s">
        <v>359</v>
      </c>
      <c r="H82" s="2" t="s">
        <v>31</v>
      </c>
      <c r="I82" s="2" t="s">
        <v>47</v>
      </c>
      <c r="J82" s="2" t="s">
        <v>360</v>
      </c>
      <c r="K82" s="2" t="n">
        <v>6</v>
      </c>
      <c r="L82" s="2"/>
      <c r="M82" s="2" t="s">
        <v>49</v>
      </c>
      <c r="N82" s="4" t="n">
        <v>1768.68</v>
      </c>
      <c r="O82" s="2" t="str">
        <f aca="false">IF(COUNTIF($A$2:$A$1201,A82)&gt;1,"DUPLICATE","Unique")</f>
        <v>Unique</v>
      </c>
      <c r="P82" s="2" t="str">
        <f aca="false">IF(L82="","MISSING","OK")</f>
        <v>MISSING</v>
      </c>
      <c r="Q82" s="2" t="str">
        <f aca="false">IF(ISNUMBER(B82),"OK","BAD DATE")</f>
        <v>OK</v>
      </c>
      <c r="R82" s="2" t="str">
        <f aca="false">IF(ROUND(F82,2)=F82,"OK","FIX")</f>
        <v>OK</v>
      </c>
    </row>
    <row r="83" customFormat="false" ht="15" hidden="false" customHeight="false" outlineLevel="0" collapsed="false">
      <c r="A83" s="2" t="s">
        <v>361</v>
      </c>
      <c r="B83" s="3" t="n">
        <v>45085</v>
      </c>
      <c r="C83" s="2" t="s">
        <v>362</v>
      </c>
      <c r="D83" s="2" t="s">
        <v>20</v>
      </c>
      <c r="E83" s="2" t="n">
        <v>2</v>
      </c>
      <c r="F83" s="4" t="n">
        <v>394.3</v>
      </c>
      <c r="G83" s="2" t="s">
        <v>363</v>
      </c>
      <c r="H83" s="2" t="s">
        <v>69</v>
      </c>
      <c r="I83" s="2" t="s">
        <v>23</v>
      </c>
      <c r="J83" s="2" t="s">
        <v>364</v>
      </c>
      <c r="K83" s="2" t="n">
        <v>6</v>
      </c>
      <c r="L83" s="2" t="s">
        <v>41</v>
      </c>
      <c r="M83" s="2" t="s">
        <v>42</v>
      </c>
      <c r="N83" s="4" t="n">
        <v>788.6</v>
      </c>
      <c r="O83" s="2" t="str">
        <f aca="false">IF(COUNTIF($A$2:$A$1201,A83)&gt;1,"DUPLICATE","Unique")</f>
        <v>Unique</v>
      </c>
      <c r="P83" s="2" t="str">
        <f aca="false">IF(L83="","MISSING","OK")</f>
        <v>OK</v>
      </c>
      <c r="Q83" s="2" t="str">
        <f aca="false">IF(ISNUMBER(B83),"OK","BAD DATE")</f>
        <v>OK</v>
      </c>
      <c r="R83" s="2" t="str">
        <f aca="false">IF(ROUND(F83,2)=F83,"OK","FIX")</f>
        <v>OK</v>
      </c>
    </row>
    <row r="84" customFormat="false" ht="15" hidden="false" customHeight="false" outlineLevel="0" collapsed="false">
      <c r="A84" s="2" t="s">
        <v>365</v>
      </c>
      <c r="B84" s="3" t="n">
        <v>45296</v>
      </c>
      <c r="C84" s="2" t="s">
        <v>366</v>
      </c>
      <c r="D84" s="2" t="s">
        <v>36</v>
      </c>
      <c r="E84" s="2" t="n">
        <v>4</v>
      </c>
      <c r="F84" s="4" t="n">
        <v>565.2</v>
      </c>
      <c r="G84" s="2" t="s">
        <v>367</v>
      </c>
      <c r="H84" s="2" t="s">
        <v>22</v>
      </c>
      <c r="I84" s="2" t="s">
        <v>23</v>
      </c>
      <c r="J84" s="2" t="s">
        <v>368</v>
      </c>
      <c r="K84" s="2" t="n">
        <v>9</v>
      </c>
      <c r="L84" s="2" t="s">
        <v>25</v>
      </c>
      <c r="M84" s="2" t="s">
        <v>80</v>
      </c>
      <c r="N84" s="4" t="n">
        <v>2260.8</v>
      </c>
      <c r="O84" s="2" t="str">
        <f aca="false">IF(COUNTIF($A$2:$A$1201,A84)&gt;1,"DUPLICATE","Unique")</f>
        <v>Unique</v>
      </c>
      <c r="P84" s="2" t="str">
        <f aca="false">IF(L84="","MISSING","OK")</f>
        <v>OK</v>
      </c>
      <c r="Q84" s="2" t="str">
        <f aca="false">IF(ISNUMBER(B84),"OK","BAD DATE")</f>
        <v>OK</v>
      </c>
      <c r="R84" s="2" t="str">
        <f aca="false">IF(ROUND(F84,2)=F84,"OK","FIX")</f>
        <v>OK</v>
      </c>
    </row>
    <row r="85" customFormat="false" ht="15" hidden="false" customHeight="false" outlineLevel="0" collapsed="false">
      <c r="A85" s="2" t="s">
        <v>369</v>
      </c>
      <c r="B85" s="3" t="n">
        <v>45160</v>
      </c>
      <c r="C85" s="2" t="s">
        <v>370</v>
      </c>
      <c r="D85" s="2" t="s">
        <v>62</v>
      </c>
      <c r="E85" s="2" t="n">
        <v>4</v>
      </c>
      <c r="F85" s="4" t="n">
        <v>540.41</v>
      </c>
      <c r="G85" s="2" t="s">
        <v>371</v>
      </c>
      <c r="H85" s="2" t="s">
        <v>38</v>
      </c>
      <c r="I85" s="2" t="s">
        <v>39</v>
      </c>
      <c r="J85" s="2" t="s">
        <v>372</v>
      </c>
      <c r="K85" s="2" t="n">
        <v>6</v>
      </c>
      <c r="L85" s="2"/>
      <c r="M85" s="2" t="s">
        <v>33</v>
      </c>
      <c r="N85" s="4" t="n">
        <v>2161.64</v>
      </c>
      <c r="O85" s="2" t="str">
        <f aca="false">IF(COUNTIF($A$2:$A$1201,A85)&gt;1,"DUPLICATE","Unique")</f>
        <v>Unique</v>
      </c>
      <c r="P85" s="2" t="str">
        <f aca="false">IF(L85="","MISSING","OK")</f>
        <v>MISSING</v>
      </c>
      <c r="Q85" s="2" t="str">
        <f aca="false">IF(ISNUMBER(B85),"OK","BAD DATE")</f>
        <v>OK</v>
      </c>
      <c r="R85" s="2" t="str">
        <f aca="false">IF(ROUND(F85,2)=F85,"OK","FIX")</f>
        <v>OK</v>
      </c>
    </row>
    <row r="86" customFormat="false" ht="15" hidden="false" customHeight="false" outlineLevel="0" collapsed="false">
      <c r="A86" s="2" t="s">
        <v>373</v>
      </c>
      <c r="B86" s="3" t="n">
        <v>45166</v>
      </c>
      <c r="C86" s="2" t="s">
        <v>374</v>
      </c>
      <c r="D86" s="2" t="s">
        <v>20</v>
      </c>
      <c r="E86" s="2" t="n">
        <v>2</v>
      </c>
      <c r="F86" s="4" t="n">
        <v>165.49</v>
      </c>
      <c r="G86" s="2" t="s">
        <v>375</v>
      </c>
      <c r="H86" s="2" t="s">
        <v>31</v>
      </c>
      <c r="I86" s="2" t="s">
        <v>23</v>
      </c>
      <c r="J86" s="2" t="s">
        <v>376</v>
      </c>
      <c r="K86" s="2" t="n">
        <v>4</v>
      </c>
      <c r="L86" s="2" t="s">
        <v>85</v>
      </c>
      <c r="M86" s="2" t="s">
        <v>26</v>
      </c>
      <c r="N86" s="4" t="n">
        <v>330.98</v>
      </c>
      <c r="O86" s="2" t="str">
        <f aca="false">IF(COUNTIF($A$2:$A$1201,A86)&gt;1,"DUPLICATE","Unique")</f>
        <v>Unique</v>
      </c>
      <c r="P86" s="2" t="str">
        <f aca="false">IF(L86="","MISSING","OK")</f>
        <v>OK</v>
      </c>
      <c r="Q86" s="2" t="str">
        <f aca="false">IF(ISNUMBER(B86),"OK","BAD DATE")</f>
        <v>OK</v>
      </c>
      <c r="R86" s="2" t="str">
        <f aca="false">IF(ROUND(F86,2)=F86,"OK","FIX")</f>
        <v>OK</v>
      </c>
    </row>
    <row r="87" customFormat="false" ht="15" hidden="false" customHeight="false" outlineLevel="0" collapsed="false">
      <c r="A87" s="2" t="s">
        <v>377</v>
      </c>
      <c r="B87" s="3" t="n">
        <v>45544</v>
      </c>
      <c r="C87" s="2" t="s">
        <v>378</v>
      </c>
      <c r="D87" s="2" t="s">
        <v>36</v>
      </c>
      <c r="E87" s="2" t="n">
        <v>3</v>
      </c>
      <c r="F87" s="4" t="n">
        <v>146.73</v>
      </c>
      <c r="G87" s="2" t="s">
        <v>379</v>
      </c>
      <c r="H87" s="2" t="s">
        <v>69</v>
      </c>
      <c r="I87" s="2" t="s">
        <v>54</v>
      </c>
      <c r="J87" s="2" t="s">
        <v>380</v>
      </c>
      <c r="K87" s="2" t="n">
        <v>8</v>
      </c>
      <c r="L87" s="2" t="s">
        <v>41</v>
      </c>
      <c r="M87" s="2" t="s">
        <v>42</v>
      </c>
      <c r="N87" s="4" t="n">
        <v>440.19</v>
      </c>
      <c r="O87" s="2" t="str">
        <f aca="false">IF(COUNTIF($A$2:$A$1201,A87)&gt;1,"DUPLICATE","Unique")</f>
        <v>Unique</v>
      </c>
      <c r="P87" s="2" t="str">
        <f aca="false">IF(L87="","MISSING","OK")</f>
        <v>OK</v>
      </c>
      <c r="Q87" s="2" t="str">
        <f aca="false">IF(ISNUMBER(B87),"OK","BAD DATE")</f>
        <v>OK</v>
      </c>
      <c r="R87" s="2" t="str">
        <f aca="false">IF(ROUND(F87,2)=F87,"OK","FIX")</f>
        <v>OK</v>
      </c>
    </row>
    <row r="88" customFormat="false" ht="15" hidden="false" customHeight="false" outlineLevel="0" collapsed="false">
      <c r="A88" s="2" t="s">
        <v>381</v>
      </c>
      <c r="B88" s="3" t="n">
        <v>45462</v>
      </c>
      <c r="C88" s="2" t="s">
        <v>382</v>
      </c>
      <c r="D88" s="2" t="s">
        <v>52</v>
      </c>
      <c r="E88" s="2" t="n">
        <v>5</v>
      </c>
      <c r="F88" s="4" t="n">
        <v>643.03</v>
      </c>
      <c r="G88" s="2" t="s">
        <v>383</v>
      </c>
      <c r="H88" s="2" t="s">
        <v>31</v>
      </c>
      <c r="I88" s="2" t="s">
        <v>39</v>
      </c>
      <c r="J88" s="2" t="s">
        <v>384</v>
      </c>
      <c r="K88" s="2" t="n">
        <v>5</v>
      </c>
      <c r="L88" s="2" t="s">
        <v>41</v>
      </c>
      <c r="M88" s="2" t="s">
        <v>33</v>
      </c>
      <c r="N88" s="4" t="n">
        <v>3215.15</v>
      </c>
      <c r="O88" s="2" t="str">
        <f aca="false">IF(COUNTIF($A$2:$A$1201,A88)&gt;1,"DUPLICATE","Unique")</f>
        <v>Unique</v>
      </c>
      <c r="P88" s="2" t="str">
        <f aca="false">IF(L88="","MISSING","OK")</f>
        <v>OK</v>
      </c>
      <c r="Q88" s="2" t="str">
        <f aca="false">IF(ISNUMBER(B88),"OK","BAD DATE")</f>
        <v>OK</v>
      </c>
      <c r="R88" s="2" t="str">
        <f aca="false">IF(ROUND(F88,2)=F88,"OK","FIX")</f>
        <v>OK</v>
      </c>
    </row>
    <row r="89" customFormat="false" ht="15" hidden="false" customHeight="false" outlineLevel="0" collapsed="false">
      <c r="A89" s="2" t="s">
        <v>385</v>
      </c>
      <c r="B89" s="3" t="n">
        <v>45575</v>
      </c>
      <c r="C89" s="2" t="s">
        <v>386</v>
      </c>
      <c r="D89" s="2" t="s">
        <v>36</v>
      </c>
      <c r="E89" s="2" t="n">
        <v>3</v>
      </c>
      <c r="F89" s="4" t="n">
        <v>225.11</v>
      </c>
      <c r="G89" s="2" t="s">
        <v>387</v>
      </c>
      <c r="H89" s="2" t="s">
        <v>69</v>
      </c>
      <c r="I89" s="2" t="s">
        <v>23</v>
      </c>
      <c r="J89" s="2" t="s">
        <v>388</v>
      </c>
      <c r="K89" s="2" t="n">
        <v>4</v>
      </c>
      <c r="L89" s="2" t="s">
        <v>25</v>
      </c>
      <c r="M89" s="2" t="s">
        <v>49</v>
      </c>
      <c r="N89" s="4" t="n">
        <v>675.33</v>
      </c>
      <c r="O89" s="2" t="str">
        <f aca="false">IF(COUNTIF($A$2:$A$1201,A89)&gt;1,"DUPLICATE","Unique")</f>
        <v>Unique</v>
      </c>
      <c r="P89" s="2" t="str">
        <f aca="false">IF(L89="","MISSING","OK")</f>
        <v>OK</v>
      </c>
      <c r="Q89" s="2" t="str">
        <f aca="false">IF(ISNUMBER(B89),"OK","BAD DATE")</f>
        <v>OK</v>
      </c>
      <c r="R89" s="2" t="str">
        <f aca="false">IF(ROUND(F89,2)=F89,"OK","FIX")</f>
        <v>OK</v>
      </c>
    </row>
    <row r="90" customFormat="false" ht="15" hidden="false" customHeight="false" outlineLevel="0" collapsed="false">
      <c r="A90" s="2" t="s">
        <v>389</v>
      </c>
      <c r="B90" s="3" t="n">
        <v>45813</v>
      </c>
      <c r="C90" s="2" t="s">
        <v>390</v>
      </c>
      <c r="D90" s="2" t="s">
        <v>77</v>
      </c>
      <c r="E90" s="2" t="n">
        <v>3</v>
      </c>
      <c r="F90" s="4" t="n">
        <v>114.81</v>
      </c>
      <c r="G90" s="2" t="s">
        <v>391</v>
      </c>
      <c r="H90" s="2" t="s">
        <v>64</v>
      </c>
      <c r="I90" s="2" t="s">
        <v>39</v>
      </c>
      <c r="J90" s="2" t="s">
        <v>392</v>
      </c>
      <c r="K90" s="2" t="n">
        <v>7</v>
      </c>
      <c r="L90" s="2"/>
      <c r="M90" s="2" t="s">
        <v>80</v>
      </c>
      <c r="N90" s="4" t="n">
        <v>344.43</v>
      </c>
      <c r="O90" s="2" t="str">
        <f aca="false">IF(COUNTIF($A$2:$A$1201,A90)&gt;1,"DUPLICATE","Unique")</f>
        <v>Unique</v>
      </c>
      <c r="P90" s="2" t="str">
        <f aca="false">IF(L90="","MISSING","OK")</f>
        <v>MISSING</v>
      </c>
      <c r="Q90" s="2" t="str">
        <f aca="false">IF(ISNUMBER(B90),"OK","BAD DATE")</f>
        <v>OK</v>
      </c>
      <c r="R90" s="2" t="str">
        <f aca="false">IF(ROUND(F90,2)=F90,"OK","FIX")</f>
        <v>OK</v>
      </c>
    </row>
    <row r="91" customFormat="false" ht="15" hidden="false" customHeight="false" outlineLevel="0" collapsed="false">
      <c r="A91" s="2" t="s">
        <v>393</v>
      </c>
      <c r="B91" s="3" t="n">
        <v>45713</v>
      </c>
      <c r="C91" s="2" t="s">
        <v>394</v>
      </c>
      <c r="D91" s="2" t="s">
        <v>52</v>
      </c>
      <c r="E91" s="2" t="n">
        <v>5</v>
      </c>
      <c r="F91" s="4" t="n">
        <v>455.33</v>
      </c>
      <c r="G91" s="2" t="s">
        <v>395</v>
      </c>
      <c r="H91" s="2" t="s">
        <v>38</v>
      </c>
      <c r="I91" s="2" t="s">
        <v>39</v>
      </c>
      <c r="J91" s="2" t="s">
        <v>396</v>
      </c>
      <c r="K91" s="2" t="n">
        <v>8</v>
      </c>
      <c r="L91" s="2" t="s">
        <v>41</v>
      </c>
      <c r="M91" s="2" t="s">
        <v>80</v>
      </c>
      <c r="N91" s="4" t="n">
        <v>2276.65</v>
      </c>
      <c r="O91" s="2" t="str">
        <f aca="false">IF(COUNTIF($A$2:$A$1201,A91)&gt;1,"DUPLICATE","Unique")</f>
        <v>Unique</v>
      </c>
      <c r="P91" s="2" t="str">
        <f aca="false">IF(L91="","MISSING","OK")</f>
        <v>OK</v>
      </c>
      <c r="Q91" s="2" t="str">
        <f aca="false">IF(ISNUMBER(B91),"OK","BAD DATE")</f>
        <v>OK</v>
      </c>
      <c r="R91" s="2" t="str">
        <f aca="false">IF(ROUND(F91,2)=F91,"OK","FIX")</f>
        <v>OK</v>
      </c>
    </row>
    <row r="92" customFormat="false" ht="15" hidden="false" customHeight="false" outlineLevel="0" collapsed="false">
      <c r="A92" s="2" t="s">
        <v>397</v>
      </c>
      <c r="B92" s="3" t="n">
        <v>45187</v>
      </c>
      <c r="C92" s="2" t="s">
        <v>398</v>
      </c>
      <c r="D92" s="2" t="s">
        <v>45</v>
      </c>
      <c r="E92" s="2" t="n">
        <v>4</v>
      </c>
      <c r="F92" s="4" t="n">
        <v>182.08</v>
      </c>
      <c r="G92" s="2" t="s">
        <v>399</v>
      </c>
      <c r="H92" s="2" t="s">
        <v>64</v>
      </c>
      <c r="I92" s="2" t="s">
        <v>54</v>
      </c>
      <c r="J92" s="2" t="s">
        <v>400</v>
      </c>
      <c r="K92" s="2" t="n">
        <v>4</v>
      </c>
      <c r="L92" s="2" t="s">
        <v>25</v>
      </c>
      <c r="M92" s="2" t="s">
        <v>42</v>
      </c>
      <c r="N92" s="4" t="n">
        <v>728.32</v>
      </c>
      <c r="O92" s="2" t="str">
        <f aca="false">IF(COUNTIF($A$2:$A$1201,A92)&gt;1,"DUPLICATE","Unique")</f>
        <v>Unique</v>
      </c>
      <c r="P92" s="2" t="str">
        <f aca="false">IF(L92="","MISSING","OK")</f>
        <v>OK</v>
      </c>
      <c r="Q92" s="2" t="str">
        <f aca="false">IF(ISNUMBER(B92),"OK","BAD DATE")</f>
        <v>OK</v>
      </c>
      <c r="R92" s="2" t="str">
        <f aca="false">IF(ROUND(F92,2)=F92,"OK","FIX")</f>
        <v>OK</v>
      </c>
    </row>
    <row r="93" customFormat="false" ht="15" hidden="false" customHeight="false" outlineLevel="0" collapsed="false">
      <c r="A93" s="2" t="s">
        <v>401</v>
      </c>
      <c r="B93" s="3" t="n">
        <v>45000</v>
      </c>
      <c r="C93" s="2" t="s">
        <v>402</v>
      </c>
      <c r="D93" s="2" t="s">
        <v>62</v>
      </c>
      <c r="E93" s="2" t="n">
        <v>5</v>
      </c>
      <c r="F93" s="4" t="n">
        <v>492.75</v>
      </c>
      <c r="G93" s="2" t="s">
        <v>403</v>
      </c>
      <c r="H93" s="2" t="s">
        <v>69</v>
      </c>
      <c r="I93" s="2" t="s">
        <v>23</v>
      </c>
      <c r="J93" s="2" t="s">
        <v>404</v>
      </c>
      <c r="K93" s="2" t="n">
        <v>6</v>
      </c>
      <c r="L93" s="2" t="s">
        <v>85</v>
      </c>
      <c r="M93" s="2" t="s">
        <v>33</v>
      </c>
      <c r="N93" s="4" t="n">
        <v>2463.75</v>
      </c>
      <c r="O93" s="2" t="str">
        <f aca="false">IF(COUNTIF($A$2:$A$1201,A93)&gt;1,"DUPLICATE","Unique")</f>
        <v>Unique</v>
      </c>
      <c r="P93" s="2" t="str">
        <f aca="false">IF(L93="","MISSING","OK")</f>
        <v>OK</v>
      </c>
      <c r="Q93" s="2" t="str">
        <f aca="false">IF(ISNUMBER(B93),"OK","BAD DATE")</f>
        <v>OK</v>
      </c>
      <c r="R93" s="2" t="str">
        <f aca="false">IF(ROUND(F93,2)=F93,"OK","FIX")</f>
        <v>OK</v>
      </c>
    </row>
    <row r="94" customFormat="false" ht="15" hidden="false" customHeight="false" outlineLevel="0" collapsed="false">
      <c r="A94" s="2" t="s">
        <v>405</v>
      </c>
      <c r="B94" s="3" t="n">
        <v>45453</v>
      </c>
      <c r="C94" s="2" t="s">
        <v>406</v>
      </c>
      <c r="D94" s="2" t="s">
        <v>52</v>
      </c>
      <c r="E94" s="2" t="n">
        <v>4</v>
      </c>
      <c r="F94" s="4" t="n">
        <v>48.61</v>
      </c>
      <c r="G94" s="2" t="s">
        <v>407</v>
      </c>
      <c r="H94" s="2" t="s">
        <v>31</v>
      </c>
      <c r="I94" s="2" t="s">
        <v>23</v>
      </c>
      <c r="J94" s="2" t="s">
        <v>408</v>
      </c>
      <c r="K94" s="2" t="n">
        <v>7</v>
      </c>
      <c r="L94" s="2" t="s">
        <v>41</v>
      </c>
      <c r="M94" s="2" t="s">
        <v>49</v>
      </c>
      <c r="N94" s="4" t="n">
        <v>194.44</v>
      </c>
      <c r="O94" s="2" t="str">
        <f aca="false">IF(COUNTIF($A$2:$A$1201,A94)&gt;1,"DUPLICATE","Unique")</f>
        <v>Unique</v>
      </c>
      <c r="P94" s="2" t="str">
        <f aca="false">IF(L94="","MISSING","OK")</f>
        <v>OK</v>
      </c>
      <c r="Q94" s="2" t="str">
        <f aca="false">IF(ISNUMBER(B94),"OK","BAD DATE")</f>
        <v>OK</v>
      </c>
      <c r="R94" s="2" t="str">
        <f aca="false">IF(ROUND(F94,2)=F94,"OK","FIX")</f>
        <v>OK</v>
      </c>
    </row>
    <row r="95" customFormat="false" ht="15" hidden="false" customHeight="false" outlineLevel="0" collapsed="false">
      <c r="A95" s="2" t="s">
        <v>409</v>
      </c>
      <c r="B95" s="3" t="n">
        <v>44940</v>
      </c>
      <c r="C95" s="2" t="s">
        <v>410</v>
      </c>
      <c r="D95" s="2" t="s">
        <v>77</v>
      </c>
      <c r="E95" s="2" t="n">
        <v>4</v>
      </c>
      <c r="F95" s="4" t="n">
        <v>431.01</v>
      </c>
      <c r="G95" s="2" t="s">
        <v>411</v>
      </c>
      <c r="H95" s="2" t="s">
        <v>38</v>
      </c>
      <c r="I95" s="2" t="s">
        <v>47</v>
      </c>
      <c r="J95" s="2" t="s">
        <v>412</v>
      </c>
      <c r="K95" s="2" t="n">
        <v>7</v>
      </c>
      <c r="L95" s="2"/>
      <c r="M95" s="2" t="s">
        <v>33</v>
      </c>
      <c r="N95" s="4" t="n">
        <v>1724.04</v>
      </c>
      <c r="O95" s="2" t="str">
        <f aca="false">IF(COUNTIF($A$2:$A$1201,A95)&gt;1,"DUPLICATE","Unique")</f>
        <v>Unique</v>
      </c>
      <c r="P95" s="2" t="str">
        <f aca="false">IF(L95="","MISSING","OK")</f>
        <v>MISSING</v>
      </c>
      <c r="Q95" s="2" t="str">
        <f aca="false">IF(ISNUMBER(B95),"OK","BAD DATE")</f>
        <v>OK</v>
      </c>
      <c r="R95" s="2" t="str">
        <f aca="false">IF(ROUND(F95,2)=F95,"OK","FIX")</f>
        <v>OK</v>
      </c>
    </row>
    <row r="96" customFormat="false" ht="15" hidden="false" customHeight="false" outlineLevel="0" collapsed="false">
      <c r="A96" s="2" t="s">
        <v>413</v>
      </c>
      <c r="B96" s="3" t="n">
        <v>44968</v>
      </c>
      <c r="C96" s="2" t="s">
        <v>414</v>
      </c>
      <c r="D96" s="2" t="s">
        <v>45</v>
      </c>
      <c r="E96" s="2" t="n">
        <v>1</v>
      </c>
      <c r="F96" s="4" t="n">
        <v>531.18</v>
      </c>
      <c r="G96" s="2" t="s">
        <v>415</v>
      </c>
      <c r="H96" s="2" t="s">
        <v>64</v>
      </c>
      <c r="I96" s="2" t="s">
        <v>47</v>
      </c>
      <c r="J96" s="2" t="s">
        <v>416</v>
      </c>
      <c r="K96" s="2" t="n">
        <v>6</v>
      </c>
      <c r="L96" s="2" t="s">
        <v>85</v>
      </c>
      <c r="M96" s="2" t="s">
        <v>26</v>
      </c>
      <c r="N96" s="4" t="n">
        <v>531.18</v>
      </c>
      <c r="O96" s="2" t="str">
        <f aca="false">IF(COUNTIF($A$2:$A$1201,A96)&gt;1,"DUPLICATE","Unique")</f>
        <v>Unique</v>
      </c>
      <c r="P96" s="2" t="str">
        <f aca="false">IF(L96="","MISSING","OK")</f>
        <v>OK</v>
      </c>
      <c r="Q96" s="2" t="str">
        <f aca="false">IF(ISNUMBER(B96),"OK","BAD DATE")</f>
        <v>OK</v>
      </c>
      <c r="R96" s="2" t="str">
        <f aca="false">IF(ROUND(F96,2)=F96,"OK","FIX")</f>
        <v>OK</v>
      </c>
    </row>
    <row r="97" customFormat="false" ht="15" hidden="false" customHeight="false" outlineLevel="0" collapsed="false">
      <c r="A97" s="2" t="s">
        <v>417</v>
      </c>
      <c r="B97" s="3" t="n">
        <v>45009</v>
      </c>
      <c r="C97" s="2" t="s">
        <v>418</v>
      </c>
      <c r="D97" s="2" t="s">
        <v>52</v>
      </c>
      <c r="E97" s="2" t="n">
        <v>4</v>
      </c>
      <c r="F97" s="4" t="n">
        <v>117.51</v>
      </c>
      <c r="G97" s="2" t="s">
        <v>419</v>
      </c>
      <c r="H97" s="2" t="s">
        <v>22</v>
      </c>
      <c r="I97" s="2" t="s">
        <v>47</v>
      </c>
      <c r="J97" s="2" t="s">
        <v>420</v>
      </c>
      <c r="K97" s="2" t="n">
        <v>7</v>
      </c>
      <c r="L97" s="2"/>
      <c r="M97" s="2" t="s">
        <v>33</v>
      </c>
      <c r="N97" s="4" t="n">
        <v>470.04</v>
      </c>
      <c r="O97" s="2" t="str">
        <f aca="false">IF(COUNTIF($A$2:$A$1201,A97)&gt;1,"DUPLICATE","Unique")</f>
        <v>Unique</v>
      </c>
      <c r="P97" s="2" t="str">
        <f aca="false">IF(L97="","MISSING","OK")</f>
        <v>MISSING</v>
      </c>
      <c r="Q97" s="2" t="str">
        <f aca="false">IF(ISNUMBER(B97),"OK","BAD DATE")</f>
        <v>OK</v>
      </c>
      <c r="R97" s="2" t="str">
        <f aca="false">IF(ROUND(F97,2)=F97,"OK","FIX")</f>
        <v>OK</v>
      </c>
    </row>
    <row r="98" customFormat="false" ht="15" hidden="false" customHeight="false" outlineLevel="0" collapsed="false">
      <c r="A98" s="2" t="s">
        <v>421</v>
      </c>
      <c r="B98" s="3" t="n">
        <v>45444</v>
      </c>
      <c r="C98" s="2" t="s">
        <v>422</v>
      </c>
      <c r="D98" s="2" t="s">
        <v>29</v>
      </c>
      <c r="E98" s="2" t="n">
        <v>2</v>
      </c>
      <c r="F98" s="4" t="n">
        <v>232.83</v>
      </c>
      <c r="G98" s="2" t="s">
        <v>355</v>
      </c>
      <c r="H98" s="2" t="s">
        <v>64</v>
      </c>
      <c r="I98" s="2" t="s">
        <v>54</v>
      </c>
      <c r="J98" s="2" t="s">
        <v>423</v>
      </c>
      <c r="K98" s="2" t="n">
        <v>7</v>
      </c>
      <c r="L98" s="2"/>
      <c r="M98" s="2" t="s">
        <v>26</v>
      </c>
      <c r="N98" s="4" t="n">
        <v>465.66</v>
      </c>
      <c r="O98" s="2" t="str">
        <f aca="false">IF(COUNTIF($A$2:$A$1201,A98)&gt;1,"DUPLICATE","Unique")</f>
        <v>Unique</v>
      </c>
      <c r="P98" s="2" t="str">
        <f aca="false">IF(L98="","MISSING","OK")</f>
        <v>MISSING</v>
      </c>
      <c r="Q98" s="2" t="str">
        <f aca="false">IF(ISNUMBER(B98),"OK","BAD DATE")</f>
        <v>OK</v>
      </c>
      <c r="R98" s="2" t="str">
        <f aca="false">IF(ROUND(F98,2)=F98,"OK","FIX")</f>
        <v>OK</v>
      </c>
    </row>
    <row r="99" customFormat="false" ht="15" hidden="false" customHeight="false" outlineLevel="0" collapsed="false">
      <c r="A99" s="2" t="s">
        <v>424</v>
      </c>
      <c r="B99" s="3" t="n">
        <v>45678</v>
      </c>
      <c r="C99" s="2" t="s">
        <v>425</v>
      </c>
      <c r="D99" s="2" t="s">
        <v>36</v>
      </c>
      <c r="E99" s="2" t="n">
        <v>5</v>
      </c>
      <c r="F99" s="4" t="n">
        <v>619.52</v>
      </c>
      <c r="G99" s="2" t="s">
        <v>426</v>
      </c>
      <c r="H99" s="2" t="s">
        <v>22</v>
      </c>
      <c r="I99" s="2" t="s">
        <v>93</v>
      </c>
      <c r="J99" s="2" t="s">
        <v>427</v>
      </c>
      <c r="K99" s="2" t="n">
        <v>9</v>
      </c>
      <c r="L99" s="2"/>
      <c r="M99" s="2" t="s">
        <v>42</v>
      </c>
      <c r="N99" s="4" t="n">
        <v>3097.6</v>
      </c>
      <c r="O99" s="2" t="str">
        <f aca="false">IF(COUNTIF($A$2:$A$1201,A99)&gt;1,"DUPLICATE","Unique")</f>
        <v>Unique</v>
      </c>
      <c r="P99" s="2" t="str">
        <f aca="false">IF(L99="","MISSING","OK")</f>
        <v>MISSING</v>
      </c>
      <c r="Q99" s="2" t="str">
        <f aca="false">IF(ISNUMBER(B99),"OK","BAD DATE")</f>
        <v>OK</v>
      </c>
      <c r="R99" s="2" t="str">
        <f aca="false">IF(ROUND(F99,2)=F99,"OK","FIX")</f>
        <v>OK</v>
      </c>
    </row>
    <row r="100" customFormat="false" ht="15" hidden="false" customHeight="false" outlineLevel="0" collapsed="false">
      <c r="A100" s="2" t="s">
        <v>428</v>
      </c>
      <c r="B100" s="3" t="n">
        <v>44940</v>
      </c>
      <c r="C100" s="2" t="s">
        <v>429</v>
      </c>
      <c r="D100" s="2" t="s">
        <v>52</v>
      </c>
      <c r="E100" s="2" t="n">
        <v>2</v>
      </c>
      <c r="F100" s="4" t="n">
        <v>228.54</v>
      </c>
      <c r="G100" s="2" t="s">
        <v>430</v>
      </c>
      <c r="H100" s="2" t="s">
        <v>22</v>
      </c>
      <c r="I100" s="2" t="s">
        <v>93</v>
      </c>
      <c r="J100" s="2" t="s">
        <v>431</v>
      </c>
      <c r="K100" s="2" t="n">
        <v>3</v>
      </c>
      <c r="L100" s="2"/>
      <c r="M100" s="2" t="s">
        <v>42</v>
      </c>
      <c r="N100" s="4" t="n">
        <v>457.08</v>
      </c>
      <c r="O100" s="2" t="str">
        <f aca="false">IF(COUNTIF($A$2:$A$1201,A100)&gt;1,"DUPLICATE","Unique")</f>
        <v>Unique</v>
      </c>
      <c r="P100" s="2" t="str">
        <f aca="false">IF(L100="","MISSING","OK")</f>
        <v>MISSING</v>
      </c>
      <c r="Q100" s="2" t="str">
        <f aca="false">IF(ISNUMBER(B100),"OK","BAD DATE")</f>
        <v>OK</v>
      </c>
      <c r="R100" s="2" t="str">
        <f aca="false">IF(ROUND(F100,2)=F100,"OK","FIX")</f>
        <v>OK</v>
      </c>
    </row>
    <row r="101" customFormat="false" ht="15" hidden="false" customHeight="false" outlineLevel="0" collapsed="false">
      <c r="A101" s="2" t="s">
        <v>432</v>
      </c>
      <c r="B101" s="3" t="n">
        <v>45759</v>
      </c>
      <c r="C101" s="2" t="s">
        <v>433</v>
      </c>
      <c r="D101" s="2" t="s">
        <v>52</v>
      </c>
      <c r="E101" s="2" t="n">
        <v>1</v>
      </c>
      <c r="F101" s="4" t="n">
        <v>201.58</v>
      </c>
      <c r="G101" s="2" t="s">
        <v>434</v>
      </c>
      <c r="H101" s="2" t="s">
        <v>22</v>
      </c>
      <c r="I101" s="2" t="s">
        <v>39</v>
      </c>
      <c r="J101" s="2" t="s">
        <v>435</v>
      </c>
      <c r="K101" s="2" t="n">
        <v>2</v>
      </c>
      <c r="L101" s="2" t="s">
        <v>85</v>
      </c>
      <c r="M101" s="2" t="s">
        <v>42</v>
      </c>
      <c r="N101" s="4" t="n">
        <v>201.58</v>
      </c>
      <c r="O101" s="2" t="str">
        <f aca="false">IF(COUNTIF($A$2:$A$1201,A101)&gt;1,"DUPLICATE","Unique")</f>
        <v>Unique</v>
      </c>
      <c r="P101" s="2" t="str">
        <f aca="false">IF(L101="","MISSING","OK")</f>
        <v>OK</v>
      </c>
      <c r="Q101" s="2" t="str">
        <f aca="false">IF(ISNUMBER(B101),"OK","BAD DATE")</f>
        <v>OK</v>
      </c>
      <c r="R101" s="2" t="str">
        <f aca="false">IF(ROUND(F101,2)=F101,"OK","FIX")</f>
        <v>OK</v>
      </c>
    </row>
    <row r="102" customFormat="false" ht="15" hidden="false" customHeight="false" outlineLevel="0" collapsed="false">
      <c r="A102" s="2" t="s">
        <v>436</v>
      </c>
      <c r="B102" s="3" t="n">
        <v>44974</v>
      </c>
      <c r="C102" s="2" t="s">
        <v>437</v>
      </c>
      <c r="D102" s="2" t="s">
        <v>29</v>
      </c>
      <c r="E102" s="2" t="n">
        <v>3</v>
      </c>
      <c r="F102" s="4" t="n">
        <v>664.79</v>
      </c>
      <c r="G102" s="2" t="s">
        <v>438</v>
      </c>
      <c r="H102" s="2" t="s">
        <v>31</v>
      </c>
      <c r="I102" s="2" t="s">
        <v>54</v>
      </c>
      <c r="J102" s="2" t="s">
        <v>439</v>
      </c>
      <c r="K102" s="2" t="n">
        <v>6</v>
      </c>
      <c r="L102" s="2"/>
      <c r="M102" s="2" t="s">
        <v>49</v>
      </c>
      <c r="N102" s="4" t="n">
        <v>1994.37</v>
      </c>
      <c r="O102" s="2" t="str">
        <f aca="false">IF(COUNTIF($A$2:$A$1201,A102)&gt;1,"DUPLICATE","Unique")</f>
        <v>Unique</v>
      </c>
      <c r="P102" s="2" t="str">
        <f aca="false">IF(L102="","MISSING","OK")</f>
        <v>MISSING</v>
      </c>
      <c r="Q102" s="2" t="str">
        <f aca="false">IF(ISNUMBER(B102),"OK","BAD DATE")</f>
        <v>OK</v>
      </c>
      <c r="R102" s="2" t="str">
        <f aca="false">IF(ROUND(F102,2)=F102,"OK","FIX")</f>
        <v>OK</v>
      </c>
    </row>
    <row r="103" customFormat="false" ht="15" hidden="false" customHeight="false" outlineLevel="0" collapsed="false">
      <c r="A103" s="2" t="s">
        <v>440</v>
      </c>
      <c r="B103" s="3" t="n">
        <v>45255</v>
      </c>
      <c r="C103" s="2" t="s">
        <v>441</v>
      </c>
      <c r="D103" s="2" t="s">
        <v>52</v>
      </c>
      <c r="E103" s="2" t="n">
        <v>1</v>
      </c>
      <c r="F103" s="4" t="n">
        <v>381.02</v>
      </c>
      <c r="G103" s="2" t="s">
        <v>442</v>
      </c>
      <c r="H103" s="2" t="s">
        <v>69</v>
      </c>
      <c r="I103" s="2" t="s">
        <v>23</v>
      </c>
      <c r="J103" s="2" t="s">
        <v>443</v>
      </c>
      <c r="K103" s="2" t="n">
        <v>6</v>
      </c>
      <c r="L103" s="2"/>
      <c r="M103" s="2" t="s">
        <v>80</v>
      </c>
      <c r="N103" s="4" t="n">
        <v>381.02</v>
      </c>
      <c r="O103" s="2" t="str">
        <f aca="false">IF(COUNTIF($A$2:$A$1201,A103)&gt;1,"DUPLICATE","Unique")</f>
        <v>Unique</v>
      </c>
      <c r="P103" s="2" t="str">
        <f aca="false">IF(L103="","MISSING","OK")</f>
        <v>MISSING</v>
      </c>
      <c r="Q103" s="2" t="str">
        <f aca="false">IF(ISNUMBER(B103),"OK","BAD DATE")</f>
        <v>OK</v>
      </c>
      <c r="R103" s="2" t="str">
        <f aca="false">IF(ROUND(F103,2)=F103,"OK","FIX")</f>
        <v>OK</v>
      </c>
    </row>
    <row r="104" customFormat="false" ht="15" hidden="false" customHeight="false" outlineLevel="0" collapsed="false">
      <c r="A104" s="2" t="s">
        <v>444</v>
      </c>
      <c r="B104" s="3" t="n">
        <v>44993</v>
      </c>
      <c r="C104" s="2" t="s">
        <v>445</v>
      </c>
      <c r="D104" s="2" t="s">
        <v>62</v>
      </c>
      <c r="E104" s="2" t="n">
        <v>2</v>
      </c>
      <c r="F104" s="4" t="n">
        <v>70.34</v>
      </c>
      <c r="G104" s="2" t="s">
        <v>446</v>
      </c>
      <c r="H104" s="2" t="s">
        <v>64</v>
      </c>
      <c r="I104" s="2" t="s">
        <v>39</v>
      </c>
      <c r="J104" s="2" t="s">
        <v>447</v>
      </c>
      <c r="K104" s="2" t="n">
        <v>3</v>
      </c>
      <c r="L104" s="2" t="s">
        <v>41</v>
      </c>
      <c r="M104" s="2" t="s">
        <v>42</v>
      </c>
      <c r="N104" s="4" t="n">
        <v>140.68</v>
      </c>
      <c r="O104" s="2" t="str">
        <f aca="false">IF(COUNTIF($A$2:$A$1201,A104)&gt;1,"DUPLICATE","Unique")</f>
        <v>Unique</v>
      </c>
      <c r="P104" s="2" t="str">
        <f aca="false">IF(L104="","MISSING","OK")</f>
        <v>OK</v>
      </c>
      <c r="Q104" s="2" t="str">
        <f aca="false">IF(ISNUMBER(B104),"OK","BAD DATE")</f>
        <v>OK</v>
      </c>
      <c r="R104" s="2" t="str">
        <f aca="false">IF(ROUND(F104,2)=F104,"OK","FIX")</f>
        <v>OK</v>
      </c>
    </row>
    <row r="105" customFormat="false" ht="15" hidden="false" customHeight="false" outlineLevel="0" collapsed="false">
      <c r="A105" s="2" t="s">
        <v>448</v>
      </c>
      <c r="B105" s="3" t="n">
        <v>45682</v>
      </c>
      <c r="C105" s="2" t="s">
        <v>449</v>
      </c>
      <c r="D105" s="2" t="s">
        <v>29</v>
      </c>
      <c r="E105" s="2" t="n">
        <v>4</v>
      </c>
      <c r="F105" s="4" t="n">
        <v>218.43</v>
      </c>
      <c r="G105" s="2" t="s">
        <v>450</v>
      </c>
      <c r="H105" s="2" t="s">
        <v>38</v>
      </c>
      <c r="I105" s="2" t="s">
        <v>39</v>
      </c>
      <c r="J105" s="2" t="s">
        <v>451</v>
      </c>
      <c r="K105" s="2" t="n">
        <v>9</v>
      </c>
      <c r="L105" s="2" t="s">
        <v>25</v>
      </c>
      <c r="M105" s="2" t="s">
        <v>42</v>
      </c>
      <c r="N105" s="4" t="n">
        <v>873.72</v>
      </c>
      <c r="O105" s="2" t="str">
        <f aca="false">IF(COUNTIF($A$2:$A$1201,A105)&gt;1,"DUPLICATE","Unique")</f>
        <v>Unique</v>
      </c>
      <c r="P105" s="2" t="str">
        <f aca="false">IF(L105="","MISSING","OK")</f>
        <v>OK</v>
      </c>
      <c r="Q105" s="2" t="str">
        <f aca="false">IF(ISNUMBER(B105),"OK","BAD DATE")</f>
        <v>OK</v>
      </c>
      <c r="R105" s="2" t="str">
        <f aca="false">IF(ROUND(F105,2)=F105,"OK","FIX")</f>
        <v>OK</v>
      </c>
    </row>
    <row r="106" customFormat="false" ht="15" hidden="false" customHeight="false" outlineLevel="0" collapsed="false">
      <c r="A106" s="2" t="s">
        <v>452</v>
      </c>
      <c r="B106" s="3" t="n">
        <v>45503</v>
      </c>
      <c r="C106" s="2" t="s">
        <v>453</v>
      </c>
      <c r="D106" s="2" t="s">
        <v>29</v>
      </c>
      <c r="E106" s="2" t="n">
        <v>1</v>
      </c>
      <c r="F106" s="4" t="n">
        <v>582.04</v>
      </c>
      <c r="G106" s="2" t="s">
        <v>454</v>
      </c>
      <c r="H106" s="2" t="s">
        <v>64</v>
      </c>
      <c r="I106" s="2" t="s">
        <v>54</v>
      </c>
      <c r="J106" s="2" t="s">
        <v>455</v>
      </c>
      <c r="K106" s="2" t="n">
        <v>1</v>
      </c>
      <c r="L106" s="2" t="s">
        <v>41</v>
      </c>
      <c r="M106" s="2" t="s">
        <v>42</v>
      </c>
      <c r="N106" s="4" t="n">
        <v>582.04</v>
      </c>
      <c r="O106" s="2" t="str">
        <f aca="false">IF(COUNTIF($A$2:$A$1201,A106)&gt;1,"DUPLICATE","Unique")</f>
        <v>Unique</v>
      </c>
      <c r="P106" s="2" t="str">
        <f aca="false">IF(L106="","MISSING","OK")</f>
        <v>OK</v>
      </c>
      <c r="Q106" s="2" t="str">
        <f aca="false">IF(ISNUMBER(B106),"OK","BAD DATE")</f>
        <v>OK</v>
      </c>
      <c r="R106" s="2" t="str">
        <f aca="false">IF(ROUND(F106,2)=F106,"OK","FIX")</f>
        <v>OK</v>
      </c>
    </row>
    <row r="107" customFormat="false" ht="15" hidden="false" customHeight="false" outlineLevel="0" collapsed="false">
      <c r="A107" s="2" t="s">
        <v>456</v>
      </c>
      <c r="B107" s="3" t="n">
        <v>45589</v>
      </c>
      <c r="C107" s="2" t="s">
        <v>457</v>
      </c>
      <c r="D107" s="2" t="s">
        <v>52</v>
      </c>
      <c r="E107" s="2" t="n">
        <v>3</v>
      </c>
      <c r="F107" s="4" t="n">
        <v>185.4</v>
      </c>
      <c r="G107" s="2" t="s">
        <v>458</v>
      </c>
      <c r="H107" s="2" t="s">
        <v>64</v>
      </c>
      <c r="I107" s="2" t="s">
        <v>39</v>
      </c>
      <c r="J107" s="2" t="s">
        <v>459</v>
      </c>
      <c r="K107" s="2" t="n">
        <v>7</v>
      </c>
      <c r="L107" s="2"/>
      <c r="M107" s="2" t="s">
        <v>49</v>
      </c>
      <c r="N107" s="4" t="n">
        <v>556.2</v>
      </c>
      <c r="O107" s="2" t="str">
        <f aca="false">IF(COUNTIF($A$2:$A$1201,A107)&gt;1,"DUPLICATE","Unique")</f>
        <v>Unique</v>
      </c>
      <c r="P107" s="2" t="str">
        <f aca="false">IF(L107="","MISSING","OK")</f>
        <v>MISSING</v>
      </c>
      <c r="Q107" s="2" t="str">
        <f aca="false">IF(ISNUMBER(B107),"OK","BAD DATE")</f>
        <v>OK</v>
      </c>
      <c r="R107" s="2" t="str">
        <f aca="false">IF(ROUND(F107,2)=F107,"OK","FIX")</f>
        <v>OK</v>
      </c>
    </row>
    <row r="108" customFormat="false" ht="15" hidden="false" customHeight="false" outlineLevel="0" collapsed="false">
      <c r="A108" s="2" t="s">
        <v>460</v>
      </c>
      <c r="B108" s="3" t="n">
        <v>45177</v>
      </c>
      <c r="C108" s="2" t="s">
        <v>461</v>
      </c>
      <c r="D108" s="2" t="s">
        <v>77</v>
      </c>
      <c r="E108" s="2" t="n">
        <v>3</v>
      </c>
      <c r="F108" s="4" t="n">
        <v>465.05</v>
      </c>
      <c r="G108" s="2" t="s">
        <v>462</v>
      </c>
      <c r="H108" s="2" t="s">
        <v>38</v>
      </c>
      <c r="I108" s="2" t="s">
        <v>39</v>
      </c>
      <c r="J108" s="2" t="s">
        <v>463</v>
      </c>
      <c r="K108" s="2" t="n">
        <v>3</v>
      </c>
      <c r="L108" s="2" t="s">
        <v>25</v>
      </c>
      <c r="M108" s="2" t="s">
        <v>42</v>
      </c>
      <c r="N108" s="4" t="n">
        <v>1395.15</v>
      </c>
      <c r="O108" s="2" t="str">
        <f aca="false">IF(COUNTIF($A$2:$A$1201,A108)&gt;1,"DUPLICATE","Unique")</f>
        <v>Unique</v>
      </c>
      <c r="P108" s="2" t="str">
        <f aca="false">IF(L108="","MISSING","OK")</f>
        <v>OK</v>
      </c>
      <c r="Q108" s="2" t="str">
        <f aca="false">IF(ISNUMBER(B108),"OK","BAD DATE")</f>
        <v>OK</v>
      </c>
      <c r="R108" s="2" t="str">
        <f aca="false">IF(ROUND(F108,2)=F108,"OK","FIX")</f>
        <v>OK</v>
      </c>
    </row>
    <row r="109" customFormat="false" ht="15" hidden="false" customHeight="false" outlineLevel="0" collapsed="false">
      <c r="A109" s="2" t="s">
        <v>464</v>
      </c>
      <c r="B109" s="3" t="n">
        <v>45012</v>
      </c>
      <c r="C109" s="2" t="s">
        <v>465</v>
      </c>
      <c r="D109" s="2" t="s">
        <v>52</v>
      </c>
      <c r="E109" s="2" t="n">
        <v>5</v>
      </c>
      <c r="F109" s="4" t="n">
        <v>670.75</v>
      </c>
      <c r="G109" s="2" t="s">
        <v>466</v>
      </c>
      <c r="H109" s="2" t="s">
        <v>64</v>
      </c>
      <c r="I109" s="2" t="s">
        <v>23</v>
      </c>
      <c r="J109" s="2" t="s">
        <v>467</v>
      </c>
      <c r="K109" s="2" t="n">
        <v>8</v>
      </c>
      <c r="L109" s="2" t="s">
        <v>41</v>
      </c>
      <c r="M109" s="2" t="s">
        <v>26</v>
      </c>
      <c r="N109" s="4" t="n">
        <v>3353.75</v>
      </c>
      <c r="O109" s="2" t="str">
        <f aca="false">IF(COUNTIF($A$2:$A$1201,A109)&gt;1,"DUPLICATE","Unique")</f>
        <v>Unique</v>
      </c>
      <c r="P109" s="2" t="str">
        <f aca="false">IF(L109="","MISSING","OK")</f>
        <v>OK</v>
      </c>
      <c r="Q109" s="2" t="str">
        <f aca="false">IF(ISNUMBER(B109),"OK","BAD DATE")</f>
        <v>OK</v>
      </c>
      <c r="R109" s="2" t="str">
        <f aca="false">IF(ROUND(F109,2)=F109,"OK","FIX")</f>
        <v>OK</v>
      </c>
    </row>
    <row r="110" customFormat="false" ht="15" hidden="false" customHeight="false" outlineLevel="0" collapsed="false">
      <c r="A110" s="2" t="s">
        <v>468</v>
      </c>
      <c r="B110" s="3" t="n">
        <v>45654</v>
      </c>
      <c r="C110" s="2" t="s">
        <v>469</v>
      </c>
      <c r="D110" s="2" t="s">
        <v>62</v>
      </c>
      <c r="E110" s="2" t="n">
        <v>5</v>
      </c>
      <c r="F110" s="4" t="n">
        <v>48.38</v>
      </c>
      <c r="G110" s="2" t="s">
        <v>470</v>
      </c>
      <c r="H110" s="2" t="s">
        <v>64</v>
      </c>
      <c r="I110" s="2" t="s">
        <v>54</v>
      </c>
      <c r="J110" s="2" t="s">
        <v>471</v>
      </c>
      <c r="K110" s="2" t="n">
        <v>9</v>
      </c>
      <c r="L110" s="2" t="s">
        <v>85</v>
      </c>
      <c r="M110" s="2" t="s">
        <v>42</v>
      </c>
      <c r="N110" s="4" t="n">
        <v>241.9</v>
      </c>
      <c r="O110" s="2" t="str">
        <f aca="false">IF(COUNTIF($A$2:$A$1201,A110)&gt;1,"DUPLICATE","Unique")</f>
        <v>Unique</v>
      </c>
      <c r="P110" s="2" t="str">
        <f aca="false">IF(L110="","MISSING","OK")</f>
        <v>OK</v>
      </c>
      <c r="Q110" s="2" t="str">
        <f aca="false">IF(ISNUMBER(B110),"OK","BAD DATE")</f>
        <v>OK</v>
      </c>
      <c r="R110" s="2" t="str">
        <f aca="false">IF(ROUND(F110,2)=F110,"OK","FIX")</f>
        <v>OK</v>
      </c>
    </row>
    <row r="111" customFormat="false" ht="15" hidden="false" customHeight="false" outlineLevel="0" collapsed="false">
      <c r="A111" s="2" t="s">
        <v>472</v>
      </c>
      <c r="B111" s="3" t="n">
        <v>45186</v>
      </c>
      <c r="C111" s="2" t="s">
        <v>473</v>
      </c>
      <c r="D111" s="2" t="s">
        <v>77</v>
      </c>
      <c r="E111" s="2" t="n">
        <v>3</v>
      </c>
      <c r="F111" s="4" t="n">
        <v>592.87</v>
      </c>
      <c r="G111" s="2" t="s">
        <v>474</v>
      </c>
      <c r="H111" s="2" t="s">
        <v>64</v>
      </c>
      <c r="I111" s="2" t="s">
        <v>23</v>
      </c>
      <c r="J111" s="2" t="s">
        <v>475</v>
      </c>
      <c r="K111" s="2" t="n">
        <v>3</v>
      </c>
      <c r="L111" s="2" t="s">
        <v>41</v>
      </c>
      <c r="M111" s="2" t="s">
        <v>33</v>
      </c>
      <c r="N111" s="4" t="n">
        <v>1778.61</v>
      </c>
      <c r="O111" s="2" t="str">
        <f aca="false">IF(COUNTIF($A$2:$A$1201,A111)&gt;1,"DUPLICATE","Unique")</f>
        <v>Unique</v>
      </c>
      <c r="P111" s="2" t="str">
        <f aca="false">IF(L111="","MISSING","OK")</f>
        <v>OK</v>
      </c>
      <c r="Q111" s="2" t="str">
        <f aca="false">IF(ISNUMBER(B111),"OK","BAD DATE")</f>
        <v>OK</v>
      </c>
      <c r="R111" s="2" t="str">
        <f aca="false">IF(ROUND(F111,2)=F111,"OK","FIX")</f>
        <v>OK</v>
      </c>
    </row>
    <row r="112" customFormat="false" ht="15" hidden="false" customHeight="false" outlineLevel="0" collapsed="false">
      <c r="A112" s="2" t="s">
        <v>476</v>
      </c>
      <c r="B112" s="3" t="n">
        <v>45403</v>
      </c>
      <c r="C112" s="2" t="s">
        <v>477</v>
      </c>
      <c r="D112" s="2" t="s">
        <v>36</v>
      </c>
      <c r="E112" s="2" t="n">
        <v>1</v>
      </c>
      <c r="F112" s="4" t="n">
        <v>220.77</v>
      </c>
      <c r="G112" s="2" t="s">
        <v>478</v>
      </c>
      <c r="H112" s="2" t="s">
        <v>64</v>
      </c>
      <c r="I112" s="2" t="s">
        <v>93</v>
      </c>
      <c r="J112" s="2" t="s">
        <v>479</v>
      </c>
      <c r="K112" s="2" t="n">
        <v>5</v>
      </c>
      <c r="L112" s="2" t="s">
        <v>41</v>
      </c>
      <c r="M112" s="2" t="s">
        <v>26</v>
      </c>
      <c r="N112" s="4" t="n">
        <v>220.77</v>
      </c>
      <c r="O112" s="2" t="str">
        <f aca="false">IF(COUNTIF($A$2:$A$1201,A112)&gt;1,"DUPLICATE","Unique")</f>
        <v>Unique</v>
      </c>
      <c r="P112" s="2" t="str">
        <f aca="false">IF(L112="","MISSING","OK")</f>
        <v>OK</v>
      </c>
      <c r="Q112" s="2" t="str">
        <f aca="false">IF(ISNUMBER(B112),"OK","BAD DATE")</f>
        <v>OK</v>
      </c>
      <c r="R112" s="2" t="str">
        <f aca="false">IF(ROUND(F112,2)=F112,"OK","FIX")</f>
        <v>OK</v>
      </c>
    </row>
    <row r="113" customFormat="false" ht="15" hidden="false" customHeight="false" outlineLevel="0" collapsed="false">
      <c r="A113" s="2" t="s">
        <v>480</v>
      </c>
      <c r="B113" s="3" t="n">
        <v>45784</v>
      </c>
      <c r="C113" s="2" t="s">
        <v>481</v>
      </c>
      <c r="D113" s="2" t="s">
        <v>77</v>
      </c>
      <c r="E113" s="2" t="n">
        <v>3</v>
      </c>
      <c r="F113" s="4" t="n">
        <v>309.22</v>
      </c>
      <c r="G113" s="2" t="s">
        <v>482</v>
      </c>
      <c r="H113" s="2" t="s">
        <v>31</v>
      </c>
      <c r="I113" s="2" t="s">
        <v>39</v>
      </c>
      <c r="J113" s="2" t="s">
        <v>483</v>
      </c>
      <c r="K113" s="2" t="n">
        <v>7</v>
      </c>
      <c r="L113" s="2" t="s">
        <v>41</v>
      </c>
      <c r="M113" s="2" t="s">
        <v>80</v>
      </c>
      <c r="N113" s="4" t="n">
        <v>927.66</v>
      </c>
      <c r="O113" s="2" t="str">
        <f aca="false">IF(COUNTIF($A$2:$A$1201,A113)&gt;1,"DUPLICATE","Unique")</f>
        <v>Unique</v>
      </c>
      <c r="P113" s="2" t="str">
        <f aca="false">IF(L113="","MISSING","OK")</f>
        <v>OK</v>
      </c>
      <c r="Q113" s="2" t="str">
        <f aca="false">IF(ISNUMBER(B113),"OK","BAD DATE")</f>
        <v>OK</v>
      </c>
      <c r="R113" s="2" t="str">
        <f aca="false">IF(ROUND(F113,2)=F113,"OK","FIX")</f>
        <v>OK</v>
      </c>
    </row>
    <row r="114" customFormat="false" ht="15" hidden="false" customHeight="false" outlineLevel="0" collapsed="false">
      <c r="A114" s="2" t="s">
        <v>484</v>
      </c>
      <c r="B114" s="3" t="n">
        <v>44927</v>
      </c>
      <c r="C114" s="2" t="s">
        <v>485</v>
      </c>
      <c r="D114" s="2" t="s">
        <v>20</v>
      </c>
      <c r="E114" s="2" t="n">
        <v>1</v>
      </c>
      <c r="F114" s="4" t="n">
        <v>410.6</v>
      </c>
      <c r="G114" s="2" t="s">
        <v>486</v>
      </c>
      <c r="H114" s="2" t="s">
        <v>31</v>
      </c>
      <c r="I114" s="2" t="s">
        <v>39</v>
      </c>
      <c r="J114" s="2" t="s">
        <v>487</v>
      </c>
      <c r="K114" s="2" t="n">
        <v>2</v>
      </c>
      <c r="L114" s="2" t="s">
        <v>85</v>
      </c>
      <c r="M114" s="2" t="s">
        <v>33</v>
      </c>
      <c r="N114" s="4" t="n">
        <v>410.6</v>
      </c>
      <c r="O114" s="2" t="str">
        <f aca="false">IF(COUNTIF($A$2:$A$1201,A114)&gt;1,"DUPLICATE","Unique")</f>
        <v>Unique</v>
      </c>
      <c r="P114" s="2" t="str">
        <f aca="false">IF(L114="","MISSING","OK")</f>
        <v>OK</v>
      </c>
      <c r="Q114" s="2" t="str">
        <f aca="false">IF(ISNUMBER(B114),"OK","BAD DATE")</f>
        <v>OK</v>
      </c>
      <c r="R114" s="2" t="str">
        <f aca="false">IF(ROUND(F114,2)=F114,"OK","FIX")</f>
        <v>OK</v>
      </c>
    </row>
    <row r="115" customFormat="false" ht="15" hidden="false" customHeight="false" outlineLevel="0" collapsed="false">
      <c r="A115" s="2" t="s">
        <v>488</v>
      </c>
      <c r="B115" s="3" t="n">
        <v>45308</v>
      </c>
      <c r="C115" s="2" t="s">
        <v>489</v>
      </c>
      <c r="D115" s="2" t="s">
        <v>62</v>
      </c>
      <c r="E115" s="2" t="n">
        <v>5</v>
      </c>
      <c r="F115" s="4" t="n">
        <v>190.08</v>
      </c>
      <c r="G115" s="2" t="s">
        <v>490</v>
      </c>
      <c r="H115" s="2" t="s">
        <v>69</v>
      </c>
      <c r="I115" s="2" t="s">
        <v>23</v>
      </c>
      <c r="J115" s="2" t="s">
        <v>491</v>
      </c>
      <c r="K115" s="2" t="n">
        <v>9</v>
      </c>
      <c r="L115" s="2" t="s">
        <v>41</v>
      </c>
      <c r="M115" s="2" t="s">
        <v>26</v>
      </c>
      <c r="N115" s="4" t="n">
        <v>950.4</v>
      </c>
      <c r="O115" s="2" t="str">
        <f aca="false">IF(COUNTIF($A$2:$A$1201,A115)&gt;1,"DUPLICATE","Unique")</f>
        <v>Unique</v>
      </c>
      <c r="P115" s="2" t="str">
        <f aca="false">IF(L115="","MISSING","OK")</f>
        <v>OK</v>
      </c>
      <c r="Q115" s="2" t="str">
        <f aca="false">IF(ISNUMBER(B115),"OK","BAD DATE")</f>
        <v>OK</v>
      </c>
      <c r="R115" s="2" t="str">
        <f aca="false">IF(ROUND(F115,2)=F115,"OK","FIX")</f>
        <v>OK</v>
      </c>
    </row>
    <row r="116" customFormat="false" ht="15" hidden="false" customHeight="false" outlineLevel="0" collapsed="false">
      <c r="A116" s="2" t="s">
        <v>492</v>
      </c>
      <c r="B116" s="3" t="n">
        <v>45684</v>
      </c>
      <c r="C116" s="2" t="s">
        <v>493</v>
      </c>
      <c r="D116" s="2" t="s">
        <v>20</v>
      </c>
      <c r="E116" s="2" t="n">
        <v>5</v>
      </c>
      <c r="F116" s="4" t="n">
        <v>498.48</v>
      </c>
      <c r="G116" s="2" t="s">
        <v>494</v>
      </c>
      <c r="H116" s="2" t="s">
        <v>31</v>
      </c>
      <c r="I116" s="2" t="s">
        <v>93</v>
      </c>
      <c r="J116" s="2" t="s">
        <v>495</v>
      </c>
      <c r="K116" s="2" t="n">
        <v>8</v>
      </c>
      <c r="L116" s="2" t="s">
        <v>25</v>
      </c>
      <c r="M116" s="2" t="s">
        <v>80</v>
      </c>
      <c r="N116" s="4" t="n">
        <v>2492.4</v>
      </c>
      <c r="O116" s="2" t="str">
        <f aca="false">IF(COUNTIF($A$2:$A$1201,A116)&gt;1,"DUPLICATE","Unique")</f>
        <v>Unique</v>
      </c>
      <c r="P116" s="2" t="str">
        <f aca="false">IF(L116="","MISSING","OK")</f>
        <v>OK</v>
      </c>
      <c r="Q116" s="2" t="str">
        <f aca="false">IF(ISNUMBER(B116),"OK","BAD DATE")</f>
        <v>OK</v>
      </c>
      <c r="R116" s="2" t="str">
        <f aca="false">IF(ROUND(F116,2)=F116,"OK","FIX")</f>
        <v>OK</v>
      </c>
    </row>
    <row r="117" customFormat="false" ht="15" hidden="false" customHeight="false" outlineLevel="0" collapsed="false">
      <c r="A117" s="2" t="s">
        <v>496</v>
      </c>
      <c r="B117" s="3" t="n">
        <v>45257</v>
      </c>
      <c r="C117" s="2" t="s">
        <v>497</v>
      </c>
      <c r="D117" s="2" t="s">
        <v>29</v>
      </c>
      <c r="E117" s="2" t="n">
        <v>5</v>
      </c>
      <c r="F117" s="4" t="n">
        <v>374.99</v>
      </c>
      <c r="G117" s="2" t="s">
        <v>498</v>
      </c>
      <c r="H117" s="2" t="s">
        <v>31</v>
      </c>
      <c r="I117" s="2" t="s">
        <v>23</v>
      </c>
      <c r="J117" s="2" t="s">
        <v>499</v>
      </c>
      <c r="K117" s="2" t="n">
        <v>9</v>
      </c>
      <c r="L117" s="2" t="s">
        <v>25</v>
      </c>
      <c r="M117" s="2" t="s">
        <v>49</v>
      </c>
      <c r="N117" s="4" t="n">
        <v>1874.95</v>
      </c>
      <c r="O117" s="2" t="str">
        <f aca="false">IF(COUNTIF($A$2:$A$1201,A117)&gt;1,"DUPLICATE","Unique")</f>
        <v>Unique</v>
      </c>
      <c r="P117" s="2" t="str">
        <f aca="false">IF(L117="","MISSING","OK")</f>
        <v>OK</v>
      </c>
      <c r="Q117" s="2" t="str">
        <f aca="false">IF(ISNUMBER(B117),"OK","BAD DATE")</f>
        <v>OK</v>
      </c>
      <c r="R117" s="2" t="str">
        <f aca="false">IF(ROUND(F117,2)=F117,"OK","FIX")</f>
        <v>OK</v>
      </c>
    </row>
    <row r="118" customFormat="false" ht="15" hidden="false" customHeight="false" outlineLevel="0" collapsed="false">
      <c r="A118" s="2" t="s">
        <v>500</v>
      </c>
      <c r="B118" s="3" t="n">
        <v>45004</v>
      </c>
      <c r="C118" s="2" t="s">
        <v>501</v>
      </c>
      <c r="D118" s="2" t="s">
        <v>52</v>
      </c>
      <c r="E118" s="2" t="n">
        <v>4</v>
      </c>
      <c r="F118" s="4" t="n">
        <v>291.35</v>
      </c>
      <c r="G118" s="2" t="s">
        <v>502</v>
      </c>
      <c r="H118" s="2" t="s">
        <v>38</v>
      </c>
      <c r="I118" s="2" t="s">
        <v>39</v>
      </c>
      <c r="J118" s="2" t="s">
        <v>503</v>
      </c>
      <c r="K118" s="2" t="n">
        <v>6</v>
      </c>
      <c r="L118" s="2" t="s">
        <v>85</v>
      </c>
      <c r="M118" s="2" t="s">
        <v>49</v>
      </c>
      <c r="N118" s="4" t="n">
        <v>1165.4</v>
      </c>
      <c r="O118" s="2" t="str">
        <f aca="false">IF(COUNTIF($A$2:$A$1201,A118)&gt;1,"DUPLICATE","Unique")</f>
        <v>Unique</v>
      </c>
      <c r="P118" s="2" t="str">
        <f aca="false">IF(L118="","MISSING","OK")</f>
        <v>OK</v>
      </c>
      <c r="Q118" s="2" t="str">
        <f aca="false">IF(ISNUMBER(B118),"OK","BAD DATE")</f>
        <v>OK</v>
      </c>
      <c r="R118" s="2" t="str">
        <f aca="false">IF(ROUND(F118,2)=F118,"OK","FIX")</f>
        <v>OK</v>
      </c>
    </row>
    <row r="119" customFormat="false" ht="15" hidden="false" customHeight="false" outlineLevel="0" collapsed="false">
      <c r="A119" s="2" t="s">
        <v>504</v>
      </c>
      <c r="B119" s="3" t="n">
        <v>44993</v>
      </c>
      <c r="C119" s="2" t="s">
        <v>505</v>
      </c>
      <c r="D119" s="2" t="s">
        <v>36</v>
      </c>
      <c r="E119" s="2" t="n">
        <v>1</v>
      </c>
      <c r="F119" s="4" t="n">
        <v>535.5</v>
      </c>
      <c r="G119" s="2" t="s">
        <v>506</v>
      </c>
      <c r="H119" s="2" t="s">
        <v>64</v>
      </c>
      <c r="I119" s="2" t="s">
        <v>39</v>
      </c>
      <c r="J119" s="2" t="s">
        <v>507</v>
      </c>
      <c r="K119" s="2" t="n">
        <v>5</v>
      </c>
      <c r="L119" s="2" t="s">
        <v>85</v>
      </c>
      <c r="M119" s="2" t="s">
        <v>33</v>
      </c>
      <c r="N119" s="4" t="n">
        <v>535.5</v>
      </c>
      <c r="O119" s="2" t="str">
        <f aca="false">IF(COUNTIF($A$2:$A$1201,A119)&gt;1,"DUPLICATE","Unique")</f>
        <v>Unique</v>
      </c>
      <c r="P119" s="2" t="str">
        <f aca="false">IF(L119="","MISSING","OK")</f>
        <v>OK</v>
      </c>
      <c r="Q119" s="2" t="str">
        <f aca="false">IF(ISNUMBER(B119),"OK","BAD DATE")</f>
        <v>OK</v>
      </c>
      <c r="R119" s="2" t="str">
        <f aca="false">IF(ROUND(F119,2)=F119,"OK","FIX")</f>
        <v>OK</v>
      </c>
    </row>
    <row r="120" customFormat="false" ht="15" hidden="false" customHeight="false" outlineLevel="0" collapsed="false">
      <c r="A120" s="2" t="s">
        <v>508</v>
      </c>
      <c r="B120" s="3" t="n">
        <v>45208</v>
      </c>
      <c r="C120" s="2" t="s">
        <v>509</v>
      </c>
      <c r="D120" s="2" t="s">
        <v>52</v>
      </c>
      <c r="E120" s="2" t="n">
        <v>5</v>
      </c>
      <c r="F120" s="4" t="n">
        <v>502.71</v>
      </c>
      <c r="G120" s="2" t="s">
        <v>510</v>
      </c>
      <c r="H120" s="2" t="s">
        <v>64</v>
      </c>
      <c r="I120" s="2" t="s">
        <v>23</v>
      </c>
      <c r="J120" s="2" t="s">
        <v>511</v>
      </c>
      <c r="K120" s="2" t="n">
        <v>7</v>
      </c>
      <c r="L120" s="2" t="s">
        <v>41</v>
      </c>
      <c r="M120" s="2" t="s">
        <v>80</v>
      </c>
      <c r="N120" s="4" t="n">
        <v>2513.55</v>
      </c>
      <c r="O120" s="2" t="str">
        <f aca="false">IF(COUNTIF($A$2:$A$1201,A120)&gt;1,"DUPLICATE","Unique")</f>
        <v>Unique</v>
      </c>
      <c r="P120" s="2" t="str">
        <f aca="false">IF(L120="","MISSING","OK")</f>
        <v>OK</v>
      </c>
      <c r="Q120" s="2" t="str">
        <f aca="false">IF(ISNUMBER(B120),"OK","BAD DATE")</f>
        <v>OK</v>
      </c>
      <c r="R120" s="2" t="str">
        <f aca="false">IF(ROUND(F120,2)=F120,"OK","FIX")</f>
        <v>OK</v>
      </c>
    </row>
    <row r="121" customFormat="false" ht="15" hidden="false" customHeight="false" outlineLevel="0" collapsed="false">
      <c r="A121" s="2" t="s">
        <v>512</v>
      </c>
      <c r="B121" s="3" t="n">
        <v>45819</v>
      </c>
      <c r="C121" s="2" t="s">
        <v>513</v>
      </c>
      <c r="D121" s="2" t="s">
        <v>77</v>
      </c>
      <c r="E121" s="2" t="n">
        <v>2</v>
      </c>
      <c r="F121" s="4" t="n">
        <v>534.67</v>
      </c>
      <c r="G121" s="2" t="s">
        <v>514</v>
      </c>
      <c r="H121" s="2" t="s">
        <v>22</v>
      </c>
      <c r="I121" s="2" t="s">
        <v>23</v>
      </c>
      <c r="J121" s="2" t="s">
        <v>515</v>
      </c>
      <c r="K121" s="2" t="n">
        <v>7</v>
      </c>
      <c r="L121" s="2" t="s">
        <v>41</v>
      </c>
      <c r="M121" s="2" t="s">
        <v>33</v>
      </c>
      <c r="N121" s="4" t="n">
        <v>1069.34</v>
      </c>
      <c r="O121" s="2" t="str">
        <f aca="false">IF(COUNTIF($A$2:$A$1201,A121)&gt;1,"DUPLICATE","Unique")</f>
        <v>Unique</v>
      </c>
      <c r="P121" s="2" t="str">
        <f aca="false">IF(L121="","MISSING","OK")</f>
        <v>OK</v>
      </c>
      <c r="Q121" s="2" t="str">
        <f aca="false">IF(ISNUMBER(B121),"OK","BAD DATE")</f>
        <v>OK</v>
      </c>
      <c r="R121" s="2" t="str">
        <f aca="false">IF(ROUND(F121,2)=F121,"OK","FIX")</f>
        <v>OK</v>
      </c>
    </row>
    <row r="122" customFormat="false" ht="15" hidden="false" customHeight="false" outlineLevel="0" collapsed="false">
      <c r="A122" s="2" t="s">
        <v>516</v>
      </c>
      <c r="B122" s="3" t="n">
        <v>45027</v>
      </c>
      <c r="C122" s="2" t="s">
        <v>517</v>
      </c>
      <c r="D122" s="2" t="s">
        <v>36</v>
      </c>
      <c r="E122" s="2" t="n">
        <v>4</v>
      </c>
      <c r="F122" s="4" t="n">
        <v>629.34</v>
      </c>
      <c r="G122" s="2" t="s">
        <v>63</v>
      </c>
      <c r="H122" s="2" t="s">
        <v>69</v>
      </c>
      <c r="I122" s="2" t="s">
        <v>39</v>
      </c>
      <c r="J122" s="2" t="s">
        <v>518</v>
      </c>
      <c r="K122" s="2" t="n">
        <v>4</v>
      </c>
      <c r="L122" s="2" t="s">
        <v>85</v>
      </c>
      <c r="M122" s="2" t="s">
        <v>26</v>
      </c>
      <c r="N122" s="4" t="n">
        <v>2517.36</v>
      </c>
      <c r="O122" s="2" t="str">
        <f aca="false">IF(COUNTIF($A$2:$A$1201,A122)&gt;1,"DUPLICATE","Unique")</f>
        <v>Unique</v>
      </c>
      <c r="P122" s="2" t="str">
        <f aca="false">IF(L122="","MISSING","OK")</f>
        <v>OK</v>
      </c>
      <c r="Q122" s="2" t="str">
        <f aca="false">IF(ISNUMBER(B122),"OK","BAD DATE")</f>
        <v>OK</v>
      </c>
      <c r="R122" s="2" t="str">
        <f aca="false">IF(ROUND(F122,2)=F122,"OK","FIX")</f>
        <v>OK</v>
      </c>
    </row>
    <row r="123" customFormat="false" ht="15" hidden="false" customHeight="false" outlineLevel="0" collapsed="false">
      <c r="A123" s="2" t="s">
        <v>519</v>
      </c>
      <c r="B123" s="3" t="n">
        <v>45260</v>
      </c>
      <c r="C123" s="2" t="s">
        <v>520</v>
      </c>
      <c r="D123" s="2" t="s">
        <v>77</v>
      </c>
      <c r="E123" s="2" t="n">
        <v>1</v>
      </c>
      <c r="F123" s="4" t="n">
        <v>410.78</v>
      </c>
      <c r="G123" s="2" t="s">
        <v>521</v>
      </c>
      <c r="H123" s="2" t="s">
        <v>69</v>
      </c>
      <c r="I123" s="2" t="s">
        <v>39</v>
      </c>
      <c r="J123" s="2" t="s">
        <v>522</v>
      </c>
      <c r="K123" s="2" t="n">
        <v>1</v>
      </c>
      <c r="L123" s="2" t="s">
        <v>41</v>
      </c>
      <c r="M123" s="2" t="s">
        <v>26</v>
      </c>
      <c r="N123" s="4" t="n">
        <v>410.78</v>
      </c>
      <c r="O123" s="2" t="str">
        <f aca="false">IF(COUNTIF($A$2:$A$1201,A123)&gt;1,"DUPLICATE","Unique")</f>
        <v>Unique</v>
      </c>
      <c r="P123" s="2" t="str">
        <f aca="false">IF(L123="","MISSING","OK")</f>
        <v>OK</v>
      </c>
      <c r="Q123" s="2" t="str">
        <f aca="false">IF(ISNUMBER(B123),"OK","BAD DATE")</f>
        <v>OK</v>
      </c>
      <c r="R123" s="2" t="str">
        <f aca="false">IF(ROUND(F123,2)=F123,"OK","FIX")</f>
        <v>OK</v>
      </c>
    </row>
    <row r="124" customFormat="false" ht="15" hidden="false" customHeight="false" outlineLevel="0" collapsed="false">
      <c r="A124" s="2" t="s">
        <v>523</v>
      </c>
      <c r="B124" s="3" t="n">
        <v>45397</v>
      </c>
      <c r="C124" s="2" t="s">
        <v>524</v>
      </c>
      <c r="D124" s="2" t="s">
        <v>62</v>
      </c>
      <c r="E124" s="2" t="n">
        <v>2</v>
      </c>
      <c r="F124" s="4" t="n">
        <v>533.02</v>
      </c>
      <c r="G124" s="2" t="s">
        <v>525</v>
      </c>
      <c r="H124" s="2" t="s">
        <v>64</v>
      </c>
      <c r="I124" s="2" t="s">
        <v>23</v>
      </c>
      <c r="J124" s="2" t="s">
        <v>526</v>
      </c>
      <c r="K124" s="2" t="n">
        <v>2</v>
      </c>
      <c r="L124" s="2"/>
      <c r="M124" s="2" t="s">
        <v>49</v>
      </c>
      <c r="N124" s="4" t="n">
        <v>1066.04</v>
      </c>
      <c r="O124" s="2" t="str">
        <f aca="false">IF(COUNTIF($A$2:$A$1201,A124)&gt;1,"DUPLICATE","Unique")</f>
        <v>Unique</v>
      </c>
      <c r="P124" s="2" t="str">
        <f aca="false">IF(L124="","MISSING","OK")</f>
        <v>MISSING</v>
      </c>
      <c r="Q124" s="2" t="str">
        <f aca="false">IF(ISNUMBER(B124),"OK","BAD DATE")</f>
        <v>OK</v>
      </c>
      <c r="R124" s="2" t="str">
        <f aca="false">IF(ROUND(F124,2)=F124,"OK","FIX")</f>
        <v>OK</v>
      </c>
    </row>
    <row r="125" customFormat="false" ht="15" hidden="false" customHeight="false" outlineLevel="0" collapsed="false">
      <c r="A125" s="2" t="s">
        <v>527</v>
      </c>
      <c r="B125" s="3" t="n">
        <v>45113</v>
      </c>
      <c r="C125" s="2" t="s">
        <v>528</v>
      </c>
      <c r="D125" s="2" t="s">
        <v>77</v>
      </c>
      <c r="E125" s="2" t="n">
        <v>3</v>
      </c>
      <c r="F125" s="4" t="n">
        <v>278.04</v>
      </c>
      <c r="G125" s="2" t="s">
        <v>529</v>
      </c>
      <c r="H125" s="2" t="s">
        <v>31</v>
      </c>
      <c r="I125" s="2" t="s">
        <v>54</v>
      </c>
      <c r="J125" s="2" t="s">
        <v>530</v>
      </c>
      <c r="K125" s="2" t="n">
        <v>5</v>
      </c>
      <c r="L125" s="2"/>
      <c r="M125" s="2" t="s">
        <v>26</v>
      </c>
      <c r="N125" s="4" t="n">
        <v>834.12</v>
      </c>
      <c r="O125" s="2" t="str">
        <f aca="false">IF(COUNTIF($A$2:$A$1201,A125)&gt;1,"DUPLICATE","Unique")</f>
        <v>Unique</v>
      </c>
      <c r="P125" s="2" t="str">
        <f aca="false">IF(L125="","MISSING","OK")</f>
        <v>MISSING</v>
      </c>
      <c r="Q125" s="2" t="str">
        <f aca="false">IF(ISNUMBER(B125),"OK","BAD DATE")</f>
        <v>OK</v>
      </c>
      <c r="R125" s="2" t="str">
        <f aca="false">IF(ROUND(F125,2)=F125,"OK","FIX")</f>
        <v>OK</v>
      </c>
    </row>
    <row r="126" customFormat="false" ht="15" hidden="false" customHeight="false" outlineLevel="0" collapsed="false">
      <c r="A126" s="2" t="s">
        <v>531</v>
      </c>
      <c r="B126" s="3" t="n">
        <v>45501</v>
      </c>
      <c r="C126" s="2" t="s">
        <v>532</v>
      </c>
      <c r="D126" s="2" t="s">
        <v>52</v>
      </c>
      <c r="E126" s="2" t="n">
        <v>4</v>
      </c>
      <c r="F126" s="4" t="n">
        <v>283.79</v>
      </c>
      <c r="G126" s="2" t="s">
        <v>533</v>
      </c>
      <c r="H126" s="2" t="s">
        <v>31</v>
      </c>
      <c r="I126" s="2" t="s">
        <v>93</v>
      </c>
      <c r="J126" s="2" t="s">
        <v>534</v>
      </c>
      <c r="K126" s="2" t="n">
        <v>8</v>
      </c>
      <c r="L126" s="2"/>
      <c r="M126" s="2" t="s">
        <v>80</v>
      </c>
      <c r="N126" s="4" t="n">
        <v>1135.16</v>
      </c>
      <c r="O126" s="2" t="str">
        <f aca="false">IF(COUNTIF($A$2:$A$1201,A126)&gt;1,"DUPLICATE","Unique")</f>
        <v>Unique</v>
      </c>
      <c r="P126" s="2" t="str">
        <f aca="false">IF(L126="","MISSING","OK")</f>
        <v>MISSING</v>
      </c>
      <c r="Q126" s="2" t="str">
        <f aca="false">IF(ISNUMBER(B126),"OK","BAD DATE")</f>
        <v>OK</v>
      </c>
      <c r="R126" s="2" t="str">
        <f aca="false">IF(ROUND(F126,2)=F126,"OK","FIX")</f>
        <v>OK</v>
      </c>
    </row>
    <row r="127" customFormat="false" ht="15" hidden="false" customHeight="false" outlineLevel="0" collapsed="false">
      <c r="A127" s="2" t="s">
        <v>535</v>
      </c>
      <c r="B127" s="3" t="n">
        <v>45602</v>
      </c>
      <c r="C127" s="2" t="s">
        <v>536</v>
      </c>
      <c r="D127" s="2" t="s">
        <v>29</v>
      </c>
      <c r="E127" s="2" t="n">
        <v>2</v>
      </c>
      <c r="F127" s="4" t="n">
        <v>512.65</v>
      </c>
      <c r="G127" s="2" t="s">
        <v>537</v>
      </c>
      <c r="H127" s="2" t="s">
        <v>38</v>
      </c>
      <c r="I127" s="2" t="s">
        <v>23</v>
      </c>
      <c r="J127" s="2" t="s">
        <v>538</v>
      </c>
      <c r="K127" s="2" t="n">
        <v>5</v>
      </c>
      <c r="L127" s="2" t="s">
        <v>25</v>
      </c>
      <c r="M127" s="2" t="s">
        <v>42</v>
      </c>
      <c r="N127" s="4" t="n">
        <v>1025.3</v>
      </c>
      <c r="O127" s="2" t="str">
        <f aca="false">IF(COUNTIF($A$2:$A$1201,A127)&gt;1,"DUPLICATE","Unique")</f>
        <v>Unique</v>
      </c>
      <c r="P127" s="2" t="str">
        <f aca="false">IF(L127="","MISSING","OK")</f>
        <v>OK</v>
      </c>
      <c r="Q127" s="2" t="str">
        <f aca="false">IF(ISNUMBER(B127),"OK","BAD DATE")</f>
        <v>OK</v>
      </c>
      <c r="R127" s="2" t="str">
        <f aca="false">IF(ROUND(F127,2)=F127,"OK","FIX")</f>
        <v>OK</v>
      </c>
    </row>
    <row r="128" customFormat="false" ht="15" hidden="false" customHeight="false" outlineLevel="0" collapsed="false">
      <c r="A128" s="2" t="s">
        <v>539</v>
      </c>
      <c r="B128" s="3" t="n">
        <v>45780</v>
      </c>
      <c r="C128" s="2" t="s">
        <v>540</v>
      </c>
      <c r="D128" s="2" t="s">
        <v>77</v>
      </c>
      <c r="E128" s="2" t="n">
        <v>4</v>
      </c>
      <c r="F128" s="4" t="n">
        <v>275.5</v>
      </c>
      <c r="G128" s="2" t="s">
        <v>541</v>
      </c>
      <c r="H128" s="2" t="s">
        <v>64</v>
      </c>
      <c r="I128" s="2" t="s">
        <v>23</v>
      </c>
      <c r="J128" s="2" t="s">
        <v>542</v>
      </c>
      <c r="K128" s="2" t="n">
        <v>8</v>
      </c>
      <c r="L128" s="2" t="s">
        <v>41</v>
      </c>
      <c r="M128" s="2" t="s">
        <v>80</v>
      </c>
      <c r="N128" s="4" t="n">
        <v>1102</v>
      </c>
      <c r="O128" s="2" t="str">
        <f aca="false">IF(COUNTIF($A$2:$A$1201,A128)&gt;1,"DUPLICATE","Unique")</f>
        <v>Unique</v>
      </c>
      <c r="P128" s="2" t="str">
        <f aca="false">IF(L128="","MISSING","OK")</f>
        <v>OK</v>
      </c>
      <c r="Q128" s="2" t="str">
        <f aca="false">IF(ISNUMBER(B128),"OK","BAD DATE")</f>
        <v>OK</v>
      </c>
      <c r="R128" s="2" t="str">
        <f aca="false">IF(ROUND(F128,2)=F128,"OK","FIX")</f>
        <v>OK</v>
      </c>
    </row>
    <row r="129" customFormat="false" ht="15" hidden="false" customHeight="false" outlineLevel="0" collapsed="false">
      <c r="A129" s="2" t="s">
        <v>543</v>
      </c>
      <c r="B129" s="3" t="n">
        <v>45148</v>
      </c>
      <c r="C129" s="2" t="s">
        <v>544</v>
      </c>
      <c r="D129" s="2" t="s">
        <v>77</v>
      </c>
      <c r="E129" s="2" t="n">
        <v>3</v>
      </c>
      <c r="F129" s="4" t="n">
        <v>469.32</v>
      </c>
      <c r="G129" s="2" t="s">
        <v>545</v>
      </c>
      <c r="H129" s="2" t="s">
        <v>22</v>
      </c>
      <c r="I129" s="2" t="s">
        <v>23</v>
      </c>
      <c r="J129" s="2" t="s">
        <v>546</v>
      </c>
      <c r="K129" s="2" t="n">
        <v>3</v>
      </c>
      <c r="L129" s="2"/>
      <c r="M129" s="2" t="s">
        <v>80</v>
      </c>
      <c r="N129" s="4" t="n">
        <v>1407.96</v>
      </c>
      <c r="O129" s="2" t="str">
        <f aca="false">IF(COUNTIF($A$2:$A$1201,A129)&gt;1,"DUPLICATE","Unique")</f>
        <v>Unique</v>
      </c>
      <c r="P129" s="2" t="str">
        <f aca="false">IF(L129="","MISSING","OK")</f>
        <v>MISSING</v>
      </c>
      <c r="Q129" s="2" t="str">
        <f aca="false">IF(ISNUMBER(B129),"OK","BAD DATE")</f>
        <v>OK</v>
      </c>
      <c r="R129" s="2" t="str">
        <f aca="false">IF(ROUND(F129,2)=F129,"OK","FIX")</f>
        <v>OK</v>
      </c>
    </row>
    <row r="130" customFormat="false" ht="15" hidden="false" customHeight="false" outlineLevel="0" collapsed="false">
      <c r="A130" s="2" t="s">
        <v>547</v>
      </c>
      <c r="B130" s="3" t="n">
        <v>44974</v>
      </c>
      <c r="C130" s="2" t="s">
        <v>548</v>
      </c>
      <c r="D130" s="2" t="s">
        <v>36</v>
      </c>
      <c r="E130" s="2" t="n">
        <v>4</v>
      </c>
      <c r="F130" s="4" t="n">
        <v>21.07</v>
      </c>
      <c r="G130" s="2" t="s">
        <v>549</v>
      </c>
      <c r="H130" s="2" t="s">
        <v>64</v>
      </c>
      <c r="I130" s="2" t="s">
        <v>54</v>
      </c>
      <c r="J130" s="2" t="s">
        <v>550</v>
      </c>
      <c r="K130" s="2" t="n">
        <v>4</v>
      </c>
      <c r="L130" s="2" t="s">
        <v>41</v>
      </c>
      <c r="M130" s="2" t="s">
        <v>80</v>
      </c>
      <c r="N130" s="4" t="n">
        <v>84.28</v>
      </c>
      <c r="O130" s="2" t="str">
        <f aca="false">IF(COUNTIF($A$2:$A$1201,A130)&gt;1,"DUPLICATE","Unique")</f>
        <v>Unique</v>
      </c>
      <c r="P130" s="2" t="str">
        <f aca="false">IF(L130="","MISSING","OK")</f>
        <v>OK</v>
      </c>
      <c r="Q130" s="2" t="str">
        <f aca="false">IF(ISNUMBER(B130),"OK","BAD DATE")</f>
        <v>OK</v>
      </c>
      <c r="R130" s="2" t="str">
        <f aca="false">IF(ROUND(F130,2)=F130,"OK","FIX")</f>
        <v>OK</v>
      </c>
    </row>
    <row r="131" customFormat="false" ht="15" hidden="false" customHeight="false" outlineLevel="0" collapsed="false">
      <c r="A131" s="2" t="s">
        <v>551</v>
      </c>
      <c r="B131" s="3" t="n">
        <v>45226</v>
      </c>
      <c r="C131" s="2" t="s">
        <v>552</v>
      </c>
      <c r="D131" s="2" t="s">
        <v>62</v>
      </c>
      <c r="E131" s="2" t="n">
        <v>4</v>
      </c>
      <c r="F131" s="4" t="n">
        <v>263.93</v>
      </c>
      <c r="G131" s="2" t="s">
        <v>553</v>
      </c>
      <c r="H131" s="2" t="s">
        <v>22</v>
      </c>
      <c r="I131" s="2" t="s">
        <v>23</v>
      </c>
      <c r="J131" s="2" t="s">
        <v>554</v>
      </c>
      <c r="K131" s="2" t="n">
        <v>4</v>
      </c>
      <c r="L131" s="2" t="s">
        <v>41</v>
      </c>
      <c r="M131" s="2" t="s">
        <v>49</v>
      </c>
      <c r="N131" s="4" t="n">
        <v>1055.72</v>
      </c>
      <c r="O131" s="2" t="str">
        <f aca="false">IF(COUNTIF($A$2:$A$1201,A131)&gt;1,"DUPLICATE","Unique")</f>
        <v>Unique</v>
      </c>
      <c r="P131" s="2" t="str">
        <f aca="false">IF(L131="","MISSING","OK")</f>
        <v>OK</v>
      </c>
      <c r="Q131" s="2" t="str">
        <f aca="false">IF(ISNUMBER(B131),"OK","BAD DATE")</f>
        <v>OK</v>
      </c>
      <c r="R131" s="2" t="str">
        <f aca="false">IF(ROUND(F131,2)=F131,"OK","FIX")</f>
        <v>OK</v>
      </c>
    </row>
    <row r="132" customFormat="false" ht="15" hidden="false" customHeight="false" outlineLevel="0" collapsed="false">
      <c r="A132" s="2" t="s">
        <v>555</v>
      </c>
      <c r="B132" s="3" t="n">
        <v>45679</v>
      </c>
      <c r="C132" s="2" t="s">
        <v>556</v>
      </c>
      <c r="D132" s="2" t="s">
        <v>77</v>
      </c>
      <c r="E132" s="2" t="n">
        <v>3</v>
      </c>
      <c r="F132" s="4" t="n">
        <v>501.3</v>
      </c>
      <c r="G132" s="2" t="s">
        <v>557</v>
      </c>
      <c r="H132" s="2" t="s">
        <v>31</v>
      </c>
      <c r="I132" s="2" t="s">
        <v>39</v>
      </c>
      <c r="J132" s="2" t="s">
        <v>558</v>
      </c>
      <c r="K132" s="2" t="n">
        <v>3</v>
      </c>
      <c r="L132" s="2" t="s">
        <v>85</v>
      </c>
      <c r="M132" s="2" t="s">
        <v>49</v>
      </c>
      <c r="N132" s="4" t="n">
        <v>1503.9</v>
      </c>
      <c r="O132" s="2" t="str">
        <f aca="false">IF(COUNTIF($A$2:$A$1201,A132)&gt;1,"DUPLICATE","Unique")</f>
        <v>Unique</v>
      </c>
      <c r="P132" s="2" t="str">
        <f aca="false">IF(L132="","MISSING","OK")</f>
        <v>OK</v>
      </c>
      <c r="Q132" s="2" t="str">
        <f aca="false">IF(ISNUMBER(B132),"OK","BAD DATE")</f>
        <v>OK</v>
      </c>
      <c r="R132" s="2" t="str">
        <f aca="false">IF(ROUND(F132,2)=F132,"OK","FIX")</f>
        <v>OK</v>
      </c>
    </row>
    <row r="133" customFormat="false" ht="15" hidden="false" customHeight="false" outlineLevel="0" collapsed="false">
      <c r="A133" s="2" t="s">
        <v>559</v>
      </c>
      <c r="B133" s="3" t="n">
        <v>44934</v>
      </c>
      <c r="C133" s="2" t="s">
        <v>560</v>
      </c>
      <c r="D133" s="2" t="s">
        <v>36</v>
      </c>
      <c r="E133" s="2" t="n">
        <v>1</v>
      </c>
      <c r="F133" s="4" t="n">
        <v>84.8</v>
      </c>
      <c r="G133" s="2" t="s">
        <v>561</v>
      </c>
      <c r="H133" s="2" t="s">
        <v>64</v>
      </c>
      <c r="I133" s="2" t="s">
        <v>93</v>
      </c>
      <c r="J133" s="2" t="s">
        <v>562</v>
      </c>
      <c r="K133" s="2" t="n">
        <v>5</v>
      </c>
      <c r="L133" s="2"/>
      <c r="M133" s="2" t="s">
        <v>26</v>
      </c>
      <c r="N133" s="4" t="n">
        <v>84.8</v>
      </c>
      <c r="O133" s="2" t="str">
        <f aca="false">IF(COUNTIF($A$2:$A$1201,A133)&gt;1,"DUPLICATE","Unique")</f>
        <v>Unique</v>
      </c>
      <c r="P133" s="2" t="str">
        <f aca="false">IF(L133="","MISSING","OK")</f>
        <v>MISSING</v>
      </c>
      <c r="Q133" s="2" t="str">
        <f aca="false">IF(ISNUMBER(B133),"OK","BAD DATE")</f>
        <v>OK</v>
      </c>
      <c r="R133" s="2" t="str">
        <f aca="false">IF(ROUND(F133,2)=F133,"OK","FIX")</f>
        <v>OK</v>
      </c>
    </row>
    <row r="134" customFormat="false" ht="15" hidden="false" customHeight="false" outlineLevel="0" collapsed="false">
      <c r="A134" s="2" t="s">
        <v>563</v>
      </c>
      <c r="B134" s="3" t="n">
        <v>45013</v>
      </c>
      <c r="C134" s="2" t="s">
        <v>564</v>
      </c>
      <c r="D134" s="2" t="s">
        <v>36</v>
      </c>
      <c r="E134" s="2" t="n">
        <v>4</v>
      </c>
      <c r="F134" s="4" t="n">
        <v>450.75</v>
      </c>
      <c r="G134" s="2" t="s">
        <v>565</v>
      </c>
      <c r="H134" s="2" t="s">
        <v>38</v>
      </c>
      <c r="I134" s="2" t="s">
        <v>23</v>
      </c>
      <c r="J134" s="2" t="s">
        <v>566</v>
      </c>
      <c r="K134" s="2" t="n">
        <v>6</v>
      </c>
      <c r="L134" s="2" t="s">
        <v>85</v>
      </c>
      <c r="M134" s="2" t="s">
        <v>42</v>
      </c>
      <c r="N134" s="4" t="n">
        <v>1803</v>
      </c>
      <c r="O134" s="2" t="str">
        <f aca="false">IF(COUNTIF($A$2:$A$1201,A134)&gt;1,"DUPLICATE","Unique")</f>
        <v>Unique</v>
      </c>
      <c r="P134" s="2" t="str">
        <f aca="false">IF(L134="","MISSING","OK")</f>
        <v>OK</v>
      </c>
      <c r="Q134" s="2" t="str">
        <f aca="false">IF(ISNUMBER(B134),"OK","BAD DATE")</f>
        <v>OK</v>
      </c>
      <c r="R134" s="2" t="str">
        <f aca="false">IF(ROUND(F134,2)=F134,"OK","FIX")</f>
        <v>OK</v>
      </c>
    </row>
    <row r="135" customFormat="false" ht="15" hidden="false" customHeight="false" outlineLevel="0" collapsed="false">
      <c r="A135" s="2" t="s">
        <v>567</v>
      </c>
      <c r="B135" s="3" t="n">
        <v>45828</v>
      </c>
      <c r="C135" s="2" t="s">
        <v>568</v>
      </c>
      <c r="D135" s="2" t="s">
        <v>45</v>
      </c>
      <c r="E135" s="2" t="n">
        <v>4</v>
      </c>
      <c r="F135" s="4" t="n">
        <v>302.05</v>
      </c>
      <c r="G135" s="2" t="s">
        <v>569</v>
      </c>
      <c r="H135" s="2" t="s">
        <v>22</v>
      </c>
      <c r="I135" s="2" t="s">
        <v>39</v>
      </c>
      <c r="J135" s="2" t="s">
        <v>570</v>
      </c>
      <c r="K135" s="2" t="n">
        <v>6</v>
      </c>
      <c r="L135" s="2" t="s">
        <v>25</v>
      </c>
      <c r="M135" s="2" t="s">
        <v>80</v>
      </c>
      <c r="N135" s="4" t="n">
        <v>1208.2</v>
      </c>
      <c r="O135" s="2" t="str">
        <f aca="false">IF(COUNTIF($A$2:$A$1201,A135)&gt;1,"DUPLICATE","Unique")</f>
        <v>Unique</v>
      </c>
      <c r="P135" s="2" t="str">
        <f aca="false">IF(L135="","MISSING","OK")</f>
        <v>OK</v>
      </c>
      <c r="Q135" s="2" t="str">
        <f aca="false">IF(ISNUMBER(B135),"OK","BAD DATE")</f>
        <v>OK</v>
      </c>
      <c r="R135" s="2" t="str">
        <f aca="false">IF(ROUND(F135,2)=F135,"OK","FIX")</f>
        <v>OK</v>
      </c>
    </row>
    <row r="136" customFormat="false" ht="15" hidden="false" customHeight="false" outlineLevel="0" collapsed="false">
      <c r="A136" s="2" t="s">
        <v>571</v>
      </c>
      <c r="B136" s="3" t="n">
        <v>45831</v>
      </c>
      <c r="C136" s="2" t="s">
        <v>572</v>
      </c>
      <c r="D136" s="2" t="s">
        <v>62</v>
      </c>
      <c r="E136" s="2" t="n">
        <v>2</v>
      </c>
      <c r="F136" s="4" t="n">
        <v>199.7</v>
      </c>
      <c r="G136" s="2" t="s">
        <v>565</v>
      </c>
      <c r="H136" s="2" t="s">
        <v>69</v>
      </c>
      <c r="I136" s="2" t="s">
        <v>93</v>
      </c>
      <c r="J136" s="2" t="s">
        <v>573</v>
      </c>
      <c r="K136" s="2" t="n">
        <v>4</v>
      </c>
      <c r="L136" s="2"/>
      <c r="M136" s="2" t="s">
        <v>42</v>
      </c>
      <c r="N136" s="4" t="n">
        <v>399.4</v>
      </c>
      <c r="O136" s="2" t="str">
        <f aca="false">IF(COUNTIF($A$2:$A$1201,A136)&gt;1,"DUPLICATE","Unique")</f>
        <v>Unique</v>
      </c>
      <c r="P136" s="2" t="str">
        <f aca="false">IF(L136="","MISSING","OK")</f>
        <v>MISSING</v>
      </c>
      <c r="Q136" s="2" t="str">
        <f aca="false">IF(ISNUMBER(B136),"OK","BAD DATE")</f>
        <v>OK</v>
      </c>
      <c r="R136" s="2" t="str">
        <f aca="false">IF(ROUND(F136,2)=F136,"OK","FIX")</f>
        <v>OK</v>
      </c>
    </row>
    <row r="137" customFormat="false" ht="15" hidden="false" customHeight="false" outlineLevel="0" collapsed="false">
      <c r="A137" s="2" t="s">
        <v>574</v>
      </c>
      <c r="B137" s="3" t="n">
        <v>45142</v>
      </c>
      <c r="C137" s="2" t="s">
        <v>575</v>
      </c>
      <c r="D137" s="2" t="s">
        <v>52</v>
      </c>
      <c r="E137" s="2" t="n">
        <v>2</v>
      </c>
      <c r="F137" s="4" t="n">
        <v>68.81</v>
      </c>
      <c r="G137" s="2" t="s">
        <v>576</v>
      </c>
      <c r="H137" s="2" t="s">
        <v>64</v>
      </c>
      <c r="I137" s="2" t="s">
        <v>23</v>
      </c>
      <c r="J137" s="2" t="s">
        <v>577</v>
      </c>
      <c r="K137" s="2" t="n">
        <v>5</v>
      </c>
      <c r="L137" s="2" t="s">
        <v>25</v>
      </c>
      <c r="M137" s="2" t="s">
        <v>33</v>
      </c>
      <c r="N137" s="4" t="n">
        <v>137.62</v>
      </c>
      <c r="O137" s="2" t="str">
        <f aca="false">IF(COUNTIF($A$2:$A$1201,A137)&gt;1,"DUPLICATE","Unique")</f>
        <v>Unique</v>
      </c>
      <c r="P137" s="2" t="str">
        <f aca="false">IF(L137="","MISSING","OK")</f>
        <v>OK</v>
      </c>
      <c r="Q137" s="2" t="str">
        <f aca="false">IF(ISNUMBER(B137),"OK","BAD DATE")</f>
        <v>OK</v>
      </c>
      <c r="R137" s="2" t="str">
        <f aca="false">IF(ROUND(F137,2)=F137,"OK","FIX")</f>
        <v>OK</v>
      </c>
    </row>
    <row r="138" customFormat="false" ht="15" hidden="false" customHeight="false" outlineLevel="0" collapsed="false">
      <c r="A138" s="2" t="s">
        <v>578</v>
      </c>
      <c r="B138" s="3" t="n">
        <v>45409</v>
      </c>
      <c r="C138" s="2" t="s">
        <v>579</v>
      </c>
      <c r="D138" s="2" t="s">
        <v>62</v>
      </c>
      <c r="E138" s="2" t="n">
        <v>1</v>
      </c>
      <c r="F138" s="4" t="n">
        <v>44.35</v>
      </c>
      <c r="G138" s="2" t="s">
        <v>580</v>
      </c>
      <c r="H138" s="2" t="s">
        <v>64</v>
      </c>
      <c r="I138" s="2" t="s">
        <v>39</v>
      </c>
      <c r="J138" s="2" t="s">
        <v>581</v>
      </c>
      <c r="K138" s="2" t="n">
        <v>1</v>
      </c>
      <c r="L138" s="2" t="s">
        <v>25</v>
      </c>
      <c r="M138" s="2" t="s">
        <v>26</v>
      </c>
      <c r="N138" s="4" t="n">
        <v>44.35</v>
      </c>
      <c r="O138" s="2" t="str">
        <f aca="false">IF(COUNTIF($A$2:$A$1201,A138)&gt;1,"DUPLICATE","Unique")</f>
        <v>Unique</v>
      </c>
      <c r="P138" s="2" t="str">
        <f aca="false">IF(L138="","MISSING","OK")</f>
        <v>OK</v>
      </c>
      <c r="Q138" s="2" t="str">
        <f aca="false">IF(ISNUMBER(B138),"OK","BAD DATE")</f>
        <v>OK</v>
      </c>
      <c r="R138" s="2" t="str">
        <f aca="false">IF(ROUND(F138,2)=F138,"OK","FIX")</f>
        <v>OK</v>
      </c>
    </row>
    <row r="139" customFormat="false" ht="15" hidden="false" customHeight="false" outlineLevel="0" collapsed="false">
      <c r="A139" s="2" t="s">
        <v>582</v>
      </c>
      <c r="B139" s="3" t="n">
        <v>45622</v>
      </c>
      <c r="C139" s="2" t="s">
        <v>583</v>
      </c>
      <c r="D139" s="2" t="s">
        <v>20</v>
      </c>
      <c r="E139" s="2" t="n">
        <v>2</v>
      </c>
      <c r="F139" s="4" t="n">
        <v>250.98</v>
      </c>
      <c r="G139" s="2" t="s">
        <v>584</v>
      </c>
      <c r="H139" s="2" t="s">
        <v>38</v>
      </c>
      <c r="I139" s="2" t="s">
        <v>54</v>
      </c>
      <c r="J139" s="2" t="s">
        <v>585</v>
      </c>
      <c r="K139" s="2" t="n">
        <v>5</v>
      </c>
      <c r="L139" s="2"/>
      <c r="M139" s="2" t="s">
        <v>80</v>
      </c>
      <c r="N139" s="4" t="n">
        <v>501.96</v>
      </c>
      <c r="O139" s="2" t="str">
        <f aca="false">IF(COUNTIF($A$2:$A$1201,A139)&gt;1,"DUPLICATE","Unique")</f>
        <v>Unique</v>
      </c>
      <c r="P139" s="2" t="str">
        <f aca="false">IF(L139="","MISSING","OK")</f>
        <v>MISSING</v>
      </c>
      <c r="Q139" s="2" t="str">
        <f aca="false">IF(ISNUMBER(B139),"OK","BAD DATE")</f>
        <v>OK</v>
      </c>
      <c r="R139" s="2" t="str">
        <f aca="false">IF(ROUND(F139,2)=F139,"OK","FIX")</f>
        <v>OK</v>
      </c>
    </row>
    <row r="140" customFormat="false" ht="15" hidden="false" customHeight="false" outlineLevel="0" collapsed="false">
      <c r="A140" s="2" t="s">
        <v>586</v>
      </c>
      <c r="B140" s="3" t="n">
        <v>45281</v>
      </c>
      <c r="C140" s="2" t="s">
        <v>587</v>
      </c>
      <c r="D140" s="2" t="s">
        <v>36</v>
      </c>
      <c r="E140" s="2" t="n">
        <v>1</v>
      </c>
      <c r="F140" s="4" t="n">
        <v>298.06</v>
      </c>
      <c r="G140" s="2" t="s">
        <v>588</v>
      </c>
      <c r="H140" s="2" t="s">
        <v>22</v>
      </c>
      <c r="I140" s="2" t="s">
        <v>93</v>
      </c>
      <c r="J140" s="2" t="s">
        <v>589</v>
      </c>
      <c r="K140" s="2" t="n">
        <v>3</v>
      </c>
      <c r="L140" s="2" t="s">
        <v>85</v>
      </c>
      <c r="M140" s="2" t="s">
        <v>80</v>
      </c>
      <c r="N140" s="4" t="n">
        <v>298.06</v>
      </c>
      <c r="O140" s="2" t="str">
        <f aca="false">IF(COUNTIF($A$2:$A$1201,A140)&gt;1,"DUPLICATE","Unique")</f>
        <v>Unique</v>
      </c>
      <c r="P140" s="2" t="str">
        <f aca="false">IF(L140="","MISSING","OK")</f>
        <v>OK</v>
      </c>
      <c r="Q140" s="2" t="str">
        <f aca="false">IF(ISNUMBER(B140),"OK","BAD DATE")</f>
        <v>OK</v>
      </c>
      <c r="R140" s="2" t="str">
        <f aca="false">IF(ROUND(F140,2)=F140,"OK","FIX")</f>
        <v>OK</v>
      </c>
    </row>
    <row r="141" customFormat="false" ht="15" hidden="false" customHeight="false" outlineLevel="0" collapsed="false">
      <c r="A141" s="2" t="s">
        <v>590</v>
      </c>
      <c r="B141" s="3" t="n">
        <v>45026</v>
      </c>
      <c r="C141" s="2" t="s">
        <v>591</v>
      </c>
      <c r="D141" s="2" t="s">
        <v>29</v>
      </c>
      <c r="E141" s="2" t="n">
        <v>1</v>
      </c>
      <c r="F141" s="4" t="n">
        <v>583.9</v>
      </c>
      <c r="G141" s="2" t="s">
        <v>592</v>
      </c>
      <c r="H141" s="2" t="s">
        <v>69</v>
      </c>
      <c r="I141" s="2" t="s">
        <v>47</v>
      </c>
      <c r="J141" s="2" t="s">
        <v>593</v>
      </c>
      <c r="K141" s="2" t="n">
        <v>1</v>
      </c>
      <c r="L141" s="2"/>
      <c r="M141" s="2" t="s">
        <v>42</v>
      </c>
      <c r="N141" s="4" t="n">
        <v>583.9</v>
      </c>
      <c r="O141" s="2" t="str">
        <f aca="false">IF(COUNTIF($A$2:$A$1201,A141)&gt;1,"DUPLICATE","Unique")</f>
        <v>Unique</v>
      </c>
      <c r="P141" s="2" t="str">
        <f aca="false">IF(L141="","MISSING","OK")</f>
        <v>MISSING</v>
      </c>
      <c r="Q141" s="2" t="str">
        <f aca="false">IF(ISNUMBER(B141),"OK","BAD DATE")</f>
        <v>OK</v>
      </c>
      <c r="R141" s="2" t="str">
        <f aca="false">IF(ROUND(F141,2)=F141,"OK","FIX")</f>
        <v>OK</v>
      </c>
    </row>
    <row r="142" customFormat="false" ht="15" hidden="false" customHeight="false" outlineLevel="0" collapsed="false">
      <c r="A142" s="2" t="s">
        <v>594</v>
      </c>
      <c r="B142" s="3" t="n">
        <v>45808</v>
      </c>
      <c r="C142" s="2" t="s">
        <v>595</v>
      </c>
      <c r="D142" s="2" t="s">
        <v>45</v>
      </c>
      <c r="E142" s="2" t="n">
        <v>3</v>
      </c>
      <c r="F142" s="4" t="n">
        <v>528.14</v>
      </c>
      <c r="G142" s="2" t="s">
        <v>478</v>
      </c>
      <c r="H142" s="2" t="s">
        <v>31</v>
      </c>
      <c r="I142" s="2" t="s">
        <v>54</v>
      </c>
      <c r="J142" s="2" t="s">
        <v>596</v>
      </c>
      <c r="K142" s="2" t="n">
        <v>3</v>
      </c>
      <c r="L142" s="2" t="s">
        <v>41</v>
      </c>
      <c r="M142" s="2" t="s">
        <v>42</v>
      </c>
      <c r="N142" s="4" t="n">
        <v>1584.42</v>
      </c>
      <c r="O142" s="2" t="str">
        <f aca="false">IF(COUNTIF($A$2:$A$1201,A142)&gt;1,"DUPLICATE","Unique")</f>
        <v>Unique</v>
      </c>
      <c r="P142" s="2" t="str">
        <f aca="false">IF(L142="","MISSING","OK")</f>
        <v>OK</v>
      </c>
      <c r="Q142" s="2" t="str">
        <f aca="false">IF(ISNUMBER(B142),"OK","BAD DATE")</f>
        <v>OK</v>
      </c>
      <c r="R142" s="2" t="str">
        <f aca="false">IF(ROUND(F142,2)=F142,"OK","FIX")</f>
        <v>OK</v>
      </c>
    </row>
    <row r="143" customFormat="false" ht="15" hidden="false" customHeight="false" outlineLevel="0" collapsed="false">
      <c r="A143" s="2" t="s">
        <v>597</v>
      </c>
      <c r="B143" s="3" t="n">
        <v>45248</v>
      </c>
      <c r="C143" s="2" t="s">
        <v>598</v>
      </c>
      <c r="D143" s="2" t="s">
        <v>52</v>
      </c>
      <c r="E143" s="2" t="n">
        <v>3</v>
      </c>
      <c r="F143" s="4" t="n">
        <v>684.14</v>
      </c>
      <c r="G143" s="2" t="s">
        <v>599</v>
      </c>
      <c r="H143" s="2" t="s">
        <v>69</v>
      </c>
      <c r="I143" s="2" t="s">
        <v>39</v>
      </c>
      <c r="J143" s="2" t="s">
        <v>600</v>
      </c>
      <c r="K143" s="2" t="n">
        <v>3</v>
      </c>
      <c r="L143" s="2" t="s">
        <v>85</v>
      </c>
      <c r="M143" s="2" t="s">
        <v>26</v>
      </c>
      <c r="N143" s="4" t="n">
        <v>2052.42</v>
      </c>
      <c r="O143" s="2" t="str">
        <f aca="false">IF(COUNTIF($A$2:$A$1201,A143)&gt;1,"DUPLICATE","Unique")</f>
        <v>Unique</v>
      </c>
      <c r="P143" s="2" t="str">
        <f aca="false">IF(L143="","MISSING","OK")</f>
        <v>OK</v>
      </c>
      <c r="Q143" s="2" t="str">
        <f aca="false">IF(ISNUMBER(B143),"OK","BAD DATE")</f>
        <v>OK</v>
      </c>
      <c r="R143" s="2" t="str">
        <f aca="false">IF(ROUND(F143,2)=F143,"OK","FIX")</f>
        <v>OK</v>
      </c>
    </row>
    <row r="144" customFormat="false" ht="15" hidden="false" customHeight="false" outlineLevel="0" collapsed="false">
      <c r="A144" s="2" t="s">
        <v>601</v>
      </c>
      <c r="B144" s="3" t="n">
        <v>45175</v>
      </c>
      <c r="C144" s="2" t="s">
        <v>602</v>
      </c>
      <c r="D144" s="2" t="s">
        <v>77</v>
      </c>
      <c r="E144" s="2" t="n">
        <v>5</v>
      </c>
      <c r="F144" s="4" t="n">
        <v>272.77</v>
      </c>
      <c r="G144" s="2" t="s">
        <v>603</v>
      </c>
      <c r="H144" s="2" t="s">
        <v>69</v>
      </c>
      <c r="I144" s="2" t="s">
        <v>93</v>
      </c>
      <c r="J144" s="2" t="s">
        <v>604</v>
      </c>
      <c r="K144" s="2" t="n">
        <v>7</v>
      </c>
      <c r="L144" s="2" t="s">
        <v>85</v>
      </c>
      <c r="M144" s="2" t="s">
        <v>42</v>
      </c>
      <c r="N144" s="4" t="n">
        <v>1363.85</v>
      </c>
      <c r="O144" s="2" t="str">
        <f aca="false">IF(COUNTIF($A$2:$A$1201,A144)&gt;1,"DUPLICATE","Unique")</f>
        <v>Unique</v>
      </c>
      <c r="P144" s="2" t="str">
        <f aca="false">IF(L144="","MISSING","OK")</f>
        <v>OK</v>
      </c>
      <c r="Q144" s="2" t="str">
        <f aca="false">IF(ISNUMBER(B144),"OK","BAD DATE")</f>
        <v>OK</v>
      </c>
      <c r="R144" s="2" t="str">
        <f aca="false">IF(ROUND(F144,2)=F144,"OK","FIX")</f>
        <v>OK</v>
      </c>
    </row>
    <row r="145" customFormat="false" ht="15" hidden="false" customHeight="false" outlineLevel="0" collapsed="false">
      <c r="A145" s="2" t="s">
        <v>605</v>
      </c>
      <c r="B145" s="3" t="n">
        <v>45456</v>
      </c>
      <c r="C145" s="2" t="s">
        <v>606</v>
      </c>
      <c r="D145" s="2" t="s">
        <v>45</v>
      </c>
      <c r="E145" s="2" t="n">
        <v>4</v>
      </c>
      <c r="F145" s="4" t="n">
        <v>400.07</v>
      </c>
      <c r="G145" s="2" t="s">
        <v>607</v>
      </c>
      <c r="H145" s="2" t="s">
        <v>31</v>
      </c>
      <c r="I145" s="2" t="s">
        <v>23</v>
      </c>
      <c r="J145" s="2" t="s">
        <v>608</v>
      </c>
      <c r="K145" s="2" t="n">
        <v>5</v>
      </c>
      <c r="L145" s="2"/>
      <c r="M145" s="2" t="s">
        <v>33</v>
      </c>
      <c r="N145" s="4" t="n">
        <v>1600.28</v>
      </c>
      <c r="O145" s="2" t="str">
        <f aca="false">IF(COUNTIF($A$2:$A$1201,A145)&gt;1,"DUPLICATE","Unique")</f>
        <v>Unique</v>
      </c>
      <c r="P145" s="2" t="str">
        <f aca="false">IF(L145="","MISSING","OK")</f>
        <v>MISSING</v>
      </c>
      <c r="Q145" s="2" t="str">
        <f aca="false">IF(ISNUMBER(B145),"OK","BAD DATE")</f>
        <v>OK</v>
      </c>
      <c r="R145" s="2" t="str">
        <f aca="false">IF(ROUND(F145,2)=F145,"OK","FIX")</f>
        <v>OK</v>
      </c>
    </row>
    <row r="146" customFormat="false" ht="15" hidden="false" customHeight="false" outlineLevel="0" collapsed="false">
      <c r="A146" s="2" t="s">
        <v>609</v>
      </c>
      <c r="B146" s="3" t="n">
        <v>45142</v>
      </c>
      <c r="C146" s="2" t="s">
        <v>610</v>
      </c>
      <c r="D146" s="2" t="s">
        <v>77</v>
      </c>
      <c r="E146" s="2" t="n">
        <v>5</v>
      </c>
      <c r="F146" s="4" t="n">
        <v>219.78</v>
      </c>
      <c r="G146" s="2" t="s">
        <v>165</v>
      </c>
      <c r="H146" s="2" t="s">
        <v>38</v>
      </c>
      <c r="I146" s="2" t="s">
        <v>93</v>
      </c>
      <c r="J146" s="2" t="s">
        <v>611</v>
      </c>
      <c r="K146" s="2" t="n">
        <v>8</v>
      </c>
      <c r="L146" s="2"/>
      <c r="M146" s="2" t="s">
        <v>49</v>
      </c>
      <c r="N146" s="4" t="n">
        <v>1098.9</v>
      </c>
      <c r="O146" s="2" t="str">
        <f aca="false">IF(COUNTIF($A$2:$A$1201,A146)&gt;1,"DUPLICATE","Unique")</f>
        <v>Unique</v>
      </c>
      <c r="P146" s="2" t="str">
        <f aca="false">IF(L146="","MISSING","OK")</f>
        <v>MISSING</v>
      </c>
      <c r="Q146" s="2" t="str">
        <f aca="false">IF(ISNUMBER(B146),"OK","BAD DATE")</f>
        <v>OK</v>
      </c>
      <c r="R146" s="2" t="str">
        <f aca="false">IF(ROUND(F146,2)=F146,"OK","FIX")</f>
        <v>OK</v>
      </c>
    </row>
    <row r="147" customFormat="false" ht="15" hidden="false" customHeight="false" outlineLevel="0" collapsed="false">
      <c r="A147" s="2" t="s">
        <v>612</v>
      </c>
      <c r="B147" s="3" t="n">
        <v>45353</v>
      </c>
      <c r="C147" s="2" t="s">
        <v>613</v>
      </c>
      <c r="D147" s="2" t="s">
        <v>52</v>
      </c>
      <c r="E147" s="2" t="n">
        <v>3</v>
      </c>
      <c r="F147" s="4" t="n">
        <v>146.91</v>
      </c>
      <c r="G147" s="2" t="s">
        <v>614</v>
      </c>
      <c r="H147" s="2" t="s">
        <v>38</v>
      </c>
      <c r="I147" s="2" t="s">
        <v>54</v>
      </c>
      <c r="J147" s="2" t="s">
        <v>615</v>
      </c>
      <c r="K147" s="2" t="n">
        <v>6</v>
      </c>
      <c r="L147" s="2" t="s">
        <v>41</v>
      </c>
      <c r="M147" s="2" t="s">
        <v>80</v>
      </c>
      <c r="N147" s="4" t="n">
        <v>440.73</v>
      </c>
      <c r="O147" s="2" t="str">
        <f aca="false">IF(COUNTIF($A$2:$A$1201,A147)&gt;1,"DUPLICATE","Unique")</f>
        <v>Unique</v>
      </c>
      <c r="P147" s="2" t="str">
        <f aca="false">IF(L147="","MISSING","OK")</f>
        <v>OK</v>
      </c>
      <c r="Q147" s="2" t="str">
        <f aca="false">IF(ISNUMBER(B147),"OK","BAD DATE")</f>
        <v>OK</v>
      </c>
      <c r="R147" s="2" t="str">
        <f aca="false">IF(ROUND(F147,2)=F147,"OK","FIX")</f>
        <v>OK</v>
      </c>
    </row>
    <row r="148" customFormat="false" ht="15" hidden="false" customHeight="false" outlineLevel="0" collapsed="false">
      <c r="A148" s="2" t="s">
        <v>616</v>
      </c>
      <c r="B148" s="3" t="n">
        <v>45777</v>
      </c>
      <c r="C148" s="2" t="s">
        <v>617</v>
      </c>
      <c r="D148" s="2" t="s">
        <v>36</v>
      </c>
      <c r="E148" s="2" t="n">
        <v>2</v>
      </c>
      <c r="F148" s="4" t="n">
        <v>411.49</v>
      </c>
      <c r="G148" s="2" t="s">
        <v>618</v>
      </c>
      <c r="H148" s="2" t="s">
        <v>38</v>
      </c>
      <c r="I148" s="2" t="s">
        <v>47</v>
      </c>
      <c r="J148" s="2" t="s">
        <v>619</v>
      </c>
      <c r="K148" s="2" t="n">
        <v>4</v>
      </c>
      <c r="L148" s="2"/>
      <c r="M148" s="2" t="s">
        <v>26</v>
      </c>
      <c r="N148" s="4" t="n">
        <v>822.98</v>
      </c>
      <c r="O148" s="2" t="str">
        <f aca="false">IF(COUNTIF($A$2:$A$1201,A148)&gt;1,"DUPLICATE","Unique")</f>
        <v>Unique</v>
      </c>
      <c r="P148" s="2" t="str">
        <f aca="false">IF(L148="","MISSING","OK")</f>
        <v>MISSING</v>
      </c>
      <c r="Q148" s="2" t="str">
        <f aca="false">IF(ISNUMBER(B148),"OK","BAD DATE")</f>
        <v>OK</v>
      </c>
      <c r="R148" s="2" t="str">
        <f aca="false">IF(ROUND(F148,2)=F148,"OK","FIX")</f>
        <v>OK</v>
      </c>
    </row>
    <row r="149" customFormat="false" ht="15" hidden="false" customHeight="false" outlineLevel="0" collapsed="false">
      <c r="A149" s="2" t="s">
        <v>620</v>
      </c>
      <c r="B149" s="3" t="n">
        <v>45783</v>
      </c>
      <c r="C149" s="2" t="s">
        <v>621</v>
      </c>
      <c r="D149" s="2" t="s">
        <v>62</v>
      </c>
      <c r="E149" s="2" t="n">
        <v>2</v>
      </c>
      <c r="F149" s="4" t="n">
        <v>465.18</v>
      </c>
      <c r="G149" s="2" t="s">
        <v>622</v>
      </c>
      <c r="H149" s="2" t="s">
        <v>38</v>
      </c>
      <c r="I149" s="2" t="s">
        <v>39</v>
      </c>
      <c r="J149" s="2" t="s">
        <v>623</v>
      </c>
      <c r="K149" s="2" t="n">
        <v>2</v>
      </c>
      <c r="L149" s="2" t="s">
        <v>25</v>
      </c>
      <c r="M149" s="2" t="s">
        <v>80</v>
      </c>
      <c r="N149" s="4" t="n">
        <v>930.36</v>
      </c>
      <c r="O149" s="2" t="str">
        <f aca="false">IF(COUNTIF($A$2:$A$1201,A149)&gt;1,"DUPLICATE","Unique")</f>
        <v>Unique</v>
      </c>
      <c r="P149" s="2" t="str">
        <f aca="false">IF(L149="","MISSING","OK")</f>
        <v>OK</v>
      </c>
      <c r="Q149" s="2" t="str">
        <f aca="false">IF(ISNUMBER(B149),"OK","BAD DATE")</f>
        <v>OK</v>
      </c>
      <c r="R149" s="2" t="str">
        <f aca="false">IF(ROUND(F149,2)=F149,"OK","FIX")</f>
        <v>OK</v>
      </c>
    </row>
    <row r="150" customFormat="false" ht="15" hidden="false" customHeight="false" outlineLevel="0" collapsed="false">
      <c r="A150" s="2" t="s">
        <v>624</v>
      </c>
      <c r="B150" s="3" t="n">
        <v>45641</v>
      </c>
      <c r="C150" s="2" t="s">
        <v>625</v>
      </c>
      <c r="D150" s="2" t="s">
        <v>29</v>
      </c>
      <c r="E150" s="2" t="n">
        <v>2</v>
      </c>
      <c r="F150" s="4" t="n">
        <v>319.91</v>
      </c>
      <c r="G150" s="2" t="s">
        <v>626</v>
      </c>
      <c r="H150" s="2" t="s">
        <v>38</v>
      </c>
      <c r="I150" s="2" t="s">
        <v>39</v>
      </c>
      <c r="J150" s="2" t="s">
        <v>627</v>
      </c>
      <c r="K150" s="2" t="n">
        <v>3</v>
      </c>
      <c r="L150" s="2" t="s">
        <v>85</v>
      </c>
      <c r="M150" s="2" t="s">
        <v>80</v>
      </c>
      <c r="N150" s="4" t="n">
        <v>639.82</v>
      </c>
      <c r="O150" s="2" t="str">
        <f aca="false">IF(COUNTIF($A$2:$A$1201,A150)&gt;1,"DUPLICATE","Unique")</f>
        <v>Unique</v>
      </c>
      <c r="P150" s="2" t="str">
        <f aca="false">IF(L150="","MISSING","OK")</f>
        <v>OK</v>
      </c>
      <c r="Q150" s="2" t="str">
        <f aca="false">IF(ISNUMBER(B150),"OK","BAD DATE")</f>
        <v>OK</v>
      </c>
      <c r="R150" s="2" t="str">
        <f aca="false">IF(ROUND(F150,2)=F150,"OK","FIX")</f>
        <v>OK</v>
      </c>
    </row>
    <row r="151" customFormat="false" ht="15" hidden="false" customHeight="false" outlineLevel="0" collapsed="false">
      <c r="A151" s="2" t="s">
        <v>628</v>
      </c>
      <c r="B151" s="3" t="n">
        <v>45287</v>
      </c>
      <c r="C151" s="2" t="s">
        <v>629</v>
      </c>
      <c r="D151" s="2" t="s">
        <v>62</v>
      </c>
      <c r="E151" s="2" t="n">
        <v>1</v>
      </c>
      <c r="F151" s="4" t="n">
        <v>217.56</v>
      </c>
      <c r="G151" s="2" t="s">
        <v>630</v>
      </c>
      <c r="H151" s="2" t="s">
        <v>22</v>
      </c>
      <c r="I151" s="2" t="s">
        <v>54</v>
      </c>
      <c r="J151" s="2" t="s">
        <v>631</v>
      </c>
      <c r="K151" s="2" t="n">
        <v>3</v>
      </c>
      <c r="L151" s="2"/>
      <c r="M151" s="2" t="s">
        <v>49</v>
      </c>
      <c r="N151" s="4" t="n">
        <v>217.56</v>
      </c>
      <c r="O151" s="2" t="str">
        <f aca="false">IF(COUNTIF($A$2:$A$1201,A151)&gt;1,"DUPLICATE","Unique")</f>
        <v>Unique</v>
      </c>
      <c r="P151" s="2" t="str">
        <f aca="false">IF(L151="","MISSING","OK")</f>
        <v>MISSING</v>
      </c>
      <c r="Q151" s="2" t="str">
        <f aca="false">IF(ISNUMBER(B151),"OK","BAD DATE")</f>
        <v>OK</v>
      </c>
      <c r="R151" s="2" t="str">
        <f aca="false">IF(ROUND(F151,2)=F151,"OK","FIX")</f>
        <v>OK</v>
      </c>
    </row>
    <row r="152" customFormat="false" ht="15" hidden="false" customHeight="false" outlineLevel="0" collapsed="false">
      <c r="A152" s="2" t="s">
        <v>632</v>
      </c>
      <c r="B152" s="3" t="n">
        <v>45273</v>
      </c>
      <c r="C152" s="2" t="s">
        <v>633</v>
      </c>
      <c r="D152" s="2" t="s">
        <v>29</v>
      </c>
      <c r="E152" s="2" t="n">
        <v>2</v>
      </c>
      <c r="F152" s="4" t="n">
        <v>105.57</v>
      </c>
      <c r="G152" s="2" t="s">
        <v>634</v>
      </c>
      <c r="H152" s="2" t="s">
        <v>22</v>
      </c>
      <c r="I152" s="2" t="s">
        <v>47</v>
      </c>
      <c r="J152" s="2" t="s">
        <v>635</v>
      </c>
      <c r="K152" s="2" t="n">
        <v>5</v>
      </c>
      <c r="L152" s="2" t="s">
        <v>85</v>
      </c>
      <c r="M152" s="2" t="s">
        <v>80</v>
      </c>
      <c r="N152" s="4" t="n">
        <v>211.14</v>
      </c>
      <c r="O152" s="2" t="str">
        <f aca="false">IF(COUNTIF($A$2:$A$1201,A152)&gt;1,"DUPLICATE","Unique")</f>
        <v>Unique</v>
      </c>
      <c r="P152" s="2" t="str">
        <f aca="false">IF(L152="","MISSING","OK")</f>
        <v>OK</v>
      </c>
      <c r="Q152" s="2" t="str">
        <f aca="false">IF(ISNUMBER(B152),"OK","BAD DATE")</f>
        <v>OK</v>
      </c>
      <c r="R152" s="2" t="str">
        <f aca="false">IF(ROUND(F152,2)=F152,"OK","FIX")</f>
        <v>OK</v>
      </c>
    </row>
    <row r="153" customFormat="false" ht="15" hidden="false" customHeight="false" outlineLevel="0" collapsed="false">
      <c r="A153" s="2" t="s">
        <v>636</v>
      </c>
      <c r="B153" s="3" t="n">
        <v>45261</v>
      </c>
      <c r="C153" s="2" t="s">
        <v>637</v>
      </c>
      <c r="D153" s="2" t="s">
        <v>52</v>
      </c>
      <c r="E153" s="2" t="n">
        <v>5</v>
      </c>
      <c r="F153" s="4" t="n">
        <v>444.76</v>
      </c>
      <c r="G153" s="2" t="s">
        <v>638</v>
      </c>
      <c r="H153" s="2" t="s">
        <v>22</v>
      </c>
      <c r="I153" s="2" t="s">
        <v>47</v>
      </c>
      <c r="J153" s="2" t="s">
        <v>639</v>
      </c>
      <c r="K153" s="2" t="n">
        <v>7</v>
      </c>
      <c r="L153" s="2"/>
      <c r="M153" s="2" t="s">
        <v>42</v>
      </c>
      <c r="N153" s="4" t="n">
        <v>2223.8</v>
      </c>
      <c r="O153" s="2" t="str">
        <f aca="false">IF(COUNTIF($A$2:$A$1201,A153)&gt;1,"DUPLICATE","Unique")</f>
        <v>Unique</v>
      </c>
      <c r="P153" s="2" t="str">
        <f aca="false">IF(L153="","MISSING","OK")</f>
        <v>MISSING</v>
      </c>
      <c r="Q153" s="2" t="str">
        <f aca="false">IF(ISNUMBER(B153),"OK","BAD DATE")</f>
        <v>OK</v>
      </c>
      <c r="R153" s="2" t="str">
        <f aca="false">IF(ROUND(F153,2)=F153,"OK","FIX")</f>
        <v>OK</v>
      </c>
    </row>
    <row r="154" customFormat="false" ht="15" hidden="false" customHeight="false" outlineLevel="0" collapsed="false">
      <c r="A154" s="2" t="s">
        <v>640</v>
      </c>
      <c r="B154" s="3" t="n">
        <v>45659</v>
      </c>
      <c r="C154" s="2" t="s">
        <v>641</v>
      </c>
      <c r="D154" s="2" t="s">
        <v>45</v>
      </c>
      <c r="E154" s="2" t="n">
        <v>2</v>
      </c>
      <c r="F154" s="4" t="n">
        <v>399.04</v>
      </c>
      <c r="G154" s="2" t="s">
        <v>642</v>
      </c>
      <c r="H154" s="2" t="s">
        <v>69</v>
      </c>
      <c r="I154" s="2" t="s">
        <v>39</v>
      </c>
      <c r="J154" s="2" t="s">
        <v>643</v>
      </c>
      <c r="K154" s="2" t="n">
        <v>3</v>
      </c>
      <c r="L154" s="2" t="s">
        <v>41</v>
      </c>
      <c r="M154" s="2" t="s">
        <v>33</v>
      </c>
      <c r="N154" s="4" t="n">
        <v>798.08</v>
      </c>
      <c r="O154" s="2" t="str">
        <f aca="false">IF(COUNTIF($A$2:$A$1201,A154)&gt;1,"DUPLICATE","Unique")</f>
        <v>Unique</v>
      </c>
      <c r="P154" s="2" t="str">
        <f aca="false">IF(L154="","MISSING","OK")</f>
        <v>OK</v>
      </c>
      <c r="Q154" s="2" t="str">
        <f aca="false">IF(ISNUMBER(B154),"OK","BAD DATE")</f>
        <v>OK</v>
      </c>
      <c r="R154" s="2" t="str">
        <f aca="false">IF(ROUND(F154,2)=F154,"OK","FIX")</f>
        <v>OK</v>
      </c>
    </row>
    <row r="155" customFormat="false" ht="15" hidden="false" customHeight="false" outlineLevel="0" collapsed="false">
      <c r="A155" s="2" t="s">
        <v>644</v>
      </c>
      <c r="B155" s="3" t="n">
        <v>45644</v>
      </c>
      <c r="C155" s="2" t="s">
        <v>645</v>
      </c>
      <c r="D155" s="2" t="s">
        <v>45</v>
      </c>
      <c r="E155" s="2" t="n">
        <v>4</v>
      </c>
      <c r="F155" s="4" t="n">
        <v>534.48</v>
      </c>
      <c r="G155" s="2" t="s">
        <v>646</v>
      </c>
      <c r="H155" s="2" t="s">
        <v>31</v>
      </c>
      <c r="I155" s="2" t="s">
        <v>47</v>
      </c>
      <c r="J155" s="2" t="s">
        <v>647</v>
      </c>
      <c r="K155" s="2" t="n">
        <v>9</v>
      </c>
      <c r="L155" s="2" t="s">
        <v>85</v>
      </c>
      <c r="M155" s="2" t="s">
        <v>26</v>
      </c>
      <c r="N155" s="4" t="n">
        <v>2137.92</v>
      </c>
      <c r="O155" s="2" t="str">
        <f aca="false">IF(COUNTIF($A$2:$A$1201,A155)&gt;1,"DUPLICATE","Unique")</f>
        <v>Unique</v>
      </c>
      <c r="P155" s="2" t="str">
        <f aca="false">IF(L155="","MISSING","OK")</f>
        <v>OK</v>
      </c>
      <c r="Q155" s="2" t="str">
        <f aca="false">IF(ISNUMBER(B155),"OK","BAD DATE")</f>
        <v>OK</v>
      </c>
      <c r="R155" s="2" t="str">
        <f aca="false">IF(ROUND(F155,2)=F155,"OK","FIX")</f>
        <v>OK</v>
      </c>
    </row>
    <row r="156" customFormat="false" ht="15" hidden="false" customHeight="false" outlineLevel="0" collapsed="false">
      <c r="A156" s="2" t="s">
        <v>648</v>
      </c>
      <c r="B156" s="3" t="n">
        <v>45127</v>
      </c>
      <c r="C156" s="2" t="s">
        <v>649</v>
      </c>
      <c r="D156" s="2" t="s">
        <v>29</v>
      </c>
      <c r="E156" s="2" t="n">
        <v>4</v>
      </c>
      <c r="F156" s="4" t="n">
        <v>408.21</v>
      </c>
      <c r="G156" s="2" t="s">
        <v>529</v>
      </c>
      <c r="H156" s="2" t="s">
        <v>38</v>
      </c>
      <c r="I156" s="2" t="s">
        <v>93</v>
      </c>
      <c r="J156" s="2" t="s">
        <v>650</v>
      </c>
      <c r="K156" s="2" t="n">
        <v>9</v>
      </c>
      <c r="L156" s="2"/>
      <c r="M156" s="2" t="s">
        <v>26</v>
      </c>
      <c r="N156" s="4" t="n">
        <v>1632.84</v>
      </c>
      <c r="O156" s="2" t="str">
        <f aca="false">IF(COUNTIF($A$2:$A$1201,A156)&gt;1,"DUPLICATE","Unique")</f>
        <v>Unique</v>
      </c>
      <c r="P156" s="2" t="str">
        <f aca="false">IF(L156="","MISSING","OK")</f>
        <v>MISSING</v>
      </c>
      <c r="Q156" s="2" t="str">
        <f aca="false">IF(ISNUMBER(B156),"OK","BAD DATE")</f>
        <v>OK</v>
      </c>
      <c r="R156" s="2" t="str">
        <f aca="false">IF(ROUND(F156,2)=F156,"OK","FIX")</f>
        <v>OK</v>
      </c>
    </row>
    <row r="157" customFormat="false" ht="15" hidden="false" customHeight="false" outlineLevel="0" collapsed="false">
      <c r="A157" s="2" t="s">
        <v>651</v>
      </c>
      <c r="B157" s="3" t="n">
        <v>44984</v>
      </c>
      <c r="C157" s="2" t="s">
        <v>652</v>
      </c>
      <c r="D157" s="2" t="s">
        <v>29</v>
      </c>
      <c r="E157" s="2" t="n">
        <v>1</v>
      </c>
      <c r="F157" s="4" t="n">
        <v>424.4</v>
      </c>
      <c r="G157" s="2" t="s">
        <v>242</v>
      </c>
      <c r="H157" s="2" t="s">
        <v>31</v>
      </c>
      <c r="I157" s="2" t="s">
        <v>23</v>
      </c>
      <c r="J157" s="2" t="s">
        <v>653</v>
      </c>
      <c r="K157" s="2" t="n">
        <v>6</v>
      </c>
      <c r="L157" s="2" t="s">
        <v>85</v>
      </c>
      <c r="M157" s="2" t="s">
        <v>33</v>
      </c>
      <c r="N157" s="4" t="n">
        <v>424.4</v>
      </c>
      <c r="O157" s="2" t="str">
        <f aca="false">IF(COUNTIF($A$2:$A$1201,A157)&gt;1,"DUPLICATE","Unique")</f>
        <v>Unique</v>
      </c>
      <c r="P157" s="2" t="str">
        <f aca="false">IF(L157="","MISSING","OK")</f>
        <v>OK</v>
      </c>
      <c r="Q157" s="2" t="str">
        <f aca="false">IF(ISNUMBER(B157),"OK","BAD DATE")</f>
        <v>OK</v>
      </c>
      <c r="R157" s="2" t="str">
        <f aca="false">IF(ROUND(F157,2)=F157,"OK","FIX")</f>
        <v>OK</v>
      </c>
    </row>
    <row r="158" customFormat="false" ht="15" hidden="false" customHeight="false" outlineLevel="0" collapsed="false">
      <c r="A158" s="2" t="s">
        <v>654</v>
      </c>
      <c r="B158" s="3" t="n">
        <v>45604</v>
      </c>
      <c r="C158" s="2" t="s">
        <v>655</v>
      </c>
      <c r="D158" s="2" t="s">
        <v>45</v>
      </c>
      <c r="E158" s="2" t="n">
        <v>2</v>
      </c>
      <c r="F158" s="4" t="n">
        <v>269.83</v>
      </c>
      <c r="G158" s="2" t="s">
        <v>656</v>
      </c>
      <c r="H158" s="2" t="s">
        <v>31</v>
      </c>
      <c r="I158" s="2" t="s">
        <v>54</v>
      </c>
      <c r="J158" s="2" t="s">
        <v>657</v>
      </c>
      <c r="K158" s="2" t="n">
        <v>4</v>
      </c>
      <c r="L158" s="2" t="s">
        <v>25</v>
      </c>
      <c r="M158" s="2" t="s">
        <v>42</v>
      </c>
      <c r="N158" s="4" t="n">
        <v>539.66</v>
      </c>
      <c r="O158" s="2" t="str">
        <f aca="false">IF(COUNTIF($A$2:$A$1201,A158)&gt;1,"DUPLICATE","Unique")</f>
        <v>Unique</v>
      </c>
      <c r="P158" s="2" t="str">
        <f aca="false">IF(L158="","MISSING","OK")</f>
        <v>OK</v>
      </c>
      <c r="Q158" s="2" t="str">
        <f aca="false">IF(ISNUMBER(B158),"OK","BAD DATE")</f>
        <v>OK</v>
      </c>
      <c r="R158" s="2" t="str">
        <f aca="false">IF(ROUND(F158,2)=F158,"OK","FIX")</f>
        <v>OK</v>
      </c>
    </row>
    <row r="159" customFormat="false" ht="15" hidden="false" customHeight="false" outlineLevel="0" collapsed="false">
      <c r="A159" s="2" t="s">
        <v>658</v>
      </c>
      <c r="B159" s="3" t="n">
        <v>45709</v>
      </c>
      <c r="C159" s="2" t="s">
        <v>659</v>
      </c>
      <c r="D159" s="2" t="s">
        <v>20</v>
      </c>
      <c r="E159" s="2" t="n">
        <v>2</v>
      </c>
      <c r="F159" s="4" t="n">
        <v>564.58</v>
      </c>
      <c r="G159" s="2" t="s">
        <v>569</v>
      </c>
      <c r="H159" s="2" t="s">
        <v>31</v>
      </c>
      <c r="I159" s="2" t="s">
        <v>47</v>
      </c>
      <c r="J159" s="2" t="s">
        <v>660</v>
      </c>
      <c r="K159" s="2" t="n">
        <v>4</v>
      </c>
      <c r="L159" s="2" t="s">
        <v>85</v>
      </c>
      <c r="M159" s="2" t="s">
        <v>49</v>
      </c>
      <c r="N159" s="4" t="n">
        <v>1129.16</v>
      </c>
      <c r="O159" s="2" t="str">
        <f aca="false">IF(COUNTIF($A$2:$A$1201,A159)&gt;1,"DUPLICATE","Unique")</f>
        <v>Unique</v>
      </c>
      <c r="P159" s="2" t="str">
        <f aca="false">IF(L159="","MISSING","OK")</f>
        <v>OK</v>
      </c>
      <c r="Q159" s="2" t="str">
        <f aca="false">IF(ISNUMBER(B159),"OK","BAD DATE")</f>
        <v>OK</v>
      </c>
      <c r="R159" s="2" t="str">
        <f aca="false">IF(ROUND(F159,2)=F159,"OK","FIX")</f>
        <v>OK</v>
      </c>
    </row>
    <row r="160" customFormat="false" ht="15" hidden="false" customHeight="false" outlineLevel="0" collapsed="false">
      <c r="A160" s="2" t="s">
        <v>661</v>
      </c>
      <c r="B160" s="3" t="n">
        <v>45428</v>
      </c>
      <c r="C160" s="2" t="s">
        <v>662</v>
      </c>
      <c r="D160" s="2" t="s">
        <v>36</v>
      </c>
      <c r="E160" s="2" t="n">
        <v>1</v>
      </c>
      <c r="F160" s="4" t="n">
        <v>331.06</v>
      </c>
      <c r="G160" s="2" t="s">
        <v>663</v>
      </c>
      <c r="H160" s="2" t="s">
        <v>38</v>
      </c>
      <c r="I160" s="2" t="s">
        <v>93</v>
      </c>
      <c r="J160" s="2" t="s">
        <v>664</v>
      </c>
      <c r="K160" s="2" t="n">
        <v>5</v>
      </c>
      <c r="L160" s="2" t="s">
        <v>85</v>
      </c>
      <c r="M160" s="2" t="s">
        <v>26</v>
      </c>
      <c r="N160" s="4" t="n">
        <v>331.06</v>
      </c>
      <c r="O160" s="2" t="str">
        <f aca="false">IF(COUNTIF($A$2:$A$1201,A160)&gt;1,"DUPLICATE","Unique")</f>
        <v>Unique</v>
      </c>
      <c r="P160" s="2" t="str">
        <f aca="false">IF(L160="","MISSING","OK")</f>
        <v>OK</v>
      </c>
      <c r="Q160" s="2" t="str">
        <f aca="false">IF(ISNUMBER(B160),"OK","BAD DATE")</f>
        <v>OK</v>
      </c>
      <c r="R160" s="2" t="str">
        <f aca="false">IF(ROUND(F160,2)=F160,"OK","FIX")</f>
        <v>OK</v>
      </c>
    </row>
    <row r="161" customFormat="false" ht="15" hidden="false" customHeight="false" outlineLevel="0" collapsed="false">
      <c r="A161" s="2" t="s">
        <v>665</v>
      </c>
      <c r="B161" s="3" t="n">
        <v>45230</v>
      </c>
      <c r="C161" s="2" t="s">
        <v>666</v>
      </c>
      <c r="D161" s="2" t="s">
        <v>52</v>
      </c>
      <c r="E161" s="2" t="n">
        <v>1</v>
      </c>
      <c r="F161" s="4" t="n">
        <v>299.35</v>
      </c>
      <c r="G161" s="2" t="s">
        <v>667</v>
      </c>
      <c r="H161" s="2" t="s">
        <v>38</v>
      </c>
      <c r="I161" s="2" t="s">
        <v>39</v>
      </c>
      <c r="J161" s="2" t="s">
        <v>668</v>
      </c>
      <c r="K161" s="2" t="n">
        <v>5</v>
      </c>
      <c r="L161" s="2" t="s">
        <v>85</v>
      </c>
      <c r="M161" s="2" t="s">
        <v>42</v>
      </c>
      <c r="N161" s="4" t="n">
        <v>299.35</v>
      </c>
      <c r="O161" s="2" t="str">
        <f aca="false">IF(COUNTIF($A$2:$A$1201,A161)&gt;1,"DUPLICATE","Unique")</f>
        <v>Unique</v>
      </c>
      <c r="P161" s="2" t="str">
        <f aca="false">IF(L161="","MISSING","OK")</f>
        <v>OK</v>
      </c>
      <c r="Q161" s="2" t="str">
        <f aca="false">IF(ISNUMBER(B161),"OK","BAD DATE")</f>
        <v>OK</v>
      </c>
      <c r="R161" s="2" t="str">
        <f aca="false">IF(ROUND(F161,2)=F161,"OK","FIX")</f>
        <v>OK</v>
      </c>
    </row>
    <row r="162" customFormat="false" ht="15" hidden="false" customHeight="false" outlineLevel="0" collapsed="false">
      <c r="A162" s="2" t="s">
        <v>669</v>
      </c>
      <c r="B162" s="3" t="n">
        <v>44974</v>
      </c>
      <c r="C162" s="2" t="s">
        <v>670</v>
      </c>
      <c r="D162" s="2" t="s">
        <v>20</v>
      </c>
      <c r="E162" s="2" t="n">
        <v>4</v>
      </c>
      <c r="F162" s="4" t="n">
        <v>101.32</v>
      </c>
      <c r="G162" s="2" t="s">
        <v>671</v>
      </c>
      <c r="H162" s="2" t="s">
        <v>69</v>
      </c>
      <c r="I162" s="2" t="s">
        <v>93</v>
      </c>
      <c r="J162" s="2" t="s">
        <v>672</v>
      </c>
      <c r="K162" s="2" t="n">
        <v>7</v>
      </c>
      <c r="L162" s="2"/>
      <c r="M162" s="2" t="s">
        <v>33</v>
      </c>
      <c r="N162" s="4" t="n">
        <v>405.28</v>
      </c>
      <c r="O162" s="2" t="str">
        <f aca="false">IF(COUNTIF($A$2:$A$1201,A162)&gt;1,"DUPLICATE","Unique")</f>
        <v>Unique</v>
      </c>
      <c r="P162" s="2" t="str">
        <f aca="false">IF(L162="","MISSING","OK")</f>
        <v>MISSING</v>
      </c>
      <c r="Q162" s="2" t="str">
        <f aca="false">IF(ISNUMBER(B162),"OK","BAD DATE")</f>
        <v>OK</v>
      </c>
      <c r="R162" s="2" t="str">
        <f aca="false">IF(ROUND(F162,2)=F162,"OK","FIX")</f>
        <v>OK</v>
      </c>
    </row>
    <row r="163" customFormat="false" ht="15" hidden="false" customHeight="false" outlineLevel="0" collapsed="false">
      <c r="A163" s="2" t="s">
        <v>673</v>
      </c>
      <c r="B163" s="3" t="n">
        <v>45380</v>
      </c>
      <c r="C163" s="2" t="s">
        <v>674</v>
      </c>
      <c r="D163" s="2" t="s">
        <v>20</v>
      </c>
      <c r="E163" s="2" t="n">
        <v>1</v>
      </c>
      <c r="F163" s="4" t="n">
        <v>211.14</v>
      </c>
      <c r="G163" s="2" t="s">
        <v>557</v>
      </c>
      <c r="H163" s="2" t="s">
        <v>38</v>
      </c>
      <c r="I163" s="2" t="s">
        <v>39</v>
      </c>
      <c r="J163" s="2" t="s">
        <v>675</v>
      </c>
      <c r="K163" s="2" t="n">
        <v>1</v>
      </c>
      <c r="L163" s="2" t="s">
        <v>25</v>
      </c>
      <c r="M163" s="2" t="s">
        <v>49</v>
      </c>
      <c r="N163" s="4" t="n">
        <v>211.14</v>
      </c>
      <c r="O163" s="2" t="str">
        <f aca="false">IF(COUNTIF($A$2:$A$1201,A163)&gt;1,"DUPLICATE","Unique")</f>
        <v>Unique</v>
      </c>
      <c r="P163" s="2" t="str">
        <f aca="false">IF(L163="","MISSING","OK")</f>
        <v>OK</v>
      </c>
      <c r="Q163" s="2" t="str">
        <f aca="false">IF(ISNUMBER(B163),"OK","BAD DATE")</f>
        <v>OK</v>
      </c>
      <c r="R163" s="2" t="str">
        <f aca="false">IF(ROUND(F163,2)=F163,"OK","FIX")</f>
        <v>OK</v>
      </c>
    </row>
    <row r="164" customFormat="false" ht="15" hidden="false" customHeight="false" outlineLevel="0" collapsed="false">
      <c r="A164" s="2" t="s">
        <v>676</v>
      </c>
      <c r="B164" s="3" t="n">
        <v>45134</v>
      </c>
      <c r="C164" s="2" t="s">
        <v>677</v>
      </c>
      <c r="D164" s="2" t="s">
        <v>45</v>
      </c>
      <c r="E164" s="2" t="n">
        <v>3</v>
      </c>
      <c r="F164" s="4" t="n">
        <v>65.86</v>
      </c>
      <c r="G164" s="2" t="s">
        <v>339</v>
      </c>
      <c r="H164" s="2" t="s">
        <v>31</v>
      </c>
      <c r="I164" s="2" t="s">
        <v>93</v>
      </c>
      <c r="J164" s="2" t="s">
        <v>678</v>
      </c>
      <c r="K164" s="2" t="n">
        <v>8</v>
      </c>
      <c r="L164" s="2" t="s">
        <v>85</v>
      </c>
      <c r="M164" s="2" t="s">
        <v>80</v>
      </c>
      <c r="N164" s="4" t="n">
        <v>197.58</v>
      </c>
      <c r="O164" s="2" t="str">
        <f aca="false">IF(COUNTIF($A$2:$A$1201,A164)&gt;1,"DUPLICATE","Unique")</f>
        <v>Unique</v>
      </c>
      <c r="P164" s="2" t="str">
        <f aca="false">IF(L164="","MISSING","OK")</f>
        <v>OK</v>
      </c>
      <c r="Q164" s="2" t="str">
        <f aca="false">IF(ISNUMBER(B164),"OK","BAD DATE")</f>
        <v>OK</v>
      </c>
      <c r="R164" s="2" t="str">
        <f aca="false">IF(ROUND(F164,2)=F164,"OK","FIX")</f>
        <v>OK</v>
      </c>
    </row>
    <row r="165" customFormat="false" ht="15" hidden="false" customHeight="false" outlineLevel="0" collapsed="false">
      <c r="A165" s="2" t="s">
        <v>679</v>
      </c>
      <c r="B165" s="3" t="n">
        <v>45832</v>
      </c>
      <c r="C165" s="2" t="s">
        <v>680</v>
      </c>
      <c r="D165" s="2" t="s">
        <v>36</v>
      </c>
      <c r="E165" s="2" t="n">
        <v>1</v>
      </c>
      <c r="F165" s="4" t="n">
        <v>641.39</v>
      </c>
      <c r="G165" s="2" t="s">
        <v>681</v>
      </c>
      <c r="H165" s="2" t="s">
        <v>31</v>
      </c>
      <c r="I165" s="2" t="s">
        <v>39</v>
      </c>
      <c r="J165" s="2" t="s">
        <v>682</v>
      </c>
      <c r="K165" s="2" t="n">
        <v>1</v>
      </c>
      <c r="L165" s="2"/>
      <c r="M165" s="2" t="s">
        <v>33</v>
      </c>
      <c r="N165" s="4" t="n">
        <v>641.39</v>
      </c>
      <c r="O165" s="2" t="str">
        <f aca="false">IF(COUNTIF($A$2:$A$1201,A165)&gt;1,"DUPLICATE","Unique")</f>
        <v>Unique</v>
      </c>
      <c r="P165" s="2" t="str">
        <f aca="false">IF(L165="","MISSING","OK")</f>
        <v>MISSING</v>
      </c>
      <c r="Q165" s="2" t="str">
        <f aca="false">IF(ISNUMBER(B165),"OK","BAD DATE")</f>
        <v>OK</v>
      </c>
      <c r="R165" s="2" t="str">
        <f aca="false">IF(ROUND(F165,2)=F165,"OK","FIX")</f>
        <v>OK</v>
      </c>
    </row>
    <row r="166" customFormat="false" ht="15" hidden="false" customHeight="false" outlineLevel="0" collapsed="false">
      <c r="A166" s="2" t="s">
        <v>683</v>
      </c>
      <c r="B166" s="3" t="n">
        <v>45288</v>
      </c>
      <c r="C166" s="2" t="s">
        <v>684</v>
      </c>
      <c r="D166" s="2" t="s">
        <v>77</v>
      </c>
      <c r="E166" s="2" t="n">
        <v>5</v>
      </c>
      <c r="F166" s="4" t="n">
        <v>536.58</v>
      </c>
      <c r="G166" s="2" t="s">
        <v>685</v>
      </c>
      <c r="H166" s="2" t="s">
        <v>64</v>
      </c>
      <c r="I166" s="2" t="s">
        <v>93</v>
      </c>
      <c r="J166" s="2" t="s">
        <v>686</v>
      </c>
      <c r="K166" s="2" t="n">
        <v>5</v>
      </c>
      <c r="L166" s="2" t="s">
        <v>25</v>
      </c>
      <c r="M166" s="2" t="s">
        <v>80</v>
      </c>
      <c r="N166" s="4" t="n">
        <v>2682.9</v>
      </c>
      <c r="O166" s="2" t="str">
        <f aca="false">IF(COUNTIF($A$2:$A$1201,A166)&gt;1,"DUPLICATE","Unique")</f>
        <v>Unique</v>
      </c>
      <c r="P166" s="2" t="str">
        <f aca="false">IF(L166="","MISSING","OK")</f>
        <v>OK</v>
      </c>
      <c r="Q166" s="2" t="str">
        <f aca="false">IF(ISNUMBER(B166),"OK","BAD DATE")</f>
        <v>OK</v>
      </c>
      <c r="R166" s="2" t="str">
        <f aca="false">IF(ROUND(F166,2)=F166,"OK","FIX")</f>
        <v>OK</v>
      </c>
    </row>
    <row r="167" customFormat="false" ht="15" hidden="false" customHeight="false" outlineLevel="0" collapsed="false">
      <c r="A167" s="2" t="s">
        <v>687</v>
      </c>
      <c r="B167" s="3" t="n">
        <v>45549</v>
      </c>
      <c r="C167" s="2" t="s">
        <v>688</v>
      </c>
      <c r="D167" s="2" t="s">
        <v>20</v>
      </c>
      <c r="E167" s="2" t="n">
        <v>2</v>
      </c>
      <c r="F167" s="4" t="n">
        <v>500.29</v>
      </c>
      <c r="G167" s="2" t="s">
        <v>689</v>
      </c>
      <c r="H167" s="2" t="s">
        <v>31</v>
      </c>
      <c r="I167" s="2" t="s">
        <v>47</v>
      </c>
      <c r="J167" s="2" t="s">
        <v>690</v>
      </c>
      <c r="K167" s="2" t="n">
        <v>7</v>
      </c>
      <c r="L167" s="2" t="s">
        <v>85</v>
      </c>
      <c r="M167" s="2" t="s">
        <v>80</v>
      </c>
      <c r="N167" s="4" t="n">
        <v>1000.58</v>
      </c>
      <c r="O167" s="2" t="str">
        <f aca="false">IF(COUNTIF($A$2:$A$1201,A167)&gt;1,"DUPLICATE","Unique")</f>
        <v>Unique</v>
      </c>
      <c r="P167" s="2" t="str">
        <f aca="false">IF(L167="","MISSING","OK")</f>
        <v>OK</v>
      </c>
      <c r="Q167" s="2" t="str">
        <f aca="false">IF(ISNUMBER(B167),"OK","BAD DATE")</f>
        <v>OK</v>
      </c>
      <c r="R167" s="2" t="str">
        <f aca="false">IF(ROUND(F167,2)=F167,"OK","FIX")</f>
        <v>OK</v>
      </c>
    </row>
    <row r="168" customFormat="false" ht="15" hidden="false" customHeight="false" outlineLevel="0" collapsed="false">
      <c r="A168" s="2" t="s">
        <v>691</v>
      </c>
      <c r="B168" s="3" t="n">
        <v>45720</v>
      </c>
      <c r="C168" s="2" t="s">
        <v>692</v>
      </c>
      <c r="D168" s="2" t="s">
        <v>45</v>
      </c>
      <c r="E168" s="2" t="n">
        <v>3</v>
      </c>
      <c r="F168" s="4" t="n">
        <v>86.29</v>
      </c>
      <c r="G168" s="2" t="s">
        <v>261</v>
      </c>
      <c r="H168" s="2" t="s">
        <v>69</v>
      </c>
      <c r="I168" s="2" t="s">
        <v>54</v>
      </c>
      <c r="J168" s="2" t="s">
        <v>693</v>
      </c>
      <c r="K168" s="2" t="n">
        <v>6</v>
      </c>
      <c r="L168" s="2" t="s">
        <v>85</v>
      </c>
      <c r="M168" s="2" t="s">
        <v>26</v>
      </c>
      <c r="N168" s="4" t="n">
        <v>258.87</v>
      </c>
      <c r="O168" s="2" t="str">
        <f aca="false">IF(COUNTIF($A$2:$A$1201,A168)&gt;1,"DUPLICATE","Unique")</f>
        <v>Unique</v>
      </c>
      <c r="P168" s="2" t="str">
        <f aca="false">IF(L168="","MISSING","OK")</f>
        <v>OK</v>
      </c>
      <c r="Q168" s="2" t="str">
        <f aca="false">IF(ISNUMBER(B168),"OK","BAD DATE")</f>
        <v>OK</v>
      </c>
      <c r="R168" s="2" t="str">
        <f aca="false">IF(ROUND(F168,2)=F168,"OK","FIX")</f>
        <v>OK</v>
      </c>
    </row>
    <row r="169" customFormat="false" ht="15" hidden="false" customHeight="false" outlineLevel="0" collapsed="false">
      <c r="A169" s="2" t="s">
        <v>694</v>
      </c>
      <c r="B169" s="3" t="n">
        <v>45073</v>
      </c>
      <c r="C169" s="2" t="s">
        <v>695</v>
      </c>
      <c r="D169" s="2" t="s">
        <v>45</v>
      </c>
      <c r="E169" s="2" t="n">
        <v>2</v>
      </c>
      <c r="F169" s="4" t="n">
        <v>384.14</v>
      </c>
      <c r="G169" s="2" t="s">
        <v>696</v>
      </c>
      <c r="H169" s="2" t="s">
        <v>31</v>
      </c>
      <c r="I169" s="2" t="s">
        <v>47</v>
      </c>
      <c r="J169" s="2" t="s">
        <v>697</v>
      </c>
      <c r="K169" s="2" t="n">
        <v>2</v>
      </c>
      <c r="L169" s="2" t="s">
        <v>85</v>
      </c>
      <c r="M169" s="2" t="s">
        <v>42</v>
      </c>
      <c r="N169" s="4" t="n">
        <v>768.28</v>
      </c>
      <c r="O169" s="2" t="str">
        <f aca="false">IF(COUNTIF($A$2:$A$1201,A169)&gt;1,"DUPLICATE","Unique")</f>
        <v>Unique</v>
      </c>
      <c r="P169" s="2" t="str">
        <f aca="false">IF(L169="","MISSING","OK")</f>
        <v>OK</v>
      </c>
      <c r="Q169" s="2" t="str">
        <f aca="false">IF(ISNUMBER(B169),"OK","BAD DATE")</f>
        <v>OK</v>
      </c>
      <c r="R169" s="2" t="str">
        <f aca="false">IF(ROUND(F169,2)=F169,"OK","FIX")</f>
        <v>OK</v>
      </c>
    </row>
    <row r="170" customFormat="false" ht="15" hidden="false" customHeight="false" outlineLevel="0" collapsed="false">
      <c r="A170" s="2" t="s">
        <v>698</v>
      </c>
      <c r="B170" s="3" t="n">
        <v>45661</v>
      </c>
      <c r="C170" s="2" t="s">
        <v>699</v>
      </c>
      <c r="D170" s="2" t="s">
        <v>52</v>
      </c>
      <c r="E170" s="2" t="n">
        <v>1</v>
      </c>
      <c r="F170" s="4" t="n">
        <v>594.96</v>
      </c>
      <c r="G170" s="2" t="s">
        <v>700</v>
      </c>
      <c r="H170" s="2" t="s">
        <v>69</v>
      </c>
      <c r="I170" s="2" t="s">
        <v>47</v>
      </c>
      <c r="J170" s="2" t="s">
        <v>701</v>
      </c>
      <c r="K170" s="2" t="n">
        <v>6</v>
      </c>
      <c r="L170" s="2"/>
      <c r="M170" s="2" t="s">
        <v>49</v>
      </c>
      <c r="N170" s="4" t="n">
        <v>594.96</v>
      </c>
      <c r="O170" s="2" t="str">
        <f aca="false">IF(COUNTIF($A$2:$A$1201,A170)&gt;1,"DUPLICATE","Unique")</f>
        <v>Unique</v>
      </c>
      <c r="P170" s="2" t="str">
        <f aca="false">IF(L170="","MISSING","OK")</f>
        <v>MISSING</v>
      </c>
      <c r="Q170" s="2" t="str">
        <f aca="false">IF(ISNUMBER(B170),"OK","BAD DATE")</f>
        <v>OK</v>
      </c>
      <c r="R170" s="2" t="str">
        <f aca="false">IF(ROUND(F170,2)=F170,"OK","FIX")</f>
        <v>OK</v>
      </c>
    </row>
    <row r="171" customFormat="false" ht="15" hidden="false" customHeight="false" outlineLevel="0" collapsed="false">
      <c r="A171" s="2" t="s">
        <v>702</v>
      </c>
      <c r="B171" s="3" t="n">
        <v>45389</v>
      </c>
      <c r="C171" s="2" t="s">
        <v>703</v>
      </c>
      <c r="D171" s="2" t="s">
        <v>52</v>
      </c>
      <c r="E171" s="2" t="n">
        <v>1</v>
      </c>
      <c r="F171" s="4" t="n">
        <v>427.82</v>
      </c>
      <c r="G171" s="2" t="s">
        <v>704</v>
      </c>
      <c r="H171" s="2" t="s">
        <v>31</v>
      </c>
      <c r="I171" s="2" t="s">
        <v>54</v>
      </c>
      <c r="J171" s="2" t="s">
        <v>705</v>
      </c>
      <c r="K171" s="2" t="n">
        <v>2</v>
      </c>
      <c r="L171" s="2" t="s">
        <v>85</v>
      </c>
      <c r="M171" s="2" t="s">
        <v>42</v>
      </c>
      <c r="N171" s="4" t="n">
        <v>427.82</v>
      </c>
      <c r="O171" s="2" t="str">
        <f aca="false">IF(COUNTIF($A$2:$A$1201,A171)&gt;1,"DUPLICATE","Unique")</f>
        <v>Unique</v>
      </c>
      <c r="P171" s="2" t="str">
        <f aca="false">IF(L171="","MISSING","OK")</f>
        <v>OK</v>
      </c>
      <c r="Q171" s="2" t="str">
        <f aca="false">IF(ISNUMBER(B171),"OK","BAD DATE")</f>
        <v>OK</v>
      </c>
      <c r="R171" s="2" t="str">
        <f aca="false">IF(ROUND(F171,2)=F171,"OK","FIX")</f>
        <v>OK</v>
      </c>
    </row>
    <row r="172" customFormat="false" ht="15" hidden="false" customHeight="false" outlineLevel="0" collapsed="false">
      <c r="A172" s="2" t="s">
        <v>706</v>
      </c>
      <c r="B172" s="3" t="n">
        <v>45751</v>
      </c>
      <c r="C172" s="2" t="s">
        <v>707</v>
      </c>
      <c r="D172" s="2" t="s">
        <v>77</v>
      </c>
      <c r="E172" s="2" t="n">
        <v>4</v>
      </c>
      <c r="F172" s="4" t="n">
        <v>662.94</v>
      </c>
      <c r="G172" s="2" t="s">
        <v>708</v>
      </c>
      <c r="H172" s="2" t="s">
        <v>69</v>
      </c>
      <c r="I172" s="2" t="s">
        <v>39</v>
      </c>
      <c r="J172" s="2" t="s">
        <v>709</v>
      </c>
      <c r="K172" s="2" t="n">
        <v>8</v>
      </c>
      <c r="L172" s="2" t="s">
        <v>25</v>
      </c>
      <c r="M172" s="2" t="s">
        <v>26</v>
      </c>
      <c r="N172" s="4" t="n">
        <v>2651.76</v>
      </c>
      <c r="O172" s="2" t="str">
        <f aca="false">IF(COUNTIF($A$2:$A$1201,A172)&gt;1,"DUPLICATE","Unique")</f>
        <v>Unique</v>
      </c>
      <c r="P172" s="2" t="str">
        <f aca="false">IF(L172="","MISSING","OK")</f>
        <v>OK</v>
      </c>
      <c r="Q172" s="2" t="str">
        <f aca="false">IF(ISNUMBER(B172),"OK","BAD DATE")</f>
        <v>OK</v>
      </c>
      <c r="R172" s="2" t="str">
        <f aca="false">IF(ROUND(F172,2)=F172,"OK","FIX")</f>
        <v>OK</v>
      </c>
    </row>
    <row r="173" customFormat="false" ht="15" hidden="false" customHeight="false" outlineLevel="0" collapsed="false">
      <c r="A173" s="2" t="s">
        <v>710</v>
      </c>
      <c r="B173" s="3" t="n">
        <v>45153</v>
      </c>
      <c r="C173" s="2" t="s">
        <v>711</v>
      </c>
      <c r="D173" s="2" t="s">
        <v>36</v>
      </c>
      <c r="E173" s="2" t="n">
        <v>2</v>
      </c>
      <c r="F173" s="4" t="n">
        <v>148.22</v>
      </c>
      <c r="G173" s="2" t="s">
        <v>712</v>
      </c>
      <c r="H173" s="2" t="s">
        <v>38</v>
      </c>
      <c r="I173" s="2" t="s">
        <v>54</v>
      </c>
      <c r="J173" s="2" t="s">
        <v>713</v>
      </c>
      <c r="K173" s="2" t="n">
        <v>7</v>
      </c>
      <c r="L173" s="2" t="s">
        <v>85</v>
      </c>
      <c r="M173" s="2" t="s">
        <v>26</v>
      </c>
      <c r="N173" s="4" t="n">
        <v>296.44</v>
      </c>
      <c r="O173" s="2" t="str">
        <f aca="false">IF(COUNTIF($A$2:$A$1201,A173)&gt;1,"DUPLICATE","Unique")</f>
        <v>Unique</v>
      </c>
      <c r="P173" s="2" t="str">
        <f aca="false">IF(L173="","MISSING","OK")</f>
        <v>OK</v>
      </c>
      <c r="Q173" s="2" t="str">
        <f aca="false">IF(ISNUMBER(B173),"OK","BAD DATE")</f>
        <v>OK</v>
      </c>
      <c r="R173" s="2" t="str">
        <f aca="false">IF(ROUND(F173,2)=F173,"OK","FIX")</f>
        <v>OK</v>
      </c>
    </row>
    <row r="174" customFormat="false" ht="15" hidden="false" customHeight="false" outlineLevel="0" collapsed="false">
      <c r="A174" s="2" t="s">
        <v>714</v>
      </c>
      <c r="B174" s="3" t="n">
        <v>45753</v>
      </c>
      <c r="C174" s="2" t="s">
        <v>715</v>
      </c>
      <c r="D174" s="2" t="s">
        <v>52</v>
      </c>
      <c r="E174" s="2" t="n">
        <v>1</v>
      </c>
      <c r="F174" s="4" t="n">
        <v>254.12</v>
      </c>
      <c r="G174" s="2" t="s">
        <v>545</v>
      </c>
      <c r="H174" s="2" t="s">
        <v>31</v>
      </c>
      <c r="I174" s="2" t="s">
        <v>54</v>
      </c>
      <c r="J174" s="2" t="s">
        <v>716</v>
      </c>
      <c r="K174" s="2" t="n">
        <v>1</v>
      </c>
      <c r="L174" s="2" t="s">
        <v>85</v>
      </c>
      <c r="M174" s="2" t="s">
        <v>42</v>
      </c>
      <c r="N174" s="4" t="n">
        <v>254.12</v>
      </c>
      <c r="O174" s="2" t="str">
        <f aca="false">IF(COUNTIF($A$2:$A$1201,A174)&gt;1,"DUPLICATE","Unique")</f>
        <v>Unique</v>
      </c>
      <c r="P174" s="2" t="str">
        <f aca="false">IF(L174="","MISSING","OK")</f>
        <v>OK</v>
      </c>
      <c r="Q174" s="2" t="str">
        <f aca="false">IF(ISNUMBER(B174),"OK","BAD DATE")</f>
        <v>OK</v>
      </c>
      <c r="R174" s="2" t="str">
        <f aca="false">IF(ROUND(F174,2)=F174,"OK","FIX")</f>
        <v>OK</v>
      </c>
    </row>
    <row r="175" customFormat="false" ht="15" hidden="false" customHeight="false" outlineLevel="0" collapsed="false">
      <c r="A175" s="2" t="s">
        <v>717</v>
      </c>
      <c r="B175" s="3" t="n">
        <v>45375</v>
      </c>
      <c r="C175" s="2" t="s">
        <v>718</v>
      </c>
      <c r="D175" s="2" t="s">
        <v>29</v>
      </c>
      <c r="E175" s="2" t="n">
        <v>3</v>
      </c>
      <c r="F175" s="4" t="n">
        <v>664.46</v>
      </c>
      <c r="G175" s="2" t="s">
        <v>719</v>
      </c>
      <c r="H175" s="2" t="s">
        <v>31</v>
      </c>
      <c r="I175" s="2" t="s">
        <v>54</v>
      </c>
      <c r="J175" s="2" t="s">
        <v>720</v>
      </c>
      <c r="K175" s="2" t="n">
        <v>4</v>
      </c>
      <c r="L175" s="2" t="s">
        <v>41</v>
      </c>
      <c r="M175" s="2" t="s">
        <v>80</v>
      </c>
      <c r="N175" s="4" t="n">
        <v>1993.38</v>
      </c>
      <c r="O175" s="2" t="str">
        <f aca="false">IF(COUNTIF($A$2:$A$1201,A175)&gt;1,"DUPLICATE","Unique")</f>
        <v>Unique</v>
      </c>
      <c r="P175" s="2" t="str">
        <f aca="false">IF(L175="","MISSING","OK")</f>
        <v>OK</v>
      </c>
      <c r="Q175" s="2" t="str">
        <f aca="false">IF(ISNUMBER(B175),"OK","BAD DATE")</f>
        <v>OK</v>
      </c>
      <c r="R175" s="2" t="str">
        <f aca="false">IF(ROUND(F175,2)=F175,"OK","FIX")</f>
        <v>OK</v>
      </c>
    </row>
    <row r="176" customFormat="false" ht="15" hidden="false" customHeight="false" outlineLevel="0" collapsed="false">
      <c r="A176" s="2" t="s">
        <v>721</v>
      </c>
      <c r="B176" s="3" t="n">
        <v>45398</v>
      </c>
      <c r="C176" s="2" t="s">
        <v>722</v>
      </c>
      <c r="D176" s="2" t="s">
        <v>52</v>
      </c>
      <c r="E176" s="2" t="n">
        <v>4</v>
      </c>
      <c r="F176" s="4" t="n">
        <v>600.81</v>
      </c>
      <c r="G176" s="2" t="s">
        <v>723</v>
      </c>
      <c r="H176" s="2" t="s">
        <v>22</v>
      </c>
      <c r="I176" s="2" t="s">
        <v>54</v>
      </c>
      <c r="J176" s="2" t="s">
        <v>724</v>
      </c>
      <c r="K176" s="2" t="n">
        <v>9</v>
      </c>
      <c r="L176" s="2" t="s">
        <v>25</v>
      </c>
      <c r="M176" s="2" t="s">
        <v>42</v>
      </c>
      <c r="N176" s="4" t="n">
        <v>2403.24</v>
      </c>
      <c r="O176" s="2" t="str">
        <f aca="false">IF(COUNTIF($A$2:$A$1201,A176)&gt;1,"DUPLICATE","Unique")</f>
        <v>Unique</v>
      </c>
      <c r="P176" s="2" t="str">
        <f aca="false">IF(L176="","MISSING","OK")</f>
        <v>OK</v>
      </c>
      <c r="Q176" s="2" t="str">
        <f aca="false">IF(ISNUMBER(B176),"OK","BAD DATE")</f>
        <v>OK</v>
      </c>
      <c r="R176" s="2" t="str">
        <f aca="false">IF(ROUND(F176,2)=F176,"OK","FIX")</f>
        <v>OK</v>
      </c>
    </row>
    <row r="177" customFormat="false" ht="15" hidden="false" customHeight="false" outlineLevel="0" collapsed="false">
      <c r="A177" s="2" t="s">
        <v>725</v>
      </c>
      <c r="B177" s="3" t="n">
        <v>45696</v>
      </c>
      <c r="C177" s="2" t="s">
        <v>726</v>
      </c>
      <c r="D177" s="2" t="s">
        <v>45</v>
      </c>
      <c r="E177" s="2" t="n">
        <v>5</v>
      </c>
      <c r="F177" s="4" t="n">
        <v>68.34</v>
      </c>
      <c r="G177" s="2" t="s">
        <v>727</v>
      </c>
      <c r="H177" s="2" t="s">
        <v>22</v>
      </c>
      <c r="I177" s="2" t="s">
        <v>93</v>
      </c>
      <c r="J177" s="2" t="s">
        <v>728</v>
      </c>
      <c r="K177" s="2" t="n">
        <v>6</v>
      </c>
      <c r="L177" s="2" t="s">
        <v>85</v>
      </c>
      <c r="M177" s="2" t="s">
        <v>33</v>
      </c>
      <c r="N177" s="4" t="n">
        <v>341.7</v>
      </c>
      <c r="O177" s="2" t="str">
        <f aca="false">IF(COUNTIF($A$2:$A$1201,A177)&gt;1,"DUPLICATE","Unique")</f>
        <v>Unique</v>
      </c>
      <c r="P177" s="2" t="str">
        <f aca="false">IF(L177="","MISSING","OK")</f>
        <v>OK</v>
      </c>
      <c r="Q177" s="2" t="str">
        <f aca="false">IF(ISNUMBER(B177),"OK","BAD DATE")</f>
        <v>OK</v>
      </c>
      <c r="R177" s="2" t="str">
        <f aca="false">IF(ROUND(F177,2)=F177,"OK","FIX")</f>
        <v>OK</v>
      </c>
    </row>
    <row r="178" customFormat="false" ht="15" hidden="false" customHeight="false" outlineLevel="0" collapsed="false">
      <c r="A178" s="2" t="s">
        <v>729</v>
      </c>
      <c r="B178" s="3" t="n">
        <v>45836</v>
      </c>
      <c r="C178" s="2" t="s">
        <v>730</v>
      </c>
      <c r="D178" s="2" t="s">
        <v>36</v>
      </c>
      <c r="E178" s="2" t="n">
        <v>4</v>
      </c>
      <c r="F178" s="4" t="n">
        <v>430.83</v>
      </c>
      <c r="G178" s="2" t="s">
        <v>731</v>
      </c>
      <c r="H178" s="2" t="s">
        <v>64</v>
      </c>
      <c r="I178" s="2" t="s">
        <v>93</v>
      </c>
      <c r="J178" s="2" t="s">
        <v>732</v>
      </c>
      <c r="K178" s="2" t="n">
        <v>8</v>
      </c>
      <c r="L178" s="2" t="s">
        <v>85</v>
      </c>
      <c r="M178" s="2" t="s">
        <v>33</v>
      </c>
      <c r="N178" s="4" t="n">
        <v>1723.32</v>
      </c>
      <c r="O178" s="2" t="str">
        <f aca="false">IF(COUNTIF($A$2:$A$1201,A178)&gt;1,"DUPLICATE","Unique")</f>
        <v>Unique</v>
      </c>
      <c r="P178" s="2" t="str">
        <f aca="false">IF(L178="","MISSING","OK")</f>
        <v>OK</v>
      </c>
      <c r="Q178" s="2" t="str">
        <f aca="false">IF(ISNUMBER(B178),"OK","BAD DATE")</f>
        <v>OK</v>
      </c>
      <c r="R178" s="2" t="str">
        <f aca="false">IF(ROUND(F178,2)=F178,"OK","FIX")</f>
        <v>OK</v>
      </c>
    </row>
    <row r="179" customFormat="false" ht="15" hidden="false" customHeight="false" outlineLevel="0" collapsed="false">
      <c r="A179" s="2" t="s">
        <v>733</v>
      </c>
      <c r="B179" s="3" t="n">
        <v>45143</v>
      </c>
      <c r="C179" s="2" t="s">
        <v>734</v>
      </c>
      <c r="D179" s="2" t="s">
        <v>45</v>
      </c>
      <c r="E179" s="2" t="n">
        <v>5</v>
      </c>
      <c r="F179" s="4" t="n">
        <v>431.69</v>
      </c>
      <c r="G179" s="2" t="s">
        <v>735</v>
      </c>
      <c r="H179" s="2" t="s">
        <v>38</v>
      </c>
      <c r="I179" s="2" t="s">
        <v>93</v>
      </c>
      <c r="J179" s="2" t="s">
        <v>736</v>
      </c>
      <c r="K179" s="2" t="n">
        <v>10</v>
      </c>
      <c r="L179" s="2"/>
      <c r="M179" s="2" t="s">
        <v>49</v>
      </c>
      <c r="N179" s="4" t="n">
        <v>2158.45</v>
      </c>
      <c r="O179" s="2" t="str">
        <f aca="false">IF(COUNTIF($A$2:$A$1201,A179)&gt;1,"DUPLICATE","Unique")</f>
        <v>Unique</v>
      </c>
      <c r="P179" s="2" t="str">
        <f aca="false">IF(L179="","MISSING","OK")</f>
        <v>MISSING</v>
      </c>
      <c r="Q179" s="2" t="str">
        <f aca="false">IF(ISNUMBER(B179),"OK","BAD DATE")</f>
        <v>OK</v>
      </c>
      <c r="R179" s="2" t="str">
        <f aca="false">IF(ROUND(F179,2)=F179,"OK","FIX")</f>
        <v>OK</v>
      </c>
    </row>
    <row r="180" customFormat="false" ht="15" hidden="false" customHeight="false" outlineLevel="0" collapsed="false">
      <c r="A180" s="2" t="s">
        <v>737</v>
      </c>
      <c r="B180" s="3" t="n">
        <v>45393</v>
      </c>
      <c r="C180" s="2" t="s">
        <v>738</v>
      </c>
      <c r="D180" s="2" t="s">
        <v>45</v>
      </c>
      <c r="E180" s="2" t="n">
        <v>4</v>
      </c>
      <c r="F180" s="4" t="n">
        <v>512.06</v>
      </c>
      <c r="G180" s="2" t="s">
        <v>739</v>
      </c>
      <c r="H180" s="2" t="s">
        <v>31</v>
      </c>
      <c r="I180" s="2" t="s">
        <v>54</v>
      </c>
      <c r="J180" s="2" t="s">
        <v>740</v>
      </c>
      <c r="K180" s="2" t="n">
        <v>5</v>
      </c>
      <c r="L180" s="2" t="s">
        <v>25</v>
      </c>
      <c r="M180" s="2" t="s">
        <v>80</v>
      </c>
      <c r="N180" s="4" t="n">
        <v>2048.24</v>
      </c>
      <c r="O180" s="2" t="str">
        <f aca="false">IF(COUNTIF($A$2:$A$1201,A180)&gt;1,"DUPLICATE","Unique")</f>
        <v>Unique</v>
      </c>
      <c r="P180" s="2" t="str">
        <f aca="false">IF(L180="","MISSING","OK")</f>
        <v>OK</v>
      </c>
      <c r="Q180" s="2" t="str">
        <f aca="false">IF(ISNUMBER(B180),"OK","BAD DATE")</f>
        <v>OK</v>
      </c>
      <c r="R180" s="2" t="str">
        <f aca="false">IF(ROUND(F180,2)=F180,"OK","FIX")</f>
        <v>OK</v>
      </c>
    </row>
    <row r="181" customFormat="false" ht="15" hidden="false" customHeight="false" outlineLevel="0" collapsed="false">
      <c r="A181" s="2" t="s">
        <v>741</v>
      </c>
      <c r="B181" s="3" t="n">
        <v>45620</v>
      </c>
      <c r="C181" s="2" t="s">
        <v>742</v>
      </c>
      <c r="D181" s="2" t="s">
        <v>62</v>
      </c>
      <c r="E181" s="2" t="n">
        <v>3</v>
      </c>
      <c r="F181" s="4" t="n">
        <v>539.91</v>
      </c>
      <c r="G181" s="2" t="s">
        <v>743</v>
      </c>
      <c r="H181" s="2" t="s">
        <v>38</v>
      </c>
      <c r="I181" s="2" t="s">
        <v>54</v>
      </c>
      <c r="J181" s="2" t="s">
        <v>744</v>
      </c>
      <c r="K181" s="2" t="n">
        <v>8</v>
      </c>
      <c r="L181" s="2"/>
      <c r="M181" s="2" t="s">
        <v>42</v>
      </c>
      <c r="N181" s="4" t="n">
        <v>1619.73</v>
      </c>
      <c r="O181" s="2" t="str">
        <f aca="false">IF(COUNTIF($A$2:$A$1201,A181)&gt;1,"DUPLICATE","Unique")</f>
        <v>Unique</v>
      </c>
      <c r="P181" s="2" t="str">
        <f aca="false">IF(L181="","MISSING","OK")</f>
        <v>MISSING</v>
      </c>
      <c r="Q181" s="2" t="str">
        <f aca="false">IF(ISNUMBER(B181),"OK","BAD DATE")</f>
        <v>OK</v>
      </c>
      <c r="R181" s="2" t="str">
        <f aca="false">IF(ROUND(F181,2)=F181,"OK","FIX")</f>
        <v>OK</v>
      </c>
    </row>
    <row r="182" customFormat="false" ht="15" hidden="false" customHeight="false" outlineLevel="0" collapsed="false">
      <c r="A182" s="2" t="s">
        <v>745</v>
      </c>
      <c r="B182" s="3" t="n">
        <v>45003</v>
      </c>
      <c r="C182" s="2" t="s">
        <v>746</v>
      </c>
      <c r="D182" s="2" t="s">
        <v>36</v>
      </c>
      <c r="E182" s="2" t="n">
        <v>5</v>
      </c>
      <c r="F182" s="4" t="n">
        <v>316.07</v>
      </c>
      <c r="G182" s="2" t="s">
        <v>747</v>
      </c>
      <c r="H182" s="2" t="s">
        <v>69</v>
      </c>
      <c r="I182" s="2" t="s">
        <v>47</v>
      </c>
      <c r="J182" s="2" t="s">
        <v>748</v>
      </c>
      <c r="K182" s="2" t="n">
        <v>10</v>
      </c>
      <c r="L182" s="2"/>
      <c r="M182" s="2" t="s">
        <v>80</v>
      </c>
      <c r="N182" s="4" t="n">
        <v>1580.35</v>
      </c>
      <c r="O182" s="2" t="str">
        <f aca="false">IF(COUNTIF($A$2:$A$1201,A182)&gt;1,"DUPLICATE","Unique")</f>
        <v>Unique</v>
      </c>
      <c r="P182" s="2" t="str">
        <f aca="false">IF(L182="","MISSING","OK")</f>
        <v>MISSING</v>
      </c>
      <c r="Q182" s="2" t="str">
        <f aca="false">IF(ISNUMBER(B182),"OK","BAD DATE")</f>
        <v>OK</v>
      </c>
      <c r="R182" s="2" t="str">
        <f aca="false">IF(ROUND(F182,2)=F182,"OK","FIX")</f>
        <v>OK</v>
      </c>
    </row>
    <row r="183" customFormat="false" ht="15" hidden="false" customHeight="false" outlineLevel="0" collapsed="false">
      <c r="A183" s="2" t="s">
        <v>749</v>
      </c>
      <c r="B183" s="3" t="n">
        <v>45535</v>
      </c>
      <c r="C183" s="2" t="s">
        <v>750</v>
      </c>
      <c r="D183" s="2" t="s">
        <v>52</v>
      </c>
      <c r="E183" s="2" t="n">
        <v>5</v>
      </c>
      <c r="F183" s="4" t="n">
        <v>404.39</v>
      </c>
      <c r="G183" s="2" t="s">
        <v>751</v>
      </c>
      <c r="H183" s="2" t="s">
        <v>31</v>
      </c>
      <c r="I183" s="2" t="s">
        <v>23</v>
      </c>
      <c r="J183" s="2" t="s">
        <v>752</v>
      </c>
      <c r="K183" s="2" t="n">
        <v>10</v>
      </c>
      <c r="L183" s="2"/>
      <c r="M183" s="2" t="s">
        <v>33</v>
      </c>
      <c r="N183" s="4" t="n">
        <v>2021.95</v>
      </c>
      <c r="O183" s="2" t="str">
        <f aca="false">IF(COUNTIF($A$2:$A$1201,A183)&gt;1,"DUPLICATE","Unique")</f>
        <v>Unique</v>
      </c>
      <c r="P183" s="2" t="str">
        <f aca="false">IF(L183="","MISSING","OK")</f>
        <v>MISSING</v>
      </c>
      <c r="Q183" s="2" t="str">
        <f aca="false">IF(ISNUMBER(B183),"OK","BAD DATE")</f>
        <v>OK</v>
      </c>
      <c r="R183" s="2" t="str">
        <f aca="false">IF(ROUND(F183,2)=F183,"OK","FIX")</f>
        <v>OK</v>
      </c>
    </row>
    <row r="184" customFormat="false" ht="15" hidden="false" customHeight="false" outlineLevel="0" collapsed="false">
      <c r="A184" s="2" t="s">
        <v>753</v>
      </c>
      <c r="B184" s="3" t="n">
        <v>45735</v>
      </c>
      <c r="C184" s="2" t="s">
        <v>754</v>
      </c>
      <c r="D184" s="2" t="s">
        <v>77</v>
      </c>
      <c r="E184" s="2" t="n">
        <v>1</v>
      </c>
      <c r="F184" s="4" t="n">
        <v>600.54</v>
      </c>
      <c r="G184" s="2" t="s">
        <v>755</v>
      </c>
      <c r="H184" s="2" t="s">
        <v>22</v>
      </c>
      <c r="I184" s="2" t="s">
        <v>93</v>
      </c>
      <c r="J184" s="2" t="s">
        <v>756</v>
      </c>
      <c r="K184" s="2" t="n">
        <v>4</v>
      </c>
      <c r="L184" s="2" t="s">
        <v>85</v>
      </c>
      <c r="M184" s="2" t="s">
        <v>80</v>
      </c>
      <c r="N184" s="4" t="n">
        <v>600.54</v>
      </c>
      <c r="O184" s="2" t="str">
        <f aca="false">IF(COUNTIF($A$2:$A$1201,A184)&gt;1,"DUPLICATE","Unique")</f>
        <v>Unique</v>
      </c>
      <c r="P184" s="2" t="str">
        <f aca="false">IF(L184="","MISSING","OK")</f>
        <v>OK</v>
      </c>
      <c r="Q184" s="2" t="str">
        <f aca="false">IF(ISNUMBER(B184),"OK","BAD DATE")</f>
        <v>OK</v>
      </c>
      <c r="R184" s="2" t="str">
        <f aca="false">IF(ROUND(F184,2)=F184,"OK","FIX")</f>
        <v>OK</v>
      </c>
    </row>
    <row r="185" customFormat="false" ht="15" hidden="false" customHeight="false" outlineLevel="0" collapsed="false">
      <c r="A185" s="2" t="s">
        <v>757</v>
      </c>
      <c r="B185" s="3" t="n">
        <v>45400</v>
      </c>
      <c r="C185" s="2" t="s">
        <v>758</v>
      </c>
      <c r="D185" s="2" t="s">
        <v>20</v>
      </c>
      <c r="E185" s="2" t="n">
        <v>5</v>
      </c>
      <c r="F185" s="4" t="n">
        <v>186.28</v>
      </c>
      <c r="G185" s="2" t="s">
        <v>759</v>
      </c>
      <c r="H185" s="2" t="s">
        <v>22</v>
      </c>
      <c r="I185" s="2" t="s">
        <v>54</v>
      </c>
      <c r="J185" s="2" t="s">
        <v>760</v>
      </c>
      <c r="K185" s="2" t="n">
        <v>8</v>
      </c>
      <c r="L185" s="2" t="s">
        <v>25</v>
      </c>
      <c r="M185" s="2" t="s">
        <v>42</v>
      </c>
      <c r="N185" s="4" t="n">
        <v>931.4</v>
      </c>
      <c r="O185" s="2" t="str">
        <f aca="false">IF(COUNTIF($A$2:$A$1201,A185)&gt;1,"DUPLICATE","Unique")</f>
        <v>Unique</v>
      </c>
      <c r="P185" s="2" t="str">
        <f aca="false">IF(L185="","MISSING","OK")</f>
        <v>OK</v>
      </c>
      <c r="Q185" s="2" t="str">
        <f aca="false">IF(ISNUMBER(B185),"OK","BAD DATE")</f>
        <v>OK</v>
      </c>
      <c r="R185" s="2" t="str">
        <f aca="false">IF(ROUND(F185,2)=F185,"OK","FIX")</f>
        <v>OK</v>
      </c>
    </row>
    <row r="186" customFormat="false" ht="15" hidden="false" customHeight="false" outlineLevel="0" collapsed="false">
      <c r="A186" s="2" t="s">
        <v>761</v>
      </c>
      <c r="B186" s="3" t="n">
        <v>45386</v>
      </c>
      <c r="C186" s="2" t="s">
        <v>762</v>
      </c>
      <c r="D186" s="2" t="s">
        <v>36</v>
      </c>
      <c r="E186" s="2" t="n">
        <v>4</v>
      </c>
      <c r="F186" s="4" t="n">
        <v>214.54</v>
      </c>
      <c r="G186" s="2" t="s">
        <v>763</v>
      </c>
      <c r="H186" s="2" t="s">
        <v>64</v>
      </c>
      <c r="I186" s="2" t="s">
        <v>39</v>
      </c>
      <c r="J186" s="2" t="s">
        <v>764</v>
      </c>
      <c r="K186" s="2" t="n">
        <v>7</v>
      </c>
      <c r="L186" s="2"/>
      <c r="M186" s="2" t="s">
        <v>33</v>
      </c>
      <c r="N186" s="4" t="n">
        <v>858.16</v>
      </c>
      <c r="O186" s="2" t="str">
        <f aca="false">IF(COUNTIF($A$2:$A$1201,A186)&gt;1,"DUPLICATE","Unique")</f>
        <v>Unique</v>
      </c>
      <c r="P186" s="2" t="str">
        <f aca="false">IF(L186="","MISSING","OK")</f>
        <v>MISSING</v>
      </c>
      <c r="Q186" s="2" t="str">
        <f aca="false">IF(ISNUMBER(B186),"OK","BAD DATE")</f>
        <v>OK</v>
      </c>
      <c r="R186" s="2" t="str">
        <f aca="false">IF(ROUND(F186,2)=F186,"OK","FIX")</f>
        <v>OK</v>
      </c>
    </row>
    <row r="187" customFormat="false" ht="15" hidden="false" customHeight="false" outlineLevel="0" collapsed="false">
      <c r="A187" s="2" t="s">
        <v>765</v>
      </c>
      <c r="B187" s="3" t="n">
        <v>45690</v>
      </c>
      <c r="C187" s="2" t="s">
        <v>766</v>
      </c>
      <c r="D187" s="2" t="s">
        <v>62</v>
      </c>
      <c r="E187" s="2" t="n">
        <v>1</v>
      </c>
      <c r="F187" s="4" t="n">
        <v>210.7</v>
      </c>
      <c r="G187" s="2" t="s">
        <v>767</v>
      </c>
      <c r="H187" s="2" t="s">
        <v>31</v>
      </c>
      <c r="I187" s="2" t="s">
        <v>23</v>
      </c>
      <c r="J187" s="2" t="s">
        <v>768</v>
      </c>
      <c r="K187" s="2" t="n">
        <v>2</v>
      </c>
      <c r="L187" s="2" t="s">
        <v>85</v>
      </c>
      <c r="M187" s="2" t="s">
        <v>33</v>
      </c>
      <c r="N187" s="4" t="n">
        <v>210.7</v>
      </c>
      <c r="O187" s="2" t="str">
        <f aca="false">IF(COUNTIF($A$2:$A$1201,A187)&gt;1,"DUPLICATE","Unique")</f>
        <v>Unique</v>
      </c>
      <c r="P187" s="2" t="str">
        <f aca="false">IF(L187="","MISSING","OK")</f>
        <v>OK</v>
      </c>
      <c r="Q187" s="2" t="str">
        <f aca="false">IF(ISNUMBER(B187),"OK","BAD DATE")</f>
        <v>OK</v>
      </c>
      <c r="R187" s="2" t="str">
        <f aca="false">IF(ROUND(F187,2)=F187,"OK","FIX")</f>
        <v>OK</v>
      </c>
    </row>
    <row r="188" customFormat="false" ht="15" hidden="false" customHeight="false" outlineLevel="0" collapsed="false">
      <c r="A188" s="2" t="s">
        <v>769</v>
      </c>
      <c r="B188" s="3" t="n">
        <v>45267</v>
      </c>
      <c r="C188" s="2" t="s">
        <v>770</v>
      </c>
      <c r="D188" s="2" t="s">
        <v>29</v>
      </c>
      <c r="E188" s="2" t="n">
        <v>2</v>
      </c>
      <c r="F188" s="4" t="n">
        <v>133.55</v>
      </c>
      <c r="G188" s="2" t="s">
        <v>771</v>
      </c>
      <c r="H188" s="2" t="s">
        <v>69</v>
      </c>
      <c r="I188" s="2" t="s">
        <v>93</v>
      </c>
      <c r="J188" s="2" t="s">
        <v>772</v>
      </c>
      <c r="K188" s="2" t="n">
        <v>7</v>
      </c>
      <c r="L188" s="2" t="s">
        <v>41</v>
      </c>
      <c r="M188" s="2" t="s">
        <v>49</v>
      </c>
      <c r="N188" s="4" t="n">
        <v>267.1</v>
      </c>
      <c r="O188" s="2" t="str">
        <f aca="false">IF(COUNTIF($A$2:$A$1201,A188)&gt;1,"DUPLICATE","Unique")</f>
        <v>Unique</v>
      </c>
      <c r="P188" s="2" t="str">
        <f aca="false">IF(L188="","MISSING","OK")</f>
        <v>OK</v>
      </c>
      <c r="Q188" s="2" t="str">
        <f aca="false">IF(ISNUMBER(B188),"OK","BAD DATE")</f>
        <v>OK</v>
      </c>
      <c r="R188" s="2" t="str">
        <f aca="false">IF(ROUND(F188,2)=F188,"OK","FIX")</f>
        <v>OK</v>
      </c>
    </row>
    <row r="189" customFormat="false" ht="15" hidden="false" customHeight="false" outlineLevel="0" collapsed="false">
      <c r="A189" s="2" t="s">
        <v>773</v>
      </c>
      <c r="B189" s="3" t="n">
        <v>44965</v>
      </c>
      <c r="C189" s="2" t="s">
        <v>774</v>
      </c>
      <c r="D189" s="2" t="s">
        <v>45</v>
      </c>
      <c r="E189" s="2" t="n">
        <v>1</v>
      </c>
      <c r="F189" s="4" t="n">
        <v>590.87</v>
      </c>
      <c r="G189" s="2" t="s">
        <v>775</v>
      </c>
      <c r="H189" s="2" t="s">
        <v>64</v>
      </c>
      <c r="I189" s="2" t="s">
        <v>47</v>
      </c>
      <c r="J189" s="2" t="s">
        <v>776</v>
      </c>
      <c r="K189" s="2" t="n">
        <v>6</v>
      </c>
      <c r="L189" s="2" t="s">
        <v>41</v>
      </c>
      <c r="M189" s="2" t="s">
        <v>33</v>
      </c>
      <c r="N189" s="4" t="n">
        <v>590.87</v>
      </c>
      <c r="O189" s="2" t="str">
        <f aca="false">IF(COUNTIF($A$2:$A$1201,A189)&gt;1,"DUPLICATE","Unique")</f>
        <v>Unique</v>
      </c>
      <c r="P189" s="2" t="str">
        <f aca="false">IF(L189="","MISSING","OK")</f>
        <v>OK</v>
      </c>
      <c r="Q189" s="2" t="str">
        <f aca="false">IF(ISNUMBER(B189),"OK","BAD DATE")</f>
        <v>OK</v>
      </c>
      <c r="R189" s="2" t="str">
        <f aca="false">IF(ROUND(F189,2)=F189,"OK","FIX")</f>
        <v>OK</v>
      </c>
    </row>
    <row r="190" customFormat="false" ht="15" hidden="false" customHeight="false" outlineLevel="0" collapsed="false">
      <c r="A190" s="2" t="s">
        <v>777</v>
      </c>
      <c r="B190" s="3" t="n">
        <v>45731</v>
      </c>
      <c r="C190" s="2" t="s">
        <v>778</v>
      </c>
      <c r="D190" s="2" t="s">
        <v>45</v>
      </c>
      <c r="E190" s="2" t="n">
        <v>2</v>
      </c>
      <c r="F190" s="4" t="n">
        <v>363.91</v>
      </c>
      <c r="G190" s="2" t="s">
        <v>779</v>
      </c>
      <c r="H190" s="2" t="s">
        <v>64</v>
      </c>
      <c r="I190" s="2" t="s">
        <v>23</v>
      </c>
      <c r="J190" s="2" t="s">
        <v>780</v>
      </c>
      <c r="K190" s="2" t="n">
        <v>2</v>
      </c>
      <c r="L190" s="2" t="s">
        <v>41</v>
      </c>
      <c r="M190" s="2" t="s">
        <v>33</v>
      </c>
      <c r="N190" s="4" t="n">
        <v>727.82</v>
      </c>
      <c r="O190" s="2" t="str">
        <f aca="false">IF(COUNTIF($A$2:$A$1201,A190)&gt;1,"DUPLICATE","Unique")</f>
        <v>Unique</v>
      </c>
      <c r="P190" s="2" t="str">
        <f aca="false">IF(L190="","MISSING","OK")</f>
        <v>OK</v>
      </c>
      <c r="Q190" s="2" t="str">
        <f aca="false">IF(ISNUMBER(B190),"OK","BAD DATE")</f>
        <v>OK</v>
      </c>
      <c r="R190" s="2" t="str">
        <f aca="false">IF(ROUND(F190,2)=F190,"OK","FIX")</f>
        <v>OK</v>
      </c>
    </row>
    <row r="191" customFormat="false" ht="15" hidden="false" customHeight="false" outlineLevel="0" collapsed="false">
      <c r="A191" s="2" t="s">
        <v>781</v>
      </c>
      <c r="B191" s="3" t="n">
        <v>45112</v>
      </c>
      <c r="C191" s="2" t="s">
        <v>782</v>
      </c>
      <c r="D191" s="2" t="s">
        <v>52</v>
      </c>
      <c r="E191" s="2" t="n">
        <v>5</v>
      </c>
      <c r="F191" s="4" t="n">
        <v>429.45</v>
      </c>
      <c r="G191" s="2" t="s">
        <v>783</v>
      </c>
      <c r="H191" s="2" t="s">
        <v>64</v>
      </c>
      <c r="I191" s="2" t="s">
        <v>39</v>
      </c>
      <c r="J191" s="2" t="s">
        <v>784</v>
      </c>
      <c r="K191" s="2" t="n">
        <v>5</v>
      </c>
      <c r="L191" s="2" t="s">
        <v>85</v>
      </c>
      <c r="M191" s="2" t="s">
        <v>42</v>
      </c>
      <c r="N191" s="4" t="n">
        <v>2147.25</v>
      </c>
      <c r="O191" s="2" t="str">
        <f aca="false">IF(COUNTIF($A$2:$A$1201,A191)&gt;1,"DUPLICATE","Unique")</f>
        <v>Unique</v>
      </c>
      <c r="P191" s="2" t="str">
        <f aca="false">IF(L191="","MISSING","OK")</f>
        <v>OK</v>
      </c>
      <c r="Q191" s="2" t="str">
        <f aca="false">IF(ISNUMBER(B191),"OK","BAD DATE")</f>
        <v>OK</v>
      </c>
      <c r="R191" s="2" t="str">
        <f aca="false">IF(ROUND(F191,2)=F191,"OK","FIX")</f>
        <v>OK</v>
      </c>
    </row>
    <row r="192" customFormat="false" ht="15" hidden="false" customHeight="false" outlineLevel="0" collapsed="false">
      <c r="A192" s="2" t="s">
        <v>785</v>
      </c>
      <c r="B192" s="3" t="n">
        <v>45535</v>
      </c>
      <c r="C192" s="2" t="s">
        <v>786</v>
      </c>
      <c r="D192" s="2" t="s">
        <v>52</v>
      </c>
      <c r="E192" s="2" t="n">
        <v>3</v>
      </c>
      <c r="F192" s="4" t="n">
        <v>223.7</v>
      </c>
      <c r="G192" s="2" t="s">
        <v>787</v>
      </c>
      <c r="H192" s="2" t="s">
        <v>69</v>
      </c>
      <c r="I192" s="2" t="s">
        <v>47</v>
      </c>
      <c r="J192" s="2" t="s">
        <v>788</v>
      </c>
      <c r="K192" s="2" t="n">
        <v>3</v>
      </c>
      <c r="L192" s="2" t="s">
        <v>25</v>
      </c>
      <c r="M192" s="2" t="s">
        <v>42</v>
      </c>
      <c r="N192" s="4" t="n">
        <v>671.1</v>
      </c>
      <c r="O192" s="2" t="str">
        <f aca="false">IF(COUNTIF($A$2:$A$1201,A192)&gt;1,"DUPLICATE","Unique")</f>
        <v>Unique</v>
      </c>
      <c r="P192" s="2" t="str">
        <f aca="false">IF(L192="","MISSING","OK")</f>
        <v>OK</v>
      </c>
      <c r="Q192" s="2" t="str">
        <f aca="false">IF(ISNUMBER(B192),"OK","BAD DATE")</f>
        <v>OK</v>
      </c>
      <c r="R192" s="2" t="str">
        <f aca="false">IF(ROUND(F192,2)=F192,"OK","FIX")</f>
        <v>OK</v>
      </c>
    </row>
    <row r="193" customFormat="false" ht="15" hidden="false" customHeight="false" outlineLevel="0" collapsed="false">
      <c r="A193" s="2" t="s">
        <v>789</v>
      </c>
      <c r="B193" s="3" t="n">
        <v>45724</v>
      </c>
      <c r="C193" s="2" t="s">
        <v>790</v>
      </c>
      <c r="D193" s="2" t="s">
        <v>62</v>
      </c>
      <c r="E193" s="2" t="n">
        <v>2</v>
      </c>
      <c r="F193" s="4" t="n">
        <v>488.87</v>
      </c>
      <c r="G193" s="2" t="s">
        <v>791</v>
      </c>
      <c r="H193" s="2" t="s">
        <v>31</v>
      </c>
      <c r="I193" s="2" t="s">
        <v>39</v>
      </c>
      <c r="J193" s="2" t="s">
        <v>792</v>
      </c>
      <c r="K193" s="2" t="n">
        <v>4</v>
      </c>
      <c r="L193" s="2" t="s">
        <v>41</v>
      </c>
      <c r="M193" s="2" t="s">
        <v>80</v>
      </c>
      <c r="N193" s="4" t="n">
        <v>977.74</v>
      </c>
      <c r="O193" s="2" t="str">
        <f aca="false">IF(COUNTIF($A$2:$A$1201,A193)&gt;1,"DUPLICATE","Unique")</f>
        <v>Unique</v>
      </c>
      <c r="P193" s="2" t="str">
        <f aca="false">IF(L193="","MISSING","OK")</f>
        <v>OK</v>
      </c>
      <c r="Q193" s="2" t="str">
        <f aca="false">IF(ISNUMBER(B193),"OK","BAD DATE")</f>
        <v>OK</v>
      </c>
      <c r="R193" s="2" t="str">
        <f aca="false">IF(ROUND(F193,2)=F193,"OK","FIX")</f>
        <v>OK</v>
      </c>
    </row>
    <row r="194" customFormat="false" ht="15" hidden="false" customHeight="false" outlineLevel="0" collapsed="false">
      <c r="A194" s="2" t="s">
        <v>793</v>
      </c>
      <c r="B194" s="3" t="n">
        <v>45149</v>
      </c>
      <c r="C194" s="2" t="s">
        <v>794</v>
      </c>
      <c r="D194" s="2" t="s">
        <v>77</v>
      </c>
      <c r="E194" s="2" t="n">
        <v>1</v>
      </c>
      <c r="F194" s="4" t="n">
        <v>645.46</v>
      </c>
      <c r="G194" s="2" t="s">
        <v>599</v>
      </c>
      <c r="H194" s="2" t="s">
        <v>64</v>
      </c>
      <c r="I194" s="2" t="s">
        <v>39</v>
      </c>
      <c r="J194" s="2" t="s">
        <v>795</v>
      </c>
      <c r="K194" s="2" t="n">
        <v>5</v>
      </c>
      <c r="L194" s="2" t="s">
        <v>25</v>
      </c>
      <c r="M194" s="2" t="s">
        <v>80</v>
      </c>
      <c r="N194" s="4" t="n">
        <v>645.46</v>
      </c>
      <c r="O194" s="2" t="str">
        <f aca="false">IF(COUNTIF($A$2:$A$1201,A194)&gt;1,"DUPLICATE","Unique")</f>
        <v>Unique</v>
      </c>
      <c r="P194" s="2" t="str">
        <f aca="false">IF(L194="","MISSING","OK")</f>
        <v>OK</v>
      </c>
      <c r="Q194" s="2" t="str">
        <f aca="false">IF(ISNUMBER(B194),"OK","BAD DATE")</f>
        <v>OK</v>
      </c>
      <c r="R194" s="2" t="str">
        <f aca="false">IF(ROUND(F194,2)=F194,"OK","FIX")</f>
        <v>OK</v>
      </c>
    </row>
    <row r="195" customFormat="false" ht="15" hidden="false" customHeight="false" outlineLevel="0" collapsed="false">
      <c r="A195" s="2" t="s">
        <v>796</v>
      </c>
      <c r="B195" s="3" t="n">
        <v>45128</v>
      </c>
      <c r="C195" s="2" t="s">
        <v>797</v>
      </c>
      <c r="D195" s="2" t="s">
        <v>52</v>
      </c>
      <c r="E195" s="2" t="n">
        <v>1</v>
      </c>
      <c r="F195" s="4" t="n">
        <v>46.66</v>
      </c>
      <c r="G195" s="2" t="s">
        <v>798</v>
      </c>
      <c r="H195" s="2" t="s">
        <v>69</v>
      </c>
      <c r="I195" s="2" t="s">
        <v>39</v>
      </c>
      <c r="J195" s="2" t="s">
        <v>799</v>
      </c>
      <c r="K195" s="2" t="n">
        <v>6</v>
      </c>
      <c r="L195" s="2"/>
      <c r="M195" s="2" t="s">
        <v>80</v>
      </c>
      <c r="N195" s="4" t="n">
        <v>46.66</v>
      </c>
      <c r="O195" s="2" t="str">
        <f aca="false">IF(COUNTIF($A$2:$A$1201,A195)&gt;1,"DUPLICATE","Unique")</f>
        <v>Unique</v>
      </c>
      <c r="P195" s="2" t="str">
        <f aca="false">IF(L195="","MISSING","OK")</f>
        <v>MISSING</v>
      </c>
      <c r="Q195" s="2" t="str">
        <f aca="false">IF(ISNUMBER(B195),"OK","BAD DATE")</f>
        <v>OK</v>
      </c>
      <c r="R195" s="2" t="str">
        <f aca="false">IF(ROUND(F195,2)=F195,"OK","FIX")</f>
        <v>OK</v>
      </c>
    </row>
    <row r="196" customFormat="false" ht="15" hidden="false" customHeight="false" outlineLevel="0" collapsed="false">
      <c r="A196" s="2" t="s">
        <v>800</v>
      </c>
      <c r="B196" s="3" t="n">
        <v>45451</v>
      </c>
      <c r="C196" s="2" t="s">
        <v>801</v>
      </c>
      <c r="D196" s="2" t="s">
        <v>20</v>
      </c>
      <c r="E196" s="2" t="n">
        <v>1</v>
      </c>
      <c r="F196" s="4" t="n">
        <v>249.57</v>
      </c>
      <c r="G196" s="2" t="s">
        <v>802</v>
      </c>
      <c r="H196" s="2" t="s">
        <v>69</v>
      </c>
      <c r="I196" s="2" t="s">
        <v>23</v>
      </c>
      <c r="J196" s="2" t="s">
        <v>803</v>
      </c>
      <c r="K196" s="2" t="n">
        <v>3</v>
      </c>
      <c r="L196" s="2" t="s">
        <v>41</v>
      </c>
      <c r="M196" s="2" t="s">
        <v>80</v>
      </c>
      <c r="N196" s="4" t="n">
        <v>249.57</v>
      </c>
      <c r="O196" s="2" t="str">
        <f aca="false">IF(COUNTIF($A$2:$A$1201,A196)&gt;1,"DUPLICATE","Unique")</f>
        <v>Unique</v>
      </c>
      <c r="P196" s="2" t="str">
        <f aca="false">IF(L196="","MISSING","OK")</f>
        <v>OK</v>
      </c>
      <c r="Q196" s="2" t="str">
        <f aca="false">IF(ISNUMBER(B196),"OK","BAD DATE")</f>
        <v>OK</v>
      </c>
      <c r="R196" s="2" t="str">
        <f aca="false">IF(ROUND(F196,2)=F196,"OK","FIX")</f>
        <v>OK</v>
      </c>
    </row>
    <row r="197" customFormat="false" ht="15" hidden="false" customHeight="false" outlineLevel="0" collapsed="false">
      <c r="A197" s="2" t="s">
        <v>804</v>
      </c>
      <c r="B197" s="3" t="n">
        <v>45404</v>
      </c>
      <c r="C197" s="2" t="s">
        <v>805</v>
      </c>
      <c r="D197" s="2" t="s">
        <v>45</v>
      </c>
      <c r="E197" s="2" t="n">
        <v>3</v>
      </c>
      <c r="F197" s="4" t="n">
        <v>619.21</v>
      </c>
      <c r="G197" s="2" t="s">
        <v>806</v>
      </c>
      <c r="H197" s="2" t="s">
        <v>22</v>
      </c>
      <c r="I197" s="2" t="s">
        <v>39</v>
      </c>
      <c r="J197" s="2" t="s">
        <v>807</v>
      </c>
      <c r="K197" s="2" t="n">
        <v>6</v>
      </c>
      <c r="L197" s="2"/>
      <c r="M197" s="2" t="s">
        <v>42</v>
      </c>
      <c r="N197" s="4" t="n">
        <v>1857.63</v>
      </c>
      <c r="O197" s="2" t="str">
        <f aca="false">IF(COUNTIF($A$2:$A$1201,A197)&gt;1,"DUPLICATE","Unique")</f>
        <v>Unique</v>
      </c>
      <c r="P197" s="2" t="str">
        <f aca="false">IF(L197="","MISSING","OK")</f>
        <v>MISSING</v>
      </c>
      <c r="Q197" s="2" t="str">
        <f aca="false">IF(ISNUMBER(B197),"OK","BAD DATE")</f>
        <v>OK</v>
      </c>
      <c r="R197" s="2" t="str">
        <f aca="false">IF(ROUND(F197,2)=F197,"OK","FIX")</f>
        <v>OK</v>
      </c>
    </row>
    <row r="198" customFormat="false" ht="15" hidden="false" customHeight="false" outlineLevel="0" collapsed="false">
      <c r="A198" s="2" t="s">
        <v>808</v>
      </c>
      <c r="B198" s="3" t="n">
        <v>45681</v>
      </c>
      <c r="C198" s="2" t="s">
        <v>809</v>
      </c>
      <c r="D198" s="2" t="s">
        <v>77</v>
      </c>
      <c r="E198" s="2" t="n">
        <v>4</v>
      </c>
      <c r="F198" s="4" t="n">
        <v>217.13</v>
      </c>
      <c r="G198" s="2" t="s">
        <v>810</v>
      </c>
      <c r="H198" s="2" t="s">
        <v>69</v>
      </c>
      <c r="I198" s="2" t="s">
        <v>54</v>
      </c>
      <c r="J198" s="2" t="s">
        <v>811</v>
      </c>
      <c r="K198" s="2" t="n">
        <v>8</v>
      </c>
      <c r="L198" s="2" t="s">
        <v>85</v>
      </c>
      <c r="M198" s="2" t="s">
        <v>42</v>
      </c>
      <c r="N198" s="4" t="n">
        <v>868.52</v>
      </c>
      <c r="O198" s="2" t="str">
        <f aca="false">IF(COUNTIF($A$2:$A$1201,A198)&gt;1,"DUPLICATE","Unique")</f>
        <v>Unique</v>
      </c>
      <c r="P198" s="2" t="str">
        <f aca="false">IF(L198="","MISSING","OK")</f>
        <v>OK</v>
      </c>
      <c r="Q198" s="2" t="str">
        <f aca="false">IF(ISNUMBER(B198),"OK","BAD DATE")</f>
        <v>OK</v>
      </c>
      <c r="R198" s="2" t="str">
        <f aca="false">IF(ROUND(F198,2)=F198,"OK","FIX")</f>
        <v>OK</v>
      </c>
    </row>
    <row r="199" customFormat="false" ht="15" hidden="false" customHeight="false" outlineLevel="0" collapsed="false">
      <c r="A199" s="2" t="s">
        <v>812</v>
      </c>
      <c r="B199" s="3" t="n">
        <v>45165</v>
      </c>
      <c r="C199" s="2" t="s">
        <v>813</v>
      </c>
      <c r="D199" s="2" t="s">
        <v>62</v>
      </c>
      <c r="E199" s="2" t="n">
        <v>5</v>
      </c>
      <c r="F199" s="4" t="n">
        <v>221.51</v>
      </c>
      <c r="G199" s="2" t="s">
        <v>814</v>
      </c>
      <c r="H199" s="2" t="s">
        <v>69</v>
      </c>
      <c r="I199" s="2" t="s">
        <v>47</v>
      </c>
      <c r="J199" s="2" t="s">
        <v>815</v>
      </c>
      <c r="K199" s="2" t="n">
        <v>5</v>
      </c>
      <c r="L199" s="2" t="s">
        <v>85</v>
      </c>
      <c r="M199" s="2" t="s">
        <v>33</v>
      </c>
      <c r="N199" s="4" t="n">
        <v>1107.55</v>
      </c>
      <c r="O199" s="2" t="str">
        <f aca="false">IF(COUNTIF($A$2:$A$1201,A199)&gt;1,"DUPLICATE","Unique")</f>
        <v>Unique</v>
      </c>
      <c r="P199" s="2" t="str">
        <f aca="false">IF(L199="","MISSING","OK")</f>
        <v>OK</v>
      </c>
      <c r="Q199" s="2" t="str">
        <f aca="false">IF(ISNUMBER(B199),"OK","BAD DATE")</f>
        <v>OK</v>
      </c>
      <c r="R199" s="2" t="str">
        <f aca="false">IF(ROUND(F199,2)=F199,"OK","FIX")</f>
        <v>OK</v>
      </c>
    </row>
    <row r="200" customFormat="false" ht="15" hidden="false" customHeight="false" outlineLevel="0" collapsed="false">
      <c r="A200" s="2" t="s">
        <v>816</v>
      </c>
      <c r="B200" s="3" t="n">
        <v>45454</v>
      </c>
      <c r="C200" s="2" t="s">
        <v>817</v>
      </c>
      <c r="D200" s="2" t="s">
        <v>62</v>
      </c>
      <c r="E200" s="2" t="n">
        <v>4</v>
      </c>
      <c r="F200" s="4" t="n">
        <v>340.3</v>
      </c>
      <c r="G200" s="2" t="s">
        <v>181</v>
      </c>
      <c r="H200" s="2" t="s">
        <v>69</v>
      </c>
      <c r="I200" s="2" t="s">
        <v>39</v>
      </c>
      <c r="J200" s="2" t="s">
        <v>818</v>
      </c>
      <c r="K200" s="2" t="n">
        <v>8</v>
      </c>
      <c r="L200" s="2" t="s">
        <v>25</v>
      </c>
      <c r="M200" s="2" t="s">
        <v>33</v>
      </c>
      <c r="N200" s="4" t="n">
        <v>1361.2</v>
      </c>
      <c r="O200" s="2" t="str">
        <f aca="false">IF(COUNTIF($A$2:$A$1201,A200)&gt;1,"DUPLICATE","Unique")</f>
        <v>Unique</v>
      </c>
      <c r="P200" s="2" t="str">
        <f aca="false">IF(L200="","MISSING","OK")</f>
        <v>OK</v>
      </c>
      <c r="Q200" s="2" t="str">
        <f aca="false">IF(ISNUMBER(B200),"OK","BAD DATE")</f>
        <v>OK</v>
      </c>
      <c r="R200" s="2" t="str">
        <f aca="false">IF(ROUND(F200,2)=F200,"OK","FIX")</f>
        <v>OK</v>
      </c>
    </row>
    <row r="201" customFormat="false" ht="15" hidden="false" customHeight="false" outlineLevel="0" collapsed="false">
      <c r="A201" s="2" t="s">
        <v>819</v>
      </c>
      <c r="B201" s="3" t="n">
        <v>45680</v>
      </c>
      <c r="C201" s="2" t="s">
        <v>820</v>
      </c>
      <c r="D201" s="2" t="s">
        <v>29</v>
      </c>
      <c r="E201" s="2" t="n">
        <v>1</v>
      </c>
      <c r="F201" s="4" t="n">
        <v>625</v>
      </c>
      <c r="G201" s="2" t="s">
        <v>821</v>
      </c>
      <c r="H201" s="2" t="s">
        <v>31</v>
      </c>
      <c r="I201" s="2" t="s">
        <v>47</v>
      </c>
      <c r="J201" s="2" t="s">
        <v>822</v>
      </c>
      <c r="K201" s="2" t="n">
        <v>5</v>
      </c>
      <c r="L201" s="2" t="s">
        <v>85</v>
      </c>
      <c r="M201" s="2" t="s">
        <v>80</v>
      </c>
      <c r="N201" s="4" t="n">
        <v>625</v>
      </c>
      <c r="O201" s="2" t="str">
        <f aca="false">IF(COUNTIF($A$2:$A$1201,A201)&gt;1,"DUPLICATE","Unique")</f>
        <v>Unique</v>
      </c>
      <c r="P201" s="2" t="str">
        <f aca="false">IF(L201="","MISSING","OK")</f>
        <v>OK</v>
      </c>
      <c r="Q201" s="2" t="str">
        <f aca="false">IF(ISNUMBER(B201),"OK","BAD DATE")</f>
        <v>OK</v>
      </c>
      <c r="R201" s="2" t="str">
        <f aca="false">IF(ROUND(F201,2)=F201,"OK","FIX")</f>
        <v>OK</v>
      </c>
    </row>
    <row r="202" customFormat="false" ht="15" hidden="false" customHeight="false" outlineLevel="0" collapsed="false">
      <c r="A202" s="2" t="s">
        <v>823</v>
      </c>
      <c r="B202" s="3" t="n">
        <v>45815</v>
      </c>
      <c r="C202" s="2" t="s">
        <v>824</v>
      </c>
      <c r="D202" s="2" t="s">
        <v>36</v>
      </c>
      <c r="E202" s="2" t="n">
        <v>5</v>
      </c>
      <c r="F202" s="4" t="n">
        <v>433.26</v>
      </c>
      <c r="G202" s="2" t="s">
        <v>165</v>
      </c>
      <c r="H202" s="2" t="s">
        <v>38</v>
      </c>
      <c r="I202" s="2" t="s">
        <v>54</v>
      </c>
      <c r="J202" s="2" t="s">
        <v>825</v>
      </c>
      <c r="K202" s="2" t="n">
        <v>9</v>
      </c>
      <c r="L202" s="2" t="s">
        <v>25</v>
      </c>
      <c r="M202" s="2" t="s">
        <v>80</v>
      </c>
      <c r="N202" s="4" t="n">
        <v>2166.3</v>
      </c>
      <c r="O202" s="2" t="str">
        <f aca="false">IF(COUNTIF($A$2:$A$1201,A202)&gt;1,"DUPLICATE","Unique")</f>
        <v>Unique</v>
      </c>
      <c r="P202" s="2" t="str">
        <f aca="false">IF(L202="","MISSING","OK")</f>
        <v>OK</v>
      </c>
      <c r="Q202" s="2" t="str">
        <f aca="false">IF(ISNUMBER(B202),"OK","BAD DATE")</f>
        <v>OK</v>
      </c>
      <c r="R202" s="2" t="str">
        <f aca="false">IF(ROUND(F202,2)=F202,"OK","FIX")</f>
        <v>OK</v>
      </c>
    </row>
    <row r="203" customFormat="false" ht="15" hidden="false" customHeight="false" outlineLevel="0" collapsed="false">
      <c r="A203" s="2" t="s">
        <v>826</v>
      </c>
      <c r="B203" s="3" t="n">
        <v>45095</v>
      </c>
      <c r="C203" s="2" t="s">
        <v>827</v>
      </c>
      <c r="D203" s="2" t="s">
        <v>20</v>
      </c>
      <c r="E203" s="2" t="n">
        <v>2</v>
      </c>
      <c r="F203" s="4" t="n">
        <v>674.9</v>
      </c>
      <c r="G203" s="2" t="s">
        <v>351</v>
      </c>
      <c r="H203" s="2" t="s">
        <v>31</v>
      </c>
      <c r="I203" s="2" t="s">
        <v>23</v>
      </c>
      <c r="J203" s="2" t="s">
        <v>828</v>
      </c>
      <c r="K203" s="2" t="n">
        <v>4</v>
      </c>
      <c r="L203" s="2" t="s">
        <v>25</v>
      </c>
      <c r="M203" s="2" t="s">
        <v>49</v>
      </c>
      <c r="N203" s="4" t="n">
        <v>1349.8</v>
      </c>
      <c r="O203" s="2" t="str">
        <f aca="false">IF(COUNTIF($A$2:$A$1201,A203)&gt;1,"DUPLICATE","Unique")</f>
        <v>Unique</v>
      </c>
      <c r="P203" s="2" t="str">
        <f aca="false">IF(L203="","MISSING","OK")</f>
        <v>OK</v>
      </c>
      <c r="Q203" s="2" t="str">
        <f aca="false">IF(ISNUMBER(B203),"OK","BAD DATE")</f>
        <v>OK</v>
      </c>
      <c r="R203" s="2" t="str">
        <f aca="false">IF(ROUND(F203,2)=F203,"OK","FIX")</f>
        <v>OK</v>
      </c>
    </row>
    <row r="204" customFormat="false" ht="15" hidden="false" customHeight="false" outlineLevel="0" collapsed="false">
      <c r="A204" s="2" t="s">
        <v>829</v>
      </c>
      <c r="B204" s="3" t="n">
        <v>45694</v>
      </c>
      <c r="C204" s="2" t="s">
        <v>830</v>
      </c>
      <c r="D204" s="2" t="s">
        <v>20</v>
      </c>
      <c r="E204" s="2" t="n">
        <v>3</v>
      </c>
      <c r="F204" s="4" t="n">
        <v>253.98</v>
      </c>
      <c r="G204" s="2" t="s">
        <v>569</v>
      </c>
      <c r="H204" s="2" t="s">
        <v>38</v>
      </c>
      <c r="I204" s="2" t="s">
        <v>39</v>
      </c>
      <c r="J204" s="2" t="s">
        <v>831</v>
      </c>
      <c r="K204" s="2" t="n">
        <v>3</v>
      </c>
      <c r="L204" s="2" t="s">
        <v>41</v>
      </c>
      <c r="M204" s="2" t="s">
        <v>42</v>
      </c>
      <c r="N204" s="4" t="n">
        <v>761.94</v>
      </c>
      <c r="O204" s="2" t="str">
        <f aca="false">IF(COUNTIF($A$2:$A$1201,A204)&gt;1,"DUPLICATE","Unique")</f>
        <v>Unique</v>
      </c>
      <c r="P204" s="2" t="str">
        <f aca="false">IF(L204="","MISSING","OK")</f>
        <v>OK</v>
      </c>
      <c r="Q204" s="2" t="str">
        <f aca="false">IF(ISNUMBER(B204),"OK","BAD DATE")</f>
        <v>OK</v>
      </c>
      <c r="R204" s="2" t="str">
        <f aca="false">IF(ROUND(F204,2)=F204,"OK","FIX")</f>
        <v>OK</v>
      </c>
    </row>
    <row r="205" customFormat="false" ht="15" hidden="false" customHeight="false" outlineLevel="0" collapsed="false">
      <c r="A205" s="2" t="s">
        <v>832</v>
      </c>
      <c r="B205" s="3" t="n">
        <v>45678</v>
      </c>
      <c r="C205" s="2" t="s">
        <v>833</v>
      </c>
      <c r="D205" s="2" t="s">
        <v>52</v>
      </c>
      <c r="E205" s="2" t="n">
        <v>3</v>
      </c>
      <c r="F205" s="4" t="n">
        <v>356.84</v>
      </c>
      <c r="G205" s="2" t="s">
        <v>834</v>
      </c>
      <c r="H205" s="2" t="s">
        <v>31</v>
      </c>
      <c r="I205" s="2" t="s">
        <v>23</v>
      </c>
      <c r="J205" s="2" t="s">
        <v>835</v>
      </c>
      <c r="K205" s="2" t="n">
        <v>5</v>
      </c>
      <c r="L205" s="2" t="s">
        <v>25</v>
      </c>
      <c r="M205" s="2" t="s">
        <v>26</v>
      </c>
      <c r="N205" s="4" t="n">
        <v>1070.52</v>
      </c>
      <c r="O205" s="2" t="str">
        <f aca="false">IF(COUNTIF($A$2:$A$1201,A205)&gt;1,"DUPLICATE","Unique")</f>
        <v>Unique</v>
      </c>
      <c r="P205" s="2" t="str">
        <f aca="false">IF(L205="","MISSING","OK")</f>
        <v>OK</v>
      </c>
      <c r="Q205" s="2" t="str">
        <f aca="false">IF(ISNUMBER(B205),"OK","BAD DATE")</f>
        <v>OK</v>
      </c>
      <c r="R205" s="2" t="str">
        <f aca="false">IF(ROUND(F205,2)=F205,"OK","FIX")</f>
        <v>OK</v>
      </c>
    </row>
    <row r="206" customFormat="false" ht="15" hidden="false" customHeight="false" outlineLevel="0" collapsed="false">
      <c r="A206" s="2" t="s">
        <v>836</v>
      </c>
      <c r="B206" s="3" t="n">
        <v>45174</v>
      </c>
      <c r="C206" s="2" t="s">
        <v>837</v>
      </c>
      <c r="D206" s="2" t="s">
        <v>62</v>
      </c>
      <c r="E206" s="2" t="n">
        <v>4</v>
      </c>
      <c r="F206" s="4" t="n">
        <v>413.71</v>
      </c>
      <c r="G206" s="2" t="s">
        <v>588</v>
      </c>
      <c r="H206" s="2" t="s">
        <v>64</v>
      </c>
      <c r="I206" s="2" t="s">
        <v>39</v>
      </c>
      <c r="J206" s="2" t="s">
        <v>838</v>
      </c>
      <c r="K206" s="2" t="n">
        <v>9</v>
      </c>
      <c r="L206" s="2" t="s">
        <v>41</v>
      </c>
      <c r="M206" s="2" t="s">
        <v>49</v>
      </c>
      <c r="N206" s="4" t="n">
        <v>1654.84</v>
      </c>
      <c r="O206" s="2" t="str">
        <f aca="false">IF(COUNTIF($A$2:$A$1201,A206)&gt;1,"DUPLICATE","Unique")</f>
        <v>Unique</v>
      </c>
      <c r="P206" s="2" t="str">
        <f aca="false">IF(L206="","MISSING","OK")</f>
        <v>OK</v>
      </c>
      <c r="Q206" s="2" t="str">
        <f aca="false">IF(ISNUMBER(B206),"OK","BAD DATE")</f>
        <v>OK</v>
      </c>
      <c r="R206" s="2" t="str">
        <f aca="false">IF(ROUND(F206,2)=F206,"OK","FIX")</f>
        <v>OK</v>
      </c>
    </row>
    <row r="207" customFormat="false" ht="15" hidden="false" customHeight="false" outlineLevel="0" collapsed="false">
      <c r="A207" s="2" t="s">
        <v>839</v>
      </c>
      <c r="B207" s="3" t="n">
        <v>44989</v>
      </c>
      <c r="C207" s="2" t="s">
        <v>840</v>
      </c>
      <c r="D207" s="2" t="s">
        <v>77</v>
      </c>
      <c r="E207" s="2" t="n">
        <v>3</v>
      </c>
      <c r="F207" s="4" t="n">
        <v>147.39</v>
      </c>
      <c r="G207" s="2" t="s">
        <v>841</v>
      </c>
      <c r="H207" s="2" t="s">
        <v>22</v>
      </c>
      <c r="I207" s="2" t="s">
        <v>47</v>
      </c>
      <c r="J207" s="2" t="s">
        <v>842</v>
      </c>
      <c r="K207" s="2" t="n">
        <v>3</v>
      </c>
      <c r="L207" s="2"/>
      <c r="M207" s="2" t="s">
        <v>42</v>
      </c>
      <c r="N207" s="4" t="n">
        <v>442.17</v>
      </c>
      <c r="O207" s="2" t="str">
        <f aca="false">IF(COUNTIF($A$2:$A$1201,A207)&gt;1,"DUPLICATE","Unique")</f>
        <v>Unique</v>
      </c>
      <c r="P207" s="2" t="str">
        <f aca="false">IF(L207="","MISSING","OK")</f>
        <v>MISSING</v>
      </c>
      <c r="Q207" s="2" t="str">
        <f aca="false">IF(ISNUMBER(B207),"OK","BAD DATE")</f>
        <v>OK</v>
      </c>
      <c r="R207" s="2" t="str">
        <f aca="false">IF(ROUND(F207,2)=F207,"OK","FIX")</f>
        <v>OK</v>
      </c>
    </row>
    <row r="208" customFormat="false" ht="15" hidden="false" customHeight="false" outlineLevel="0" collapsed="false">
      <c r="A208" s="2" t="s">
        <v>843</v>
      </c>
      <c r="B208" s="3" t="n">
        <v>45398</v>
      </c>
      <c r="C208" s="2" t="s">
        <v>844</v>
      </c>
      <c r="D208" s="2" t="s">
        <v>62</v>
      </c>
      <c r="E208" s="2" t="n">
        <v>4</v>
      </c>
      <c r="F208" s="4" t="n">
        <v>229.1</v>
      </c>
      <c r="G208" s="2" t="s">
        <v>845</v>
      </c>
      <c r="H208" s="2" t="s">
        <v>64</v>
      </c>
      <c r="I208" s="2" t="s">
        <v>47</v>
      </c>
      <c r="J208" s="2" t="s">
        <v>846</v>
      </c>
      <c r="K208" s="2" t="n">
        <v>8</v>
      </c>
      <c r="L208" s="2" t="s">
        <v>85</v>
      </c>
      <c r="M208" s="2" t="s">
        <v>42</v>
      </c>
      <c r="N208" s="4" t="n">
        <v>916.4</v>
      </c>
      <c r="O208" s="2" t="str">
        <f aca="false">IF(COUNTIF($A$2:$A$1201,A208)&gt;1,"DUPLICATE","Unique")</f>
        <v>Unique</v>
      </c>
      <c r="P208" s="2" t="str">
        <f aca="false">IF(L208="","MISSING","OK")</f>
        <v>OK</v>
      </c>
      <c r="Q208" s="2" t="str">
        <f aca="false">IF(ISNUMBER(B208),"OK","BAD DATE")</f>
        <v>OK</v>
      </c>
      <c r="R208" s="2" t="str">
        <f aca="false">IF(ROUND(F208,2)=F208,"OK","FIX")</f>
        <v>OK</v>
      </c>
    </row>
    <row r="209" customFormat="false" ht="15" hidden="false" customHeight="false" outlineLevel="0" collapsed="false">
      <c r="A209" s="2" t="s">
        <v>847</v>
      </c>
      <c r="B209" s="3" t="n">
        <v>45734</v>
      </c>
      <c r="C209" s="2" t="s">
        <v>848</v>
      </c>
      <c r="D209" s="2" t="s">
        <v>29</v>
      </c>
      <c r="E209" s="2" t="n">
        <v>1</v>
      </c>
      <c r="F209" s="4" t="n">
        <v>121.96</v>
      </c>
      <c r="G209" s="2" t="s">
        <v>849</v>
      </c>
      <c r="H209" s="2" t="s">
        <v>22</v>
      </c>
      <c r="I209" s="2" t="s">
        <v>54</v>
      </c>
      <c r="J209" s="2" t="s">
        <v>850</v>
      </c>
      <c r="K209" s="2" t="n">
        <v>3</v>
      </c>
      <c r="L209" s="2"/>
      <c r="M209" s="2" t="s">
        <v>80</v>
      </c>
      <c r="N209" s="4" t="n">
        <v>121.96</v>
      </c>
      <c r="O209" s="2" t="str">
        <f aca="false">IF(COUNTIF($A$2:$A$1201,A209)&gt;1,"DUPLICATE","Unique")</f>
        <v>Unique</v>
      </c>
      <c r="P209" s="2" t="str">
        <f aca="false">IF(L209="","MISSING","OK")</f>
        <v>MISSING</v>
      </c>
      <c r="Q209" s="2" t="str">
        <f aca="false">IF(ISNUMBER(B209),"OK","BAD DATE")</f>
        <v>OK</v>
      </c>
      <c r="R209" s="2" t="str">
        <f aca="false">IF(ROUND(F209,2)=F209,"OK","FIX")</f>
        <v>OK</v>
      </c>
    </row>
    <row r="210" customFormat="false" ht="15" hidden="false" customHeight="false" outlineLevel="0" collapsed="false">
      <c r="A210" s="2" t="s">
        <v>851</v>
      </c>
      <c r="B210" s="3" t="n">
        <v>45573</v>
      </c>
      <c r="C210" s="2" t="s">
        <v>852</v>
      </c>
      <c r="D210" s="2" t="s">
        <v>77</v>
      </c>
      <c r="E210" s="2" t="n">
        <v>2</v>
      </c>
      <c r="F210" s="4" t="n">
        <v>408.32</v>
      </c>
      <c r="G210" s="2" t="s">
        <v>783</v>
      </c>
      <c r="H210" s="2" t="s">
        <v>31</v>
      </c>
      <c r="I210" s="2" t="s">
        <v>23</v>
      </c>
      <c r="J210" s="2" t="s">
        <v>853</v>
      </c>
      <c r="K210" s="2" t="n">
        <v>3</v>
      </c>
      <c r="L210" s="2" t="s">
        <v>41</v>
      </c>
      <c r="M210" s="2" t="s">
        <v>49</v>
      </c>
      <c r="N210" s="4" t="n">
        <v>816.64</v>
      </c>
      <c r="O210" s="2" t="str">
        <f aca="false">IF(COUNTIF($A$2:$A$1201,A210)&gt;1,"DUPLICATE","Unique")</f>
        <v>Unique</v>
      </c>
      <c r="P210" s="2" t="str">
        <f aca="false">IF(L210="","MISSING","OK")</f>
        <v>OK</v>
      </c>
      <c r="Q210" s="2" t="str">
        <f aca="false">IF(ISNUMBER(B210),"OK","BAD DATE")</f>
        <v>OK</v>
      </c>
      <c r="R210" s="2" t="str">
        <f aca="false">IF(ROUND(F210,2)=F210,"OK","FIX")</f>
        <v>OK</v>
      </c>
    </row>
    <row r="211" customFormat="false" ht="15" hidden="false" customHeight="false" outlineLevel="0" collapsed="false">
      <c r="A211" s="2" t="s">
        <v>854</v>
      </c>
      <c r="B211" s="3" t="n">
        <v>45167</v>
      </c>
      <c r="C211" s="2" t="s">
        <v>855</v>
      </c>
      <c r="D211" s="2" t="s">
        <v>36</v>
      </c>
      <c r="E211" s="2" t="n">
        <v>5</v>
      </c>
      <c r="F211" s="4" t="n">
        <v>187.97</v>
      </c>
      <c r="G211" s="2" t="s">
        <v>68</v>
      </c>
      <c r="H211" s="2" t="s">
        <v>69</v>
      </c>
      <c r="I211" s="2" t="s">
        <v>47</v>
      </c>
      <c r="J211" s="2" t="s">
        <v>856</v>
      </c>
      <c r="K211" s="2" t="n">
        <v>9</v>
      </c>
      <c r="L211" s="2" t="s">
        <v>25</v>
      </c>
      <c r="M211" s="2" t="s">
        <v>80</v>
      </c>
      <c r="N211" s="4" t="n">
        <v>939.85</v>
      </c>
      <c r="O211" s="2" t="str">
        <f aca="false">IF(COUNTIF($A$2:$A$1201,A211)&gt;1,"DUPLICATE","Unique")</f>
        <v>Unique</v>
      </c>
      <c r="P211" s="2" t="str">
        <f aca="false">IF(L211="","MISSING","OK")</f>
        <v>OK</v>
      </c>
      <c r="Q211" s="2" t="str">
        <f aca="false">IF(ISNUMBER(B211),"OK","BAD DATE")</f>
        <v>OK</v>
      </c>
      <c r="R211" s="2" t="str">
        <f aca="false">IF(ROUND(F211,2)=F211,"OK","FIX")</f>
        <v>OK</v>
      </c>
    </row>
    <row r="212" customFormat="false" ht="15" hidden="false" customHeight="false" outlineLevel="0" collapsed="false">
      <c r="A212" s="2" t="s">
        <v>857</v>
      </c>
      <c r="B212" s="3" t="n">
        <v>45631</v>
      </c>
      <c r="C212" s="2" t="s">
        <v>858</v>
      </c>
      <c r="D212" s="2" t="s">
        <v>45</v>
      </c>
      <c r="E212" s="2" t="n">
        <v>3</v>
      </c>
      <c r="F212" s="4" t="n">
        <v>358.48</v>
      </c>
      <c r="G212" s="2" t="s">
        <v>557</v>
      </c>
      <c r="H212" s="2" t="s">
        <v>64</v>
      </c>
      <c r="I212" s="2" t="s">
        <v>54</v>
      </c>
      <c r="J212" s="2" t="s">
        <v>859</v>
      </c>
      <c r="K212" s="2" t="n">
        <v>7</v>
      </c>
      <c r="L212" s="2" t="s">
        <v>41</v>
      </c>
      <c r="M212" s="2" t="s">
        <v>49</v>
      </c>
      <c r="N212" s="4" t="n">
        <v>1075.44</v>
      </c>
      <c r="O212" s="2" t="str">
        <f aca="false">IF(COUNTIF($A$2:$A$1201,A212)&gt;1,"DUPLICATE","Unique")</f>
        <v>Unique</v>
      </c>
      <c r="P212" s="2" t="str">
        <f aca="false">IF(L212="","MISSING","OK")</f>
        <v>OK</v>
      </c>
      <c r="Q212" s="2" t="str">
        <f aca="false">IF(ISNUMBER(B212),"OK","BAD DATE")</f>
        <v>OK</v>
      </c>
      <c r="R212" s="2" t="str">
        <f aca="false">IF(ROUND(F212,2)=F212,"OK","FIX")</f>
        <v>OK</v>
      </c>
    </row>
    <row r="213" customFormat="false" ht="15" hidden="false" customHeight="false" outlineLevel="0" collapsed="false">
      <c r="A213" s="2" t="s">
        <v>860</v>
      </c>
      <c r="B213" s="3" t="n">
        <v>45660</v>
      </c>
      <c r="C213" s="2" t="s">
        <v>861</v>
      </c>
      <c r="D213" s="2" t="s">
        <v>52</v>
      </c>
      <c r="E213" s="2" t="n">
        <v>3</v>
      </c>
      <c r="F213" s="4" t="n">
        <v>193.58</v>
      </c>
      <c r="G213" s="2" t="s">
        <v>862</v>
      </c>
      <c r="H213" s="2" t="s">
        <v>64</v>
      </c>
      <c r="I213" s="2" t="s">
        <v>93</v>
      </c>
      <c r="J213" s="2" t="s">
        <v>863</v>
      </c>
      <c r="K213" s="2" t="n">
        <v>7</v>
      </c>
      <c r="L213" s="2" t="s">
        <v>41</v>
      </c>
      <c r="M213" s="2" t="s">
        <v>42</v>
      </c>
      <c r="N213" s="4" t="n">
        <v>580.74</v>
      </c>
      <c r="O213" s="2" t="str">
        <f aca="false">IF(COUNTIF($A$2:$A$1201,A213)&gt;1,"DUPLICATE","Unique")</f>
        <v>Unique</v>
      </c>
      <c r="P213" s="2" t="str">
        <f aca="false">IF(L213="","MISSING","OK")</f>
        <v>OK</v>
      </c>
      <c r="Q213" s="2" t="str">
        <f aca="false">IF(ISNUMBER(B213),"OK","BAD DATE")</f>
        <v>OK</v>
      </c>
      <c r="R213" s="2" t="str">
        <f aca="false">IF(ROUND(F213,2)=F213,"OK","FIX")</f>
        <v>OK</v>
      </c>
    </row>
    <row r="214" customFormat="false" ht="15" hidden="false" customHeight="false" outlineLevel="0" collapsed="false">
      <c r="A214" s="2" t="s">
        <v>864</v>
      </c>
      <c r="B214" s="3" t="n">
        <v>45097</v>
      </c>
      <c r="C214" s="2" t="s">
        <v>865</v>
      </c>
      <c r="D214" s="2" t="s">
        <v>20</v>
      </c>
      <c r="E214" s="2" t="n">
        <v>1</v>
      </c>
      <c r="F214" s="4" t="n">
        <v>265.38</v>
      </c>
      <c r="G214" s="2" t="s">
        <v>866</v>
      </c>
      <c r="H214" s="2" t="s">
        <v>38</v>
      </c>
      <c r="I214" s="2" t="s">
        <v>39</v>
      </c>
      <c r="J214" s="2" t="s">
        <v>867</v>
      </c>
      <c r="K214" s="2" t="n">
        <v>6</v>
      </c>
      <c r="L214" s="2" t="s">
        <v>85</v>
      </c>
      <c r="M214" s="2" t="s">
        <v>42</v>
      </c>
      <c r="N214" s="4" t="n">
        <v>265.38</v>
      </c>
      <c r="O214" s="2" t="str">
        <f aca="false">IF(COUNTIF($A$2:$A$1201,A214)&gt;1,"DUPLICATE","Unique")</f>
        <v>Unique</v>
      </c>
      <c r="P214" s="2" t="str">
        <f aca="false">IF(L214="","MISSING","OK")</f>
        <v>OK</v>
      </c>
      <c r="Q214" s="2" t="str">
        <f aca="false">IF(ISNUMBER(B214),"OK","BAD DATE")</f>
        <v>OK</v>
      </c>
      <c r="R214" s="2" t="str">
        <f aca="false">IF(ROUND(F214,2)=F214,"OK","FIX")</f>
        <v>OK</v>
      </c>
    </row>
    <row r="215" customFormat="false" ht="15" hidden="false" customHeight="false" outlineLevel="0" collapsed="false">
      <c r="A215" s="2" t="s">
        <v>868</v>
      </c>
      <c r="B215" s="3" t="n">
        <v>45036</v>
      </c>
      <c r="C215" s="2" t="s">
        <v>869</v>
      </c>
      <c r="D215" s="2" t="s">
        <v>62</v>
      </c>
      <c r="E215" s="2" t="n">
        <v>1</v>
      </c>
      <c r="F215" s="4" t="n">
        <v>634.4</v>
      </c>
      <c r="G215" s="2" t="s">
        <v>870</v>
      </c>
      <c r="H215" s="2" t="s">
        <v>69</v>
      </c>
      <c r="I215" s="2" t="s">
        <v>39</v>
      </c>
      <c r="J215" s="2" t="s">
        <v>871</v>
      </c>
      <c r="K215" s="2" t="n">
        <v>6</v>
      </c>
      <c r="L215" s="2" t="s">
        <v>25</v>
      </c>
      <c r="M215" s="2" t="s">
        <v>42</v>
      </c>
      <c r="N215" s="4" t="n">
        <v>634.4</v>
      </c>
      <c r="O215" s="2" t="str">
        <f aca="false">IF(COUNTIF($A$2:$A$1201,A215)&gt;1,"DUPLICATE","Unique")</f>
        <v>Unique</v>
      </c>
      <c r="P215" s="2" t="str">
        <f aca="false">IF(L215="","MISSING","OK")</f>
        <v>OK</v>
      </c>
      <c r="Q215" s="2" t="str">
        <f aca="false">IF(ISNUMBER(B215),"OK","BAD DATE")</f>
        <v>OK</v>
      </c>
      <c r="R215" s="2" t="str">
        <f aca="false">IF(ROUND(F215,2)=F215,"OK","FIX")</f>
        <v>OK</v>
      </c>
    </row>
    <row r="216" customFormat="false" ht="15" hidden="false" customHeight="false" outlineLevel="0" collapsed="false">
      <c r="A216" s="2" t="s">
        <v>872</v>
      </c>
      <c r="B216" s="3" t="n">
        <v>45525</v>
      </c>
      <c r="C216" s="2" t="s">
        <v>873</v>
      </c>
      <c r="D216" s="2" t="s">
        <v>77</v>
      </c>
      <c r="E216" s="2" t="n">
        <v>4</v>
      </c>
      <c r="F216" s="4" t="n">
        <v>305.72</v>
      </c>
      <c r="G216" s="2" t="s">
        <v>521</v>
      </c>
      <c r="H216" s="2" t="s">
        <v>31</v>
      </c>
      <c r="I216" s="2" t="s">
        <v>54</v>
      </c>
      <c r="J216" s="2" t="s">
        <v>874</v>
      </c>
      <c r="K216" s="2" t="n">
        <v>5</v>
      </c>
      <c r="L216" s="2"/>
      <c r="M216" s="2" t="s">
        <v>49</v>
      </c>
      <c r="N216" s="4" t="n">
        <v>1222.88</v>
      </c>
      <c r="O216" s="2" t="str">
        <f aca="false">IF(COUNTIF($A$2:$A$1201,A216)&gt;1,"DUPLICATE","Unique")</f>
        <v>Unique</v>
      </c>
      <c r="P216" s="2" t="str">
        <f aca="false">IF(L216="","MISSING","OK")</f>
        <v>MISSING</v>
      </c>
      <c r="Q216" s="2" t="str">
        <f aca="false">IF(ISNUMBER(B216),"OK","BAD DATE")</f>
        <v>OK</v>
      </c>
      <c r="R216" s="2" t="str">
        <f aca="false">IF(ROUND(F216,2)=F216,"OK","FIX")</f>
        <v>OK</v>
      </c>
    </row>
    <row r="217" customFormat="false" ht="15" hidden="false" customHeight="false" outlineLevel="0" collapsed="false">
      <c r="A217" s="2" t="s">
        <v>875</v>
      </c>
      <c r="B217" s="3" t="n">
        <v>45148</v>
      </c>
      <c r="C217" s="2" t="s">
        <v>876</v>
      </c>
      <c r="D217" s="2" t="s">
        <v>52</v>
      </c>
      <c r="E217" s="2" t="n">
        <v>1</v>
      </c>
      <c r="F217" s="4" t="n">
        <v>303.6</v>
      </c>
      <c r="G217" s="2" t="s">
        <v>877</v>
      </c>
      <c r="H217" s="2" t="s">
        <v>69</v>
      </c>
      <c r="I217" s="2" t="s">
        <v>23</v>
      </c>
      <c r="J217" s="2" t="s">
        <v>878</v>
      </c>
      <c r="K217" s="2" t="n">
        <v>5</v>
      </c>
      <c r="L217" s="2" t="s">
        <v>41</v>
      </c>
      <c r="M217" s="2" t="s">
        <v>49</v>
      </c>
      <c r="N217" s="4" t="n">
        <v>303.6</v>
      </c>
      <c r="O217" s="2" t="str">
        <f aca="false">IF(COUNTIF($A$2:$A$1201,A217)&gt;1,"DUPLICATE","Unique")</f>
        <v>Unique</v>
      </c>
      <c r="P217" s="2" t="str">
        <f aca="false">IF(L217="","MISSING","OK")</f>
        <v>OK</v>
      </c>
      <c r="Q217" s="2" t="str">
        <f aca="false">IF(ISNUMBER(B217),"OK","BAD DATE")</f>
        <v>OK</v>
      </c>
      <c r="R217" s="2" t="str">
        <f aca="false">IF(ROUND(F217,2)=F217,"OK","FIX")</f>
        <v>OK</v>
      </c>
    </row>
    <row r="218" customFormat="false" ht="15" hidden="false" customHeight="false" outlineLevel="0" collapsed="false">
      <c r="A218" s="2" t="s">
        <v>879</v>
      </c>
      <c r="B218" s="3" t="n">
        <v>45762</v>
      </c>
      <c r="C218" s="2" t="s">
        <v>880</v>
      </c>
      <c r="D218" s="2" t="s">
        <v>20</v>
      </c>
      <c r="E218" s="2" t="n">
        <v>4</v>
      </c>
      <c r="F218" s="4" t="n">
        <v>496</v>
      </c>
      <c r="G218" s="2" t="s">
        <v>277</v>
      </c>
      <c r="H218" s="2" t="s">
        <v>31</v>
      </c>
      <c r="I218" s="2" t="s">
        <v>39</v>
      </c>
      <c r="J218" s="2" t="s">
        <v>881</v>
      </c>
      <c r="K218" s="2" t="n">
        <v>8</v>
      </c>
      <c r="L218" s="2" t="s">
        <v>85</v>
      </c>
      <c r="M218" s="2" t="s">
        <v>80</v>
      </c>
      <c r="N218" s="4" t="n">
        <v>1984</v>
      </c>
      <c r="O218" s="2" t="str">
        <f aca="false">IF(COUNTIF($A$2:$A$1201,A218)&gt;1,"DUPLICATE","Unique")</f>
        <v>Unique</v>
      </c>
      <c r="P218" s="2" t="str">
        <f aca="false">IF(L218="","MISSING","OK")</f>
        <v>OK</v>
      </c>
      <c r="Q218" s="2" t="str">
        <f aca="false">IF(ISNUMBER(B218),"OK","BAD DATE")</f>
        <v>OK</v>
      </c>
      <c r="R218" s="2" t="str">
        <f aca="false">IF(ROUND(F218,2)=F218,"OK","FIX")</f>
        <v>OK</v>
      </c>
    </row>
    <row r="219" customFormat="false" ht="15" hidden="false" customHeight="false" outlineLevel="0" collapsed="false">
      <c r="A219" s="2" t="s">
        <v>882</v>
      </c>
      <c r="B219" s="3" t="n">
        <v>45432</v>
      </c>
      <c r="C219" s="2" t="s">
        <v>883</v>
      </c>
      <c r="D219" s="2" t="s">
        <v>77</v>
      </c>
      <c r="E219" s="2" t="n">
        <v>4</v>
      </c>
      <c r="F219" s="4" t="n">
        <v>321.51</v>
      </c>
      <c r="G219" s="2" t="s">
        <v>884</v>
      </c>
      <c r="H219" s="2" t="s">
        <v>69</v>
      </c>
      <c r="I219" s="2" t="s">
        <v>47</v>
      </c>
      <c r="J219" s="2" t="s">
        <v>885</v>
      </c>
      <c r="K219" s="2" t="n">
        <v>9</v>
      </c>
      <c r="L219" s="2"/>
      <c r="M219" s="2" t="s">
        <v>80</v>
      </c>
      <c r="N219" s="4" t="n">
        <v>1286.04</v>
      </c>
      <c r="O219" s="2" t="str">
        <f aca="false">IF(COUNTIF($A$2:$A$1201,A219)&gt;1,"DUPLICATE","Unique")</f>
        <v>Unique</v>
      </c>
      <c r="P219" s="2" t="str">
        <f aca="false">IF(L219="","MISSING","OK")</f>
        <v>MISSING</v>
      </c>
      <c r="Q219" s="2" t="str">
        <f aca="false">IF(ISNUMBER(B219),"OK","BAD DATE")</f>
        <v>OK</v>
      </c>
      <c r="R219" s="2" t="str">
        <f aca="false">IF(ROUND(F219,2)=F219,"OK","FIX")</f>
        <v>OK</v>
      </c>
    </row>
    <row r="220" customFormat="false" ht="15" hidden="false" customHeight="false" outlineLevel="0" collapsed="false">
      <c r="A220" s="2" t="s">
        <v>886</v>
      </c>
      <c r="B220" s="3" t="n">
        <v>45044</v>
      </c>
      <c r="C220" s="2" t="s">
        <v>887</v>
      </c>
      <c r="D220" s="2" t="s">
        <v>36</v>
      </c>
      <c r="E220" s="2" t="n">
        <v>3</v>
      </c>
      <c r="F220" s="4" t="n">
        <v>112.46</v>
      </c>
      <c r="G220" s="2" t="s">
        <v>888</v>
      </c>
      <c r="H220" s="2" t="s">
        <v>64</v>
      </c>
      <c r="I220" s="2" t="s">
        <v>23</v>
      </c>
      <c r="J220" s="2" t="s">
        <v>889</v>
      </c>
      <c r="K220" s="2" t="n">
        <v>6</v>
      </c>
      <c r="L220" s="2" t="s">
        <v>25</v>
      </c>
      <c r="M220" s="2" t="s">
        <v>26</v>
      </c>
      <c r="N220" s="4" t="n">
        <v>337.38</v>
      </c>
      <c r="O220" s="2" t="str">
        <f aca="false">IF(COUNTIF($A$2:$A$1201,A220)&gt;1,"DUPLICATE","Unique")</f>
        <v>Unique</v>
      </c>
      <c r="P220" s="2" t="str">
        <f aca="false">IF(L220="","MISSING","OK")</f>
        <v>OK</v>
      </c>
      <c r="Q220" s="2" t="str">
        <f aca="false">IF(ISNUMBER(B220),"OK","BAD DATE")</f>
        <v>OK</v>
      </c>
      <c r="R220" s="2" t="str">
        <f aca="false">IF(ROUND(F220,2)=F220,"OK","FIX")</f>
        <v>OK</v>
      </c>
    </row>
    <row r="221" customFormat="false" ht="15" hidden="false" customHeight="false" outlineLevel="0" collapsed="false">
      <c r="A221" s="2" t="s">
        <v>890</v>
      </c>
      <c r="B221" s="3" t="n">
        <v>45779</v>
      </c>
      <c r="C221" s="2" t="s">
        <v>891</v>
      </c>
      <c r="D221" s="2" t="s">
        <v>62</v>
      </c>
      <c r="E221" s="2" t="n">
        <v>5</v>
      </c>
      <c r="F221" s="4" t="n">
        <v>61.97</v>
      </c>
      <c r="G221" s="2" t="s">
        <v>892</v>
      </c>
      <c r="H221" s="2" t="s">
        <v>69</v>
      </c>
      <c r="I221" s="2" t="s">
        <v>54</v>
      </c>
      <c r="J221" s="2" t="s">
        <v>893</v>
      </c>
      <c r="K221" s="2" t="n">
        <v>6</v>
      </c>
      <c r="L221" s="2" t="s">
        <v>25</v>
      </c>
      <c r="M221" s="2" t="s">
        <v>42</v>
      </c>
      <c r="N221" s="4" t="n">
        <v>309.85</v>
      </c>
      <c r="O221" s="2" t="str">
        <f aca="false">IF(COUNTIF($A$2:$A$1201,A221)&gt;1,"DUPLICATE","Unique")</f>
        <v>Unique</v>
      </c>
      <c r="P221" s="2" t="str">
        <f aca="false">IF(L221="","MISSING","OK")</f>
        <v>OK</v>
      </c>
      <c r="Q221" s="2" t="str">
        <f aca="false">IF(ISNUMBER(B221),"OK","BAD DATE")</f>
        <v>OK</v>
      </c>
      <c r="R221" s="2" t="str">
        <f aca="false">IF(ROUND(F221,2)=F221,"OK","FIX")</f>
        <v>OK</v>
      </c>
    </row>
    <row r="222" customFormat="false" ht="15" hidden="false" customHeight="false" outlineLevel="0" collapsed="false">
      <c r="A222" s="2" t="s">
        <v>894</v>
      </c>
      <c r="B222" s="3" t="n">
        <v>45125</v>
      </c>
      <c r="C222" s="2" t="s">
        <v>895</v>
      </c>
      <c r="D222" s="2" t="s">
        <v>62</v>
      </c>
      <c r="E222" s="2" t="n">
        <v>2</v>
      </c>
      <c r="F222" s="4" t="n">
        <v>373.17</v>
      </c>
      <c r="G222" s="2" t="s">
        <v>896</v>
      </c>
      <c r="H222" s="2" t="s">
        <v>38</v>
      </c>
      <c r="I222" s="2" t="s">
        <v>93</v>
      </c>
      <c r="J222" s="2" t="s">
        <v>897</v>
      </c>
      <c r="K222" s="2" t="n">
        <v>6</v>
      </c>
      <c r="L222" s="2" t="s">
        <v>25</v>
      </c>
      <c r="M222" s="2" t="s">
        <v>33</v>
      </c>
      <c r="N222" s="4" t="n">
        <v>746.34</v>
      </c>
      <c r="O222" s="2" t="str">
        <f aca="false">IF(COUNTIF($A$2:$A$1201,A222)&gt;1,"DUPLICATE","Unique")</f>
        <v>Unique</v>
      </c>
      <c r="P222" s="2" t="str">
        <f aca="false">IF(L222="","MISSING","OK")</f>
        <v>OK</v>
      </c>
      <c r="Q222" s="2" t="str">
        <f aca="false">IF(ISNUMBER(B222),"OK","BAD DATE")</f>
        <v>OK</v>
      </c>
      <c r="R222" s="2" t="str">
        <f aca="false">IF(ROUND(F222,2)=F222,"OK","FIX")</f>
        <v>OK</v>
      </c>
    </row>
    <row r="223" customFormat="false" ht="15" hidden="false" customHeight="false" outlineLevel="0" collapsed="false">
      <c r="A223" s="2" t="s">
        <v>898</v>
      </c>
      <c r="B223" s="3" t="n">
        <v>45345</v>
      </c>
      <c r="C223" s="2" t="s">
        <v>899</v>
      </c>
      <c r="D223" s="2" t="s">
        <v>36</v>
      </c>
      <c r="E223" s="2" t="n">
        <v>5</v>
      </c>
      <c r="F223" s="4" t="n">
        <v>639.37</v>
      </c>
      <c r="G223" s="2" t="s">
        <v>316</v>
      </c>
      <c r="H223" s="2" t="s">
        <v>22</v>
      </c>
      <c r="I223" s="2" t="s">
        <v>93</v>
      </c>
      <c r="J223" s="2" t="s">
        <v>900</v>
      </c>
      <c r="K223" s="2" t="n">
        <v>6</v>
      </c>
      <c r="L223" s="2" t="s">
        <v>25</v>
      </c>
      <c r="M223" s="2" t="s">
        <v>80</v>
      </c>
      <c r="N223" s="4" t="n">
        <v>3196.85</v>
      </c>
      <c r="O223" s="2" t="str">
        <f aca="false">IF(COUNTIF($A$2:$A$1201,A223)&gt;1,"DUPLICATE","Unique")</f>
        <v>Unique</v>
      </c>
      <c r="P223" s="2" t="str">
        <f aca="false">IF(L223="","MISSING","OK")</f>
        <v>OK</v>
      </c>
      <c r="Q223" s="2" t="str">
        <f aca="false">IF(ISNUMBER(B223),"OK","BAD DATE")</f>
        <v>OK</v>
      </c>
      <c r="R223" s="2" t="str">
        <f aca="false">IF(ROUND(F223,2)=F223,"OK","FIX")</f>
        <v>OK</v>
      </c>
    </row>
    <row r="224" customFormat="false" ht="15" hidden="false" customHeight="false" outlineLevel="0" collapsed="false">
      <c r="A224" s="2" t="s">
        <v>901</v>
      </c>
      <c r="B224" s="3" t="n">
        <v>45050</v>
      </c>
      <c r="C224" s="2" t="s">
        <v>902</v>
      </c>
      <c r="D224" s="2" t="s">
        <v>45</v>
      </c>
      <c r="E224" s="2" t="n">
        <v>4</v>
      </c>
      <c r="F224" s="4" t="n">
        <v>693.36</v>
      </c>
      <c r="G224" s="2" t="s">
        <v>903</v>
      </c>
      <c r="H224" s="2" t="s">
        <v>31</v>
      </c>
      <c r="I224" s="2" t="s">
        <v>23</v>
      </c>
      <c r="J224" s="2" t="s">
        <v>904</v>
      </c>
      <c r="K224" s="2" t="n">
        <v>8</v>
      </c>
      <c r="L224" s="2"/>
      <c r="M224" s="2" t="s">
        <v>26</v>
      </c>
      <c r="N224" s="4" t="n">
        <v>2773.44</v>
      </c>
      <c r="O224" s="2" t="str">
        <f aca="false">IF(COUNTIF($A$2:$A$1201,A224)&gt;1,"DUPLICATE","Unique")</f>
        <v>Unique</v>
      </c>
      <c r="P224" s="2" t="str">
        <f aca="false">IF(L224="","MISSING","OK")</f>
        <v>MISSING</v>
      </c>
      <c r="Q224" s="2" t="str">
        <f aca="false">IF(ISNUMBER(B224),"OK","BAD DATE")</f>
        <v>OK</v>
      </c>
      <c r="R224" s="2" t="str">
        <f aca="false">IF(ROUND(F224,2)=F224,"OK","FIX")</f>
        <v>OK</v>
      </c>
    </row>
    <row r="225" customFormat="false" ht="15" hidden="false" customHeight="false" outlineLevel="0" collapsed="false">
      <c r="A225" s="2" t="s">
        <v>905</v>
      </c>
      <c r="B225" s="3" t="n">
        <v>45546</v>
      </c>
      <c r="C225" s="2" t="s">
        <v>906</v>
      </c>
      <c r="D225" s="2" t="s">
        <v>29</v>
      </c>
      <c r="E225" s="2" t="n">
        <v>4</v>
      </c>
      <c r="F225" s="4" t="n">
        <v>692.91</v>
      </c>
      <c r="G225" s="2" t="s">
        <v>521</v>
      </c>
      <c r="H225" s="2" t="s">
        <v>38</v>
      </c>
      <c r="I225" s="2" t="s">
        <v>93</v>
      </c>
      <c r="J225" s="2" t="s">
        <v>907</v>
      </c>
      <c r="K225" s="2" t="n">
        <v>9</v>
      </c>
      <c r="L225" s="2" t="s">
        <v>25</v>
      </c>
      <c r="M225" s="2" t="s">
        <v>26</v>
      </c>
      <c r="N225" s="4" t="n">
        <v>2771.64</v>
      </c>
      <c r="O225" s="2" t="str">
        <f aca="false">IF(COUNTIF($A$2:$A$1201,A225)&gt;1,"DUPLICATE","Unique")</f>
        <v>Unique</v>
      </c>
      <c r="P225" s="2" t="str">
        <f aca="false">IF(L225="","MISSING","OK")</f>
        <v>OK</v>
      </c>
      <c r="Q225" s="2" t="str">
        <f aca="false">IF(ISNUMBER(B225),"OK","BAD DATE")</f>
        <v>OK</v>
      </c>
      <c r="R225" s="2" t="str">
        <f aca="false">IF(ROUND(F225,2)=F225,"OK","FIX")</f>
        <v>OK</v>
      </c>
    </row>
    <row r="226" customFormat="false" ht="15" hidden="false" customHeight="false" outlineLevel="0" collapsed="false">
      <c r="A226" s="2" t="s">
        <v>908</v>
      </c>
      <c r="B226" s="3" t="n">
        <v>45192</v>
      </c>
      <c r="C226" s="2" t="s">
        <v>909</v>
      </c>
      <c r="D226" s="2" t="s">
        <v>52</v>
      </c>
      <c r="E226" s="2" t="n">
        <v>4</v>
      </c>
      <c r="F226" s="4" t="n">
        <v>91.46</v>
      </c>
      <c r="G226" s="2" t="s">
        <v>910</v>
      </c>
      <c r="H226" s="2" t="s">
        <v>69</v>
      </c>
      <c r="I226" s="2" t="s">
        <v>39</v>
      </c>
      <c r="J226" s="2" t="s">
        <v>911</v>
      </c>
      <c r="K226" s="2" t="n">
        <v>9</v>
      </c>
      <c r="L226" s="2" t="s">
        <v>25</v>
      </c>
      <c r="M226" s="2" t="s">
        <v>33</v>
      </c>
      <c r="N226" s="4" t="n">
        <v>365.84</v>
      </c>
      <c r="O226" s="2" t="str">
        <f aca="false">IF(COUNTIF($A$2:$A$1201,A226)&gt;1,"DUPLICATE","Unique")</f>
        <v>Unique</v>
      </c>
      <c r="P226" s="2" t="str">
        <f aca="false">IF(L226="","MISSING","OK")</f>
        <v>OK</v>
      </c>
      <c r="Q226" s="2" t="str">
        <f aca="false">IF(ISNUMBER(B226),"OK","BAD DATE")</f>
        <v>OK</v>
      </c>
      <c r="R226" s="2" t="str">
        <f aca="false">IF(ROUND(F226,2)=F226,"OK","FIX")</f>
        <v>OK</v>
      </c>
    </row>
    <row r="227" customFormat="false" ht="15" hidden="false" customHeight="false" outlineLevel="0" collapsed="false">
      <c r="A227" s="2" t="s">
        <v>912</v>
      </c>
      <c r="B227" s="3" t="n">
        <v>45364</v>
      </c>
      <c r="C227" s="2" t="s">
        <v>913</v>
      </c>
      <c r="D227" s="2" t="s">
        <v>29</v>
      </c>
      <c r="E227" s="2" t="n">
        <v>3</v>
      </c>
      <c r="F227" s="4" t="n">
        <v>273.96</v>
      </c>
      <c r="G227" s="2" t="s">
        <v>914</v>
      </c>
      <c r="H227" s="2" t="s">
        <v>22</v>
      </c>
      <c r="I227" s="2" t="s">
        <v>47</v>
      </c>
      <c r="J227" s="2" t="s">
        <v>915</v>
      </c>
      <c r="K227" s="2" t="n">
        <v>8</v>
      </c>
      <c r="L227" s="2" t="s">
        <v>25</v>
      </c>
      <c r="M227" s="2" t="s">
        <v>80</v>
      </c>
      <c r="N227" s="4" t="n">
        <v>821.88</v>
      </c>
      <c r="O227" s="2" t="str">
        <f aca="false">IF(COUNTIF($A$2:$A$1201,A227)&gt;1,"DUPLICATE","Unique")</f>
        <v>Unique</v>
      </c>
      <c r="P227" s="2" t="str">
        <f aca="false">IF(L227="","MISSING","OK")</f>
        <v>OK</v>
      </c>
      <c r="Q227" s="2" t="str">
        <f aca="false">IF(ISNUMBER(B227),"OK","BAD DATE")</f>
        <v>OK</v>
      </c>
      <c r="R227" s="2" t="str">
        <f aca="false">IF(ROUND(F227,2)=F227,"OK","FIX")</f>
        <v>OK</v>
      </c>
    </row>
    <row r="228" customFormat="false" ht="15" hidden="false" customHeight="false" outlineLevel="0" collapsed="false">
      <c r="A228" s="2" t="s">
        <v>916</v>
      </c>
      <c r="B228" s="3" t="n">
        <v>45835</v>
      </c>
      <c r="C228" s="2" t="s">
        <v>917</v>
      </c>
      <c r="D228" s="2" t="s">
        <v>77</v>
      </c>
      <c r="E228" s="2" t="n">
        <v>3</v>
      </c>
      <c r="F228" s="4" t="n">
        <v>588.05</v>
      </c>
      <c r="G228" s="2" t="s">
        <v>918</v>
      </c>
      <c r="H228" s="2" t="s">
        <v>64</v>
      </c>
      <c r="I228" s="2" t="s">
        <v>54</v>
      </c>
      <c r="J228" s="2" t="s">
        <v>919</v>
      </c>
      <c r="K228" s="2" t="n">
        <v>8</v>
      </c>
      <c r="L228" s="2"/>
      <c r="M228" s="2" t="s">
        <v>26</v>
      </c>
      <c r="N228" s="4" t="n">
        <v>1764.15</v>
      </c>
      <c r="O228" s="2" t="str">
        <f aca="false">IF(COUNTIF($A$2:$A$1201,A228)&gt;1,"DUPLICATE","Unique")</f>
        <v>Unique</v>
      </c>
      <c r="P228" s="2" t="str">
        <f aca="false">IF(L228="","MISSING","OK")</f>
        <v>MISSING</v>
      </c>
      <c r="Q228" s="2" t="str">
        <f aca="false">IF(ISNUMBER(B228),"OK","BAD DATE")</f>
        <v>OK</v>
      </c>
      <c r="R228" s="2" t="str">
        <f aca="false">IF(ROUND(F228,2)=F228,"OK","FIX")</f>
        <v>OK</v>
      </c>
    </row>
    <row r="229" customFormat="false" ht="15" hidden="false" customHeight="false" outlineLevel="0" collapsed="false">
      <c r="A229" s="2" t="s">
        <v>920</v>
      </c>
      <c r="B229" s="3" t="n">
        <v>45232</v>
      </c>
      <c r="C229" s="2" t="s">
        <v>921</v>
      </c>
      <c r="D229" s="2" t="s">
        <v>20</v>
      </c>
      <c r="E229" s="2" t="n">
        <v>2</v>
      </c>
      <c r="F229" s="4" t="n">
        <v>365.17</v>
      </c>
      <c r="G229" s="2" t="s">
        <v>541</v>
      </c>
      <c r="H229" s="2" t="s">
        <v>31</v>
      </c>
      <c r="I229" s="2" t="s">
        <v>39</v>
      </c>
      <c r="J229" s="2" t="s">
        <v>922</v>
      </c>
      <c r="K229" s="2" t="n">
        <v>4</v>
      </c>
      <c r="L229" s="2" t="s">
        <v>41</v>
      </c>
      <c r="M229" s="2" t="s">
        <v>49</v>
      </c>
      <c r="N229" s="4" t="n">
        <v>730.34</v>
      </c>
      <c r="O229" s="2" t="str">
        <f aca="false">IF(COUNTIF($A$2:$A$1201,A229)&gt;1,"DUPLICATE","Unique")</f>
        <v>Unique</v>
      </c>
      <c r="P229" s="2" t="str">
        <f aca="false">IF(L229="","MISSING","OK")</f>
        <v>OK</v>
      </c>
      <c r="Q229" s="2" t="str">
        <f aca="false">IF(ISNUMBER(B229),"OK","BAD DATE")</f>
        <v>OK</v>
      </c>
      <c r="R229" s="2" t="str">
        <f aca="false">IF(ROUND(F229,2)=F229,"OK","FIX")</f>
        <v>OK</v>
      </c>
    </row>
    <row r="230" customFormat="false" ht="15" hidden="false" customHeight="false" outlineLevel="0" collapsed="false">
      <c r="A230" s="2" t="s">
        <v>923</v>
      </c>
      <c r="B230" s="3" t="n">
        <v>45063</v>
      </c>
      <c r="C230" s="2" t="s">
        <v>924</v>
      </c>
      <c r="D230" s="2" t="s">
        <v>45</v>
      </c>
      <c r="E230" s="2" t="n">
        <v>4</v>
      </c>
      <c r="F230" s="4" t="n">
        <v>385.92</v>
      </c>
      <c r="G230" s="2" t="s">
        <v>925</v>
      </c>
      <c r="H230" s="2" t="s">
        <v>38</v>
      </c>
      <c r="I230" s="2" t="s">
        <v>39</v>
      </c>
      <c r="J230" s="2" t="s">
        <v>926</v>
      </c>
      <c r="K230" s="2" t="n">
        <v>8</v>
      </c>
      <c r="L230" s="2"/>
      <c r="M230" s="2" t="s">
        <v>26</v>
      </c>
      <c r="N230" s="4" t="n">
        <v>1543.68</v>
      </c>
      <c r="O230" s="2" t="str">
        <f aca="false">IF(COUNTIF($A$2:$A$1201,A230)&gt;1,"DUPLICATE","Unique")</f>
        <v>Unique</v>
      </c>
      <c r="P230" s="2" t="str">
        <f aca="false">IF(L230="","MISSING","OK")</f>
        <v>MISSING</v>
      </c>
      <c r="Q230" s="2" t="str">
        <f aca="false">IF(ISNUMBER(B230),"OK","BAD DATE")</f>
        <v>OK</v>
      </c>
      <c r="R230" s="2" t="str">
        <f aca="false">IF(ROUND(F230,2)=F230,"OK","FIX")</f>
        <v>OK</v>
      </c>
    </row>
    <row r="231" customFormat="false" ht="15" hidden="false" customHeight="false" outlineLevel="0" collapsed="false">
      <c r="A231" s="2" t="s">
        <v>927</v>
      </c>
      <c r="B231" s="3" t="n">
        <v>45744</v>
      </c>
      <c r="C231" s="2" t="s">
        <v>928</v>
      </c>
      <c r="D231" s="2" t="s">
        <v>36</v>
      </c>
      <c r="E231" s="2" t="n">
        <v>1</v>
      </c>
      <c r="F231" s="4" t="n">
        <v>562.61</v>
      </c>
      <c r="G231" s="2" t="s">
        <v>929</v>
      </c>
      <c r="H231" s="2" t="s">
        <v>38</v>
      </c>
      <c r="I231" s="2" t="s">
        <v>54</v>
      </c>
      <c r="J231" s="2" t="s">
        <v>930</v>
      </c>
      <c r="K231" s="2" t="n">
        <v>3</v>
      </c>
      <c r="L231" s="2" t="s">
        <v>85</v>
      </c>
      <c r="M231" s="2" t="s">
        <v>49</v>
      </c>
      <c r="N231" s="4" t="n">
        <v>562.61</v>
      </c>
      <c r="O231" s="2" t="str">
        <f aca="false">IF(COUNTIF($A$2:$A$1201,A231)&gt;1,"DUPLICATE","Unique")</f>
        <v>Unique</v>
      </c>
      <c r="P231" s="2" t="str">
        <f aca="false">IF(L231="","MISSING","OK")</f>
        <v>OK</v>
      </c>
      <c r="Q231" s="2" t="str">
        <f aca="false">IF(ISNUMBER(B231),"OK","BAD DATE")</f>
        <v>OK</v>
      </c>
      <c r="R231" s="2" t="str">
        <f aca="false">IF(ROUND(F231,2)=F231,"OK","FIX")</f>
        <v>OK</v>
      </c>
    </row>
    <row r="232" customFormat="false" ht="15" hidden="false" customHeight="false" outlineLevel="0" collapsed="false">
      <c r="A232" s="2" t="s">
        <v>931</v>
      </c>
      <c r="B232" s="3" t="n">
        <v>45276</v>
      </c>
      <c r="C232" s="2" t="s">
        <v>932</v>
      </c>
      <c r="D232" s="2" t="s">
        <v>77</v>
      </c>
      <c r="E232" s="2" t="n">
        <v>4</v>
      </c>
      <c r="F232" s="4" t="n">
        <v>61.91</v>
      </c>
      <c r="G232" s="2" t="s">
        <v>933</v>
      </c>
      <c r="H232" s="2" t="s">
        <v>64</v>
      </c>
      <c r="I232" s="2" t="s">
        <v>54</v>
      </c>
      <c r="J232" s="2" t="s">
        <v>934</v>
      </c>
      <c r="K232" s="2" t="n">
        <v>6</v>
      </c>
      <c r="L232" s="2" t="s">
        <v>85</v>
      </c>
      <c r="M232" s="2" t="s">
        <v>42</v>
      </c>
      <c r="N232" s="4" t="n">
        <v>247.64</v>
      </c>
      <c r="O232" s="2" t="str">
        <f aca="false">IF(COUNTIF($A$2:$A$1201,A232)&gt;1,"DUPLICATE","Unique")</f>
        <v>Unique</v>
      </c>
      <c r="P232" s="2" t="str">
        <f aca="false">IF(L232="","MISSING","OK")</f>
        <v>OK</v>
      </c>
      <c r="Q232" s="2" t="str">
        <f aca="false">IF(ISNUMBER(B232),"OK","BAD DATE")</f>
        <v>OK</v>
      </c>
      <c r="R232" s="2" t="str">
        <f aca="false">IF(ROUND(F232,2)=F232,"OK","FIX")</f>
        <v>OK</v>
      </c>
    </row>
    <row r="233" customFormat="false" ht="15" hidden="false" customHeight="false" outlineLevel="0" collapsed="false">
      <c r="A233" s="2" t="s">
        <v>935</v>
      </c>
      <c r="B233" s="3" t="n">
        <v>45235</v>
      </c>
      <c r="C233" s="2" t="s">
        <v>936</v>
      </c>
      <c r="D233" s="2" t="s">
        <v>29</v>
      </c>
      <c r="E233" s="2" t="n">
        <v>4</v>
      </c>
      <c r="F233" s="4" t="n">
        <v>41.9</v>
      </c>
      <c r="G233" s="2" t="s">
        <v>937</v>
      </c>
      <c r="H233" s="2" t="s">
        <v>64</v>
      </c>
      <c r="I233" s="2" t="s">
        <v>93</v>
      </c>
      <c r="J233" s="2" t="s">
        <v>938</v>
      </c>
      <c r="K233" s="2" t="n">
        <v>9</v>
      </c>
      <c r="L233" s="2" t="s">
        <v>41</v>
      </c>
      <c r="M233" s="2" t="s">
        <v>26</v>
      </c>
      <c r="N233" s="4" t="n">
        <v>167.6</v>
      </c>
      <c r="O233" s="2" t="str">
        <f aca="false">IF(COUNTIF($A$2:$A$1201,A233)&gt;1,"DUPLICATE","Unique")</f>
        <v>Unique</v>
      </c>
      <c r="P233" s="2" t="str">
        <f aca="false">IF(L233="","MISSING","OK")</f>
        <v>OK</v>
      </c>
      <c r="Q233" s="2" t="str">
        <f aca="false">IF(ISNUMBER(B233),"OK","BAD DATE")</f>
        <v>OK</v>
      </c>
      <c r="R233" s="2" t="str">
        <f aca="false">IF(ROUND(F233,2)=F233,"OK","FIX")</f>
        <v>OK</v>
      </c>
    </row>
    <row r="234" customFormat="false" ht="15" hidden="false" customHeight="false" outlineLevel="0" collapsed="false">
      <c r="A234" s="2" t="s">
        <v>939</v>
      </c>
      <c r="B234" s="3" t="n">
        <v>45065</v>
      </c>
      <c r="C234" s="2" t="s">
        <v>940</v>
      </c>
      <c r="D234" s="2" t="s">
        <v>52</v>
      </c>
      <c r="E234" s="2" t="n">
        <v>4</v>
      </c>
      <c r="F234" s="4" t="n">
        <v>444.44</v>
      </c>
      <c r="G234" s="2" t="s">
        <v>941</v>
      </c>
      <c r="H234" s="2" t="s">
        <v>22</v>
      </c>
      <c r="I234" s="2" t="s">
        <v>39</v>
      </c>
      <c r="J234" s="2" t="s">
        <v>942</v>
      </c>
      <c r="K234" s="2" t="n">
        <v>8</v>
      </c>
      <c r="L234" s="2" t="s">
        <v>85</v>
      </c>
      <c r="M234" s="2" t="s">
        <v>80</v>
      </c>
      <c r="N234" s="4" t="n">
        <v>1777.76</v>
      </c>
      <c r="O234" s="2" t="str">
        <f aca="false">IF(COUNTIF($A$2:$A$1201,A234)&gt;1,"DUPLICATE","Unique")</f>
        <v>Unique</v>
      </c>
      <c r="P234" s="2" t="str">
        <f aca="false">IF(L234="","MISSING","OK")</f>
        <v>OK</v>
      </c>
      <c r="Q234" s="2" t="str">
        <f aca="false">IF(ISNUMBER(B234),"OK","BAD DATE")</f>
        <v>OK</v>
      </c>
      <c r="R234" s="2" t="str">
        <f aca="false">IF(ROUND(F234,2)=F234,"OK","FIX")</f>
        <v>OK</v>
      </c>
    </row>
    <row r="235" customFormat="false" ht="15" hidden="false" customHeight="false" outlineLevel="0" collapsed="false">
      <c r="A235" s="2" t="s">
        <v>943</v>
      </c>
      <c r="B235" s="3" t="n">
        <v>45528</v>
      </c>
      <c r="C235" s="2" t="s">
        <v>944</v>
      </c>
      <c r="D235" s="2" t="s">
        <v>29</v>
      </c>
      <c r="E235" s="2" t="n">
        <v>3</v>
      </c>
      <c r="F235" s="4" t="n">
        <v>311.33</v>
      </c>
      <c r="G235" s="2" t="s">
        <v>351</v>
      </c>
      <c r="H235" s="2" t="s">
        <v>69</v>
      </c>
      <c r="I235" s="2" t="s">
        <v>39</v>
      </c>
      <c r="J235" s="2" t="s">
        <v>945</v>
      </c>
      <c r="K235" s="2" t="n">
        <v>3</v>
      </c>
      <c r="L235" s="2" t="s">
        <v>85</v>
      </c>
      <c r="M235" s="2" t="s">
        <v>26</v>
      </c>
      <c r="N235" s="4" t="n">
        <v>933.99</v>
      </c>
      <c r="O235" s="2" t="str">
        <f aca="false">IF(COUNTIF($A$2:$A$1201,A235)&gt;1,"DUPLICATE","Unique")</f>
        <v>Unique</v>
      </c>
      <c r="P235" s="2" t="str">
        <f aca="false">IF(L235="","MISSING","OK")</f>
        <v>OK</v>
      </c>
      <c r="Q235" s="2" t="str">
        <f aca="false">IF(ISNUMBER(B235),"OK","BAD DATE")</f>
        <v>OK</v>
      </c>
      <c r="R235" s="2" t="str">
        <f aca="false">IF(ROUND(F235,2)=F235,"OK","FIX")</f>
        <v>OK</v>
      </c>
    </row>
    <row r="236" customFormat="false" ht="15" hidden="false" customHeight="false" outlineLevel="0" collapsed="false">
      <c r="A236" s="2" t="s">
        <v>946</v>
      </c>
      <c r="B236" s="3" t="n">
        <v>45622</v>
      </c>
      <c r="C236" s="2" t="s">
        <v>947</v>
      </c>
      <c r="D236" s="2" t="s">
        <v>52</v>
      </c>
      <c r="E236" s="2" t="n">
        <v>4</v>
      </c>
      <c r="F236" s="4" t="n">
        <v>236.41</v>
      </c>
      <c r="G236" s="2" t="s">
        <v>948</v>
      </c>
      <c r="H236" s="2" t="s">
        <v>22</v>
      </c>
      <c r="I236" s="2" t="s">
        <v>93</v>
      </c>
      <c r="J236" s="2" t="s">
        <v>949</v>
      </c>
      <c r="K236" s="2" t="n">
        <v>7</v>
      </c>
      <c r="L236" s="2" t="s">
        <v>25</v>
      </c>
      <c r="M236" s="2" t="s">
        <v>80</v>
      </c>
      <c r="N236" s="4" t="n">
        <v>945.64</v>
      </c>
      <c r="O236" s="2" t="str">
        <f aca="false">IF(COUNTIF($A$2:$A$1201,A236)&gt;1,"DUPLICATE","Unique")</f>
        <v>Unique</v>
      </c>
      <c r="P236" s="2" t="str">
        <f aca="false">IF(L236="","MISSING","OK")</f>
        <v>OK</v>
      </c>
      <c r="Q236" s="2" t="str">
        <f aca="false">IF(ISNUMBER(B236),"OK","BAD DATE")</f>
        <v>OK</v>
      </c>
      <c r="R236" s="2" t="str">
        <f aca="false">IF(ROUND(F236,2)=F236,"OK","FIX")</f>
        <v>OK</v>
      </c>
    </row>
    <row r="237" customFormat="false" ht="15" hidden="false" customHeight="false" outlineLevel="0" collapsed="false">
      <c r="A237" s="2" t="s">
        <v>950</v>
      </c>
      <c r="B237" s="3" t="n">
        <v>44977</v>
      </c>
      <c r="C237" s="2" t="s">
        <v>951</v>
      </c>
      <c r="D237" s="2" t="s">
        <v>77</v>
      </c>
      <c r="E237" s="2" t="n">
        <v>1</v>
      </c>
      <c r="F237" s="4" t="n">
        <v>65.45</v>
      </c>
      <c r="G237" s="2" t="s">
        <v>952</v>
      </c>
      <c r="H237" s="2" t="s">
        <v>69</v>
      </c>
      <c r="I237" s="2" t="s">
        <v>93</v>
      </c>
      <c r="J237" s="2" t="s">
        <v>953</v>
      </c>
      <c r="K237" s="2" t="n">
        <v>2</v>
      </c>
      <c r="L237" s="2" t="s">
        <v>85</v>
      </c>
      <c r="M237" s="2" t="s">
        <v>80</v>
      </c>
      <c r="N237" s="4" t="n">
        <v>65.45</v>
      </c>
      <c r="O237" s="2" t="str">
        <f aca="false">IF(COUNTIF($A$2:$A$1201,A237)&gt;1,"DUPLICATE","Unique")</f>
        <v>Unique</v>
      </c>
      <c r="P237" s="2" t="str">
        <f aca="false">IF(L237="","MISSING","OK")</f>
        <v>OK</v>
      </c>
      <c r="Q237" s="2" t="str">
        <f aca="false">IF(ISNUMBER(B237),"OK","BAD DATE")</f>
        <v>OK</v>
      </c>
      <c r="R237" s="2" t="str">
        <f aca="false">IF(ROUND(F237,2)=F237,"OK","FIX")</f>
        <v>OK</v>
      </c>
    </row>
    <row r="238" customFormat="false" ht="15" hidden="false" customHeight="false" outlineLevel="0" collapsed="false">
      <c r="A238" s="2" t="s">
        <v>954</v>
      </c>
      <c r="B238" s="3" t="n">
        <v>44927</v>
      </c>
      <c r="C238" s="2" t="s">
        <v>955</v>
      </c>
      <c r="D238" s="2" t="s">
        <v>20</v>
      </c>
      <c r="E238" s="2" t="n">
        <v>1</v>
      </c>
      <c r="F238" s="4" t="n">
        <v>318.81</v>
      </c>
      <c r="G238" s="2" t="s">
        <v>956</v>
      </c>
      <c r="H238" s="2" t="s">
        <v>22</v>
      </c>
      <c r="I238" s="2" t="s">
        <v>93</v>
      </c>
      <c r="J238" s="2" t="s">
        <v>957</v>
      </c>
      <c r="K238" s="2" t="n">
        <v>3</v>
      </c>
      <c r="L238" s="2" t="s">
        <v>85</v>
      </c>
      <c r="M238" s="2" t="s">
        <v>42</v>
      </c>
      <c r="N238" s="4" t="n">
        <v>318.81</v>
      </c>
      <c r="O238" s="2" t="str">
        <f aca="false">IF(COUNTIF($A$2:$A$1201,A238)&gt;1,"DUPLICATE","Unique")</f>
        <v>Unique</v>
      </c>
      <c r="P238" s="2" t="str">
        <f aca="false">IF(L238="","MISSING","OK")</f>
        <v>OK</v>
      </c>
      <c r="Q238" s="2" t="str">
        <f aca="false">IF(ISNUMBER(B238),"OK","BAD DATE")</f>
        <v>OK</v>
      </c>
      <c r="R238" s="2" t="str">
        <f aca="false">IF(ROUND(F238,2)=F238,"OK","FIX")</f>
        <v>OK</v>
      </c>
    </row>
    <row r="239" customFormat="false" ht="15" hidden="false" customHeight="false" outlineLevel="0" collapsed="false">
      <c r="A239" s="2" t="s">
        <v>958</v>
      </c>
      <c r="B239" s="3" t="n">
        <v>45365</v>
      </c>
      <c r="C239" s="2" t="s">
        <v>959</v>
      </c>
      <c r="D239" s="2" t="s">
        <v>20</v>
      </c>
      <c r="E239" s="2" t="n">
        <v>3</v>
      </c>
      <c r="F239" s="4" t="n">
        <v>583.72</v>
      </c>
      <c r="G239" s="2" t="s">
        <v>960</v>
      </c>
      <c r="H239" s="2" t="s">
        <v>38</v>
      </c>
      <c r="I239" s="2" t="s">
        <v>23</v>
      </c>
      <c r="J239" s="2" t="s">
        <v>961</v>
      </c>
      <c r="K239" s="2" t="n">
        <v>5</v>
      </c>
      <c r="L239" s="2" t="s">
        <v>41</v>
      </c>
      <c r="M239" s="2" t="s">
        <v>49</v>
      </c>
      <c r="N239" s="4" t="n">
        <v>1751.16</v>
      </c>
      <c r="O239" s="2" t="str">
        <f aca="false">IF(COUNTIF($A$2:$A$1201,A239)&gt;1,"DUPLICATE","Unique")</f>
        <v>Unique</v>
      </c>
      <c r="P239" s="2" t="str">
        <f aca="false">IF(L239="","MISSING","OK")</f>
        <v>OK</v>
      </c>
      <c r="Q239" s="2" t="str">
        <f aca="false">IF(ISNUMBER(B239),"OK","BAD DATE")</f>
        <v>OK</v>
      </c>
      <c r="R239" s="2" t="str">
        <f aca="false">IF(ROUND(F239,2)=F239,"OK","FIX")</f>
        <v>OK</v>
      </c>
    </row>
    <row r="240" customFormat="false" ht="15" hidden="false" customHeight="false" outlineLevel="0" collapsed="false">
      <c r="A240" s="2" t="s">
        <v>962</v>
      </c>
      <c r="B240" s="3" t="n">
        <v>45639</v>
      </c>
      <c r="C240" s="2" t="s">
        <v>963</v>
      </c>
      <c r="D240" s="2" t="s">
        <v>77</v>
      </c>
      <c r="E240" s="2" t="n">
        <v>4</v>
      </c>
      <c r="F240" s="4" t="n">
        <v>384.32</v>
      </c>
      <c r="G240" s="2" t="s">
        <v>964</v>
      </c>
      <c r="H240" s="2" t="s">
        <v>38</v>
      </c>
      <c r="I240" s="2" t="s">
        <v>93</v>
      </c>
      <c r="J240" s="2" t="s">
        <v>965</v>
      </c>
      <c r="K240" s="2" t="n">
        <v>6</v>
      </c>
      <c r="L240" s="2" t="s">
        <v>85</v>
      </c>
      <c r="M240" s="2" t="s">
        <v>80</v>
      </c>
      <c r="N240" s="4" t="n">
        <v>1537.28</v>
      </c>
      <c r="O240" s="2" t="str">
        <f aca="false">IF(COUNTIF($A$2:$A$1201,A240)&gt;1,"DUPLICATE","Unique")</f>
        <v>Unique</v>
      </c>
      <c r="P240" s="2" t="str">
        <f aca="false">IF(L240="","MISSING","OK")</f>
        <v>OK</v>
      </c>
      <c r="Q240" s="2" t="str">
        <f aca="false">IF(ISNUMBER(B240),"OK","BAD DATE")</f>
        <v>OK</v>
      </c>
      <c r="R240" s="2" t="str">
        <f aca="false">IF(ROUND(F240,2)=F240,"OK","FIX")</f>
        <v>OK</v>
      </c>
    </row>
    <row r="241" customFormat="false" ht="15" hidden="false" customHeight="false" outlineLevel="0" collapsed="false">
      <c r="A241" s="2" t="s">
        <v>966</v>
      </c>
      <c r="B241" s="3" t="n">
        <v>45637</v>
      </c>
      <c r="C241" s="2" t="s">
        <v>967</v>
      </c>
      <c r="D241" s="2" t="s">
        <v>36</v>
      </c>
      <c r="E241" s="2" t="n">
        <v>3</v>
      </c>
      <c r="F241" s="4" t="n">
        <v>538.74</v>
      </c>
      <c r="G241" s="2" t="s">
        <v>968</v>
      </c>
      <c r="H241" s="2" t="s">
        <v>31</v>
      </c>
      <c r="I241" s="2" t="s">
        <v>23</v>
      </c>
      <c r="J241" s="2" t="s">
        <v>969</v>
      </c>
      <c r="K241" s="2" t="n">
        <v>6</v>
      </c>
      <c r="L241" s="2" t="s">
        <v>41</v>
      </c>
      <c r="M241" s="2" t="s">
        <v>42</v>
      </c>
      <c r="N241" s="4" t="n">
        <v>1616.22</v>
      </c>
      <c r="O241" s="2" t="str">
        <f aca="false">IF(COUNTIF($A$2:$A$1201,A241)&gt;1,"DUPLICATE","Unique")</f>
        <v>Unique</v>
      </c>
      <c r="P241" s="2" t="str">
        <f aca="false">IF(L241="","MISSING","OK")</f>
        <v>OK</v>
      </c>
      <c r="Q241" s="2" t="str">
        <f aca="false">IF(ISNUMBER(B241),"OK","BAD DATE")</f>
        <v>OK</v>
      </c>
      <c r="R241" s="2" t="str">
        <f aca="false">IF(ROUND(F241,2)=F241,"OK","FIX")</f>
        <v>OK</v>
      </c>
    </row>
    <row r="242" customFormat="false" ht="15" hidden="false" customHeight="false" outlineLevel="0" collapsed="false">
      <c r="A242" s="2" t="s">
        <v>970</v>
      </c>
      <c r="B242" s="3" t="n">
        <v>45119</v>
      </c>
      <c r="C242" s="2" t="s">
        <v>971</v>
      </c>
      <c r="D242" s="2" t="s">
        <v>36</v>
      </c>
      <c r="E242" s="2" t="n">
        <v>1</v>
      </c>
      <c r="F242" s="4" t="n">
        <v>17.24</v>
      </c>
      <c r="G242" s="2" t="s">
        <v>972</v>
      </c>
      <c r="H242" s="2" t="s">
        <v>31</v>
      </c>
      <c r="I242" s="2" t="s">
        <v>93</v>
      </c>
      <c r="J242" s="2" t="s">
        <v>973</v>
      </c>
      <c r="K242" s="2" t="n">
        <v>2</v>
      </c>
      <c r="L242" s="2" t="s">
        <v>41</v>
      </c>
      <c r="M242" s="2" t="s">
        <v>26</v>
      </c>
      <c r="N242" s="4" t="n">
        <v>17.24</v>
      </c>
      <c r="O242" s="2" t="str">
        <f aca="false">IF(COUNTIF($A$2:$A$1201,A242)&gt;1,"DUPLICATE","Unique")</f>
        <v>Unique</v>
      </c>
      <c r="P242" s="2" t="str">
        <f aca="false">IF(L242="","MISSING","OK")</f>
        <v>OK</v>
      </c>
      <c r="Q242" s="2" t="str">
        <f aca="false">IF(ISNUMBER(B242),"OK","BAD DATE")</f>
        <v>OK</v>
      </c>
      <c r="R242" s="2" t="str">
        <f aca="false">IF(ROUND(F242,2)=F242,"OK","FIX")</f>
        <v>OK</v>
      </c>
    </row>
    <row r="243" customFormat="false" ht="15" hidden="false" customHeight="false" outlineLevel="0" collapsed="false">
      <c r="A243" s="2" t="s">
        <v>974</v>
      </c>
      <c r="B243" s="3" t="n">
        <v>45062</v>
      </c>
      <c r="C243" s="2" t="s">
        <v>975</v>
      </c>
      <c r="D243" s="2" t="s">
        <v>45</v>
      </c>
      <c r="E243" s="2" t="n">
        <v>5</v>
      </c>
      <c r="F243" s="4" t="n">
        <v>615.67</v>
      </c>
      <c r="G243" s="2" t="s">
        <v>976</v>
      </c>
      <c r="H243" s="2" t="s">
        <v>31</v>
      </c>
      <c r="I243" s="2" t="s">
        <v>93</v>
      </c>
      <c r="J243" s="2" t="s">
        <v>977</v>
      </c>
      <c r="K243" s="2" t="n">
        <v>6</v>
      </c>
      <c r="L243" s="2" t="s">
        <v>25</v>
      </c>
      <c r="M243" s="2" t="s">
        <v>42</v>
      </c>
      <c r="N243" s="4" t="n">
        <v>3078.35</v>
      </c>
      <c r="O243" s="2" t="str">
        <f aca="false">IF(COUNTIF($A$2:$A$1201,A243)&gt;1,"DUPLICATE","Unique")</f>
        <v>Unique</v>
      </c>
      <c r="P243" s="2" t="str">
        <f aca="false">IF(L243="","MISSING","OK")</f>
        <v>OK</v>
      </c>
      <c r="Q243" s="2" t="str">
        <f aca="false">IF(ISNUMBER(B243),"OK","BAD DATE")</f>
        <v>OK</v>
      </c>
      <c r="R243" s="2" t="str">
        <f aca="false">IF(ROUND(F243,2)=F243,"OK","FIX")</f>
        <v>OK</v>
      </c>
    </row>
    <row r="244" customFormat="false" ht="15" hidden="false" customHeight="false" outlineLevel="0" collapsed="false">
      <c r="A244" s="2" t="s">
        <v>978</v>
      </c>
      <c r="B244" s="3" t="n">
        <v>45055</v>
      </c>
      <c r="C244" s="2" t="s">
        <v>979</v>
      </c>
      <c r="D244" s="2" t="s">
        <v>52</v>
      </c>
      <c r="E244" s="2" t="n">
        <v>2</v>
      </c>
      <c r="F244" s="4" t="n">
        <v>219.1</v>
      </c>
      <c r="G244" s="2" t="s">
        <v>980</v>
      </c>
      <c r="H244" s="2" t="s">
        <v>31</v>
      </c>
      <c r="I244" s="2" t="s">
        <v>93</v>
      </c>
      <c r="J244" s="2" t="s">
        <v>981</v>
      </c>
      <c r="K244" s="2" t="n">
        <v>4</v>
      </c>
      <c r="L244" s="2" t="s">
        <v>25</v>
      </c>
      <c r="M244" s="2" t="s">
        <v>33</v>
      </c>
      <c r="N244" s="4" t="n">
        <v>438.2</v>
      </c>
      <c r="O244" s="2" t="str">
        <f aca="false">IF(COUNTIF($A$2:$A$1201,A244)&gt;1,"DUPLICATE","Unique")</f>
        <v>Unique</v>
      </c>
      <c r="P244" s="2" t="str">
        <f aca="false">IF(L244="","MISSING","OK")</f>
        <v>OK</v>
      </c>
      <c r="Q244" s="2" t="str">
        <f aca="false">IF(ISNUMBER(B244),"OK","BAD DATE")</f>
        <v>OK</v>
      </c>
      <c r="R244" s="2" t="str">
        <f aca="false">IF(ROUND(F244,2)=F244,"OK","FIX")</f>
        <v>OK</v>
      </c>
    </row>
    <row r="245" customFormat="false" ht="15" hidden="false" customHeight="false" outlineLevel="0" collapsed="false">
      <c r="A245" s="2" t="s">
        <v>982</v>
      </c>
      <c r="B245" s="3" t="n">
        <v>45786</v>
      </c>
      <c r="C245" s="2" t="s">
        <v>983</v>
      </c>
      <c r="D245" s="2" t="s">
        <v>45</v>
      </c>
      <c r="E245" s="2" t="n">
        <v>2</v>
      </c>
      <c r="F245" s="4" t="n">
        <v>144.66</v>
      </c>
      <c r="G245" s="2" t="s">
        <v>984</v>
      </c>
      <c r="H245" s="2" t="s">
        <v>31</v>
      </c>
      <c r="I245" s="2" t="s">
        <v>39</v>
      </c>
      <c r="J245" s="2" t="s">
        <v>985</v>
      </c>
      <c r="K245" s="2" t="n">
        <v>7</v>
      </c>
      <c r="L245" s="2" t="s">
        <v>41</v>
      </c>
      <c r="M245" s="2" t="s">
        <v>80</v>
      </c>
      <c r="N245" s="4" t="n">
        <v>289.32</v>
      </c>
      <c r="O245" s="2" t="str">
        <f aca="false">IF(COUNTIF($A$2:$A$1201,A245)&gt;1,"DUPLICATE","Unique")</f>
        <v>Unique</v>
      </c>
      <c r="P245" s="2" t="str">
        <f aca="false">IF(L245="","MISSING","OK")</f>
        <v>OK</v>
      </c>
      <c r="Q245" s="2" t="str">
        <f aca="false">IF(ISNUMBER(B245),"OK","BAD DATE")</f>
        <v>OK</v>
      </c>
      <c r="R245" s="2" t="str">
        <f aca="false">IF(ROUND(F245,2)=F245,"OK","FIX")</f>
        <v>OK</v>
      </c>
    </row>
    <row r="246" customFormat="false" ht="15" hidden="false" customHeight="false" outlineLevel="0" collapsed="false">
      <c r="A246" s="2" t="s">
        <v>986</v>
      </c>
      <c r="B246" s="3" t="n">
        <v>44973</v>
      </c>
      <c r="C246" s="2" t="s">
        <v>987</v>
      </c>
      <c r="D246" s="2" t="s">
        <v>77</v>
      </c>
      <c r="E246" s="2" t="n">
        <v>2</v>
      </c>
      <c r="F246" s="4" t="n">
        <v>317.77</v>
      </c>
      <c r="G246" s="2" t="s">
        <v>988</v>
      </c>
      <c r="H246" s="2" t="s">
        <v>22</v>
      </c>
      <c r="I246" s="2" t="s">
        <v>39</v>
      </c>
      <c r="J246" s="2" t="s">
        <v>989</v>
      </c>
      <c r="K246" s="2" t="n">
        <v>4</v>
      </c>
      <c r="L246" s="2" t="s">
        <v>85</v>
      </c>
      <c r="M246" s="2" t="s">
        <v>49</v>
      </c>
      <c r="N246" s="4" t="n">
        <v>635.54</v>
      </c>
      <c r="O246" s="2" t="str">
        <f aca="false">IF(COUNTIF($A$2:$A$1201,A246)&gt;1,"DUPLICATE","Unique")</f>
        <v>Unique</v>
      </c>
      <c r="P246" s="2" t="str">
        <f aca="false">IF(L246="","MISSING","OK")</f>
        <v>OK</v>
      </c>
      <c r="Q246" s="2" t="str">
        <f aca="false">IF(ISNUMBER(B246),"OK","BAD DATE")</f>
        <v>OK</v>
      </c>
      <c r="R246" s="2" t="str">
        <f aca="false">IF(ROUND(F246,2)=F246,"OK","FIX")</f>
        <v>OK</v>
      </c>
    </row>
    <row r="247" customFormat="false" ht="15" hidden="false" customHeight="false" outlineLevel="0" collapsed="false">
      <c r="A247" s="2" t="s">
        <v>990</v>
      </c>
      <c r="B247" s="3" t="n">
        <v>45767</v>
      </c>
      <c r="C247" s="2" t="s">
        <v>991</v>
      </c>
      <c r="D247" s="2" t="s">
        <v>62</v>
      </c>
      <c r="E247" s="2" t="n">
        <v>1</v>
      </c>
      <c r="F247" s="4" t="n">
        <v>223.3</v>
      </c>
      <c r="G247" s="2" t="s">
        <v>992</v>
      </c>
      <c r="H247" s="2" t="s">
        <v>31</v>
      </c>
      <c r="I247" s="2" t="s">
        <v>47</v>
      </c>
      <c r="J247" s="2" t="s">
        <v>993</v>
      </c>
      <c r="K247" s="2" t="n">
        <v>1</v>
      </c>
      <c r="L247" s="2"/>
      <c r="M247" s="2" t="s">
        <v>49</v>
      </c>
      <c r="N247" s="4" t="n">
        <v>223.3</v>
      </c>
      <c r="O247" s="2" t="str">
        <f aca="false">IF(COUNTIF($A$2:$A$1201,A247)&gt;1,"DUPLICATE","Unique")</f>
        <v>Unique</v>
      </c>
      <c r="P247" s="2" t="str">
        <f aca="false">IF(L247="","MISSING","OK")</f>
        <v>MISSING</v>
      </c>
      <c r="Q247" s="2" t="str">
        <f aca="false">IF(ISNUMBER(B247),"OK","BAD DATE")</f>
        <v>OK</v>
      </c>
      <c r="R247" s="2" t="str">
        <f aca="false">IF(ROUND(F247,2)=F247,"OK","FIX")</f>
        <v>OK</v>
      </c>
    </row>
    <row r="248" customFormat="false" ht="15" hidden="false" customHeight="false" outlineLevel="0" collapsed="false">
      <c r="A248" s="2" t="s">
        <v>994</v>
      </c>
      <c r="B248" s="3" t="n">
        <v>45534</v>
      </c>
      <c r="C248" s="2" t="s">
        <v>995</v>
      </c>
      <c r="D248" s="2" t="s">
        <v>77</v>
      </c>
      <c r="E248" s="2" t="n">
        <v>2</v>
      </c>
      <c r="F248" s="4" t="n">
        <v>342.11</v>
      </c>
      <c r="G248" s="2" t="s">
        <v>996</v>
      </c>
      <c r="H248" s="2" t="s">
        <v>64</v>
      </c>
      <c r="I248" s="2" t="s">
        <v>23</v>
      </c>
      <c r="J248" s="2" t="s">
        <v>997</v>
      </c>
      <c r="K248" s="2" t="n">
        <v>2</v>
      </c>
      <c r="L248" s="2" t="s">
        <v>85</v>
      </c>
      <c r="M248" s="2" t="s">
        <v>26</v>
      </c>
      <c r="N248" s="4" t="n">
        <v>684.22</v>
      </c>
      <c r="O248" s="2" t="str">
        <f aca="false">IF(COUNTIF($A$2:$A$1201,A248)&gt;1,"DUPLICATE","Unique")</f>
        <v>Unique</v>
      </c>
      <c r="P248" s="2" t="str">
        <f aca="false">IF(L248="","MISSING","OK")</f>
        <v>OK</v>
      </c>
      <c r="Q248" s="2" t="str">
        <f aca="false">IF(ISNUMBER(B248),"OK","BAD DATE")</f>
        <v>OK</v>
      </c>
      <c r="R248" s="2" t="str">
        <f aca="false">IF(ROUND(F248,2)=F248,"OK","FIX")</f>
        <v>OK</v>
      </c>
    </row>
    <row r="249" customFormat="false" ht="15" hidden="false" customHeight="false" outlineLevel="0" collapsed="false">
      <c r="A249" s="2" t="s">
        <v>998</v>
      </c>
      <c r="B249" s="3" t="n">
        <v>45127</v>
      </c>
      <c r="C249" s="2" t="s">
        <v>999</v>
      </c>
      <c r="D249" s="2" t="s">
        <v>52</v>
      </c>
      <c r="E249" s="2" t="n">
        <v>2</v>
      </c>
      <c r="F249" s="4" t="n">
        <v>220.9</v>
      </c>
      <c r="G249" s="2" t="s">
        <v>1000</v>
      </c>
      <c r="H249" s="2" t="s">
        <v>64</v>
      </c>
      <c r="I249" s="2" t="s">
        <v>23</v>
      </c>
      <c r="J249" s="2" t="s">
        <v>1001</v>
      </c>
      <c r="K249" s="2" t="n">
        <v>4</v>
      </c>
      <c r="L249" s="2"/>
      <c r="M249" s="2" t="s">
        <v>42</v>
      </c>
      <c r="N249" s="4" t="n">
        <v>441.8</v>
      </c>
      <c r="O249" s="2" t="str">
        <f aca="false">IF(COUNTIF($A$2:$A$1201,A249)&gt;1,"DUPLICATE","Unique")</f>
        <v>Unique</v>
      </c>
      <c r="P249" s="2" t="str">
        <f aca="false">IF(L249="","MISSING","OK")</f>
        <v>MISSING</v>
      </c>
      <c r="Q249" s="2" t="str">
        <f aca="false">IF(ISNUMBER(B249),"OK","BAD DATE")</f>
        <v>OK</v>
      </c>
      <c r="R249" s="2" t="str">
        <f aca="false">IF(ROUND(F249,2)=F249,"OK","FIX")</f>
        <v>OK</v>
      </c>
    </row>
    <row r="250" customFormat="false" ht="15" hidden="false" customHeight="false" outlineLevel="0" collapsed="false">
      <c r="A250" s="2" t="s">
        <v>1002</v>
      </c>
      <c r="B250" s="3" t="n">
        <v>45109</v>
      </c>
      <c r="C250" s="2" t="s">
        <v>1003</v>
      </c>
      <c r="D250" s="2" t="s">
        <v>62</v>
      </c>
      <c r="E250" s="2" t="n">
        <v>1</v>
      </c>
      <c r="F250" s="4" t="n">
        <v>670.54</v>
      </c>
      <c r="G250" s="2" t="s">
        <v>1004</v>
      </c>
      <c r="H250" s="2" t="s">
        <v>69</v>
      </c>
      <c r="I250" s="2" t="s">
        <v>23</v>
      </c>
      <c r="J250" s="2" t="s">
        <v>1005</v>
      </c>
      <c r="K250" s="2" t="n">
        <v>6</v>
      </c>
      <c r="L250" s="2" t="s">
        <v>41</v>
      </c>
      <c r="M250" s="2" t="s">
        <v>33</v>
      </c>
      <c r="N250" s="4" t="n">
        <v>670.54</v>
      </c>
      <c r="O250" s="2" t="str">
        <f aca="false">IF(COUNTIF($A$2:$A$1201,A250)&gt;1,"DUPLICATE","Unique")</f>
        <v>Unique</v>
      </c>
      <c r="P250" s="2" t="str">
        <f aca="false">IF(L250="","MISSING","OK")</f>
        <v>OK</v>
      </c>
      <c r="Q250" s="2" t="str">
        <f aca="false">IF(ISNUMBER(B250),"OK","BAD DATE")</f>
        <v>OK</v>
      </c>
      <c r="R250" s="2" t="str">
        <f aca="false">IF(ROUND(F250,2)=F250,"OK","FIX")</f>
        <v>OK</v>
      </c>
    </row>
    <row r="251" customFormat="false" ht="15" hidden="false" customHeight="false" outlineLevel="0" collapsed="false">
      <c r="A251" s="2" t="s">
        <v>1006</v>
      </c>
      <c r="B251" s="3" t="n">
        <v>45329</v>
      </c>
      <c r="C251" s="2" t="s">
        <v>1007</v>
      </c>
      <c r="D251" s="2" t="s">
        <v>52</v>
      </c>
      <c r="E251" s="2" t="n">
        <v>1</v>
      </c>
      <c r="F251" s="4" t="n">
        <v>546.19</v>
      </c>
      <c r="G251" s="2" t="s">
        <v>1008</v>
      </c>
      <c r="H251" s="2" t="s">
        <v>69</v>
      </c>
      <c r="I251" s="2" t="s">
        <v>93</v>
      </c>
      <c r="J251" s="2" t="s">
        <v>1009</v>
      </c>
      <c r="K251" s="2" t="n">
        <v>5</v>
      </c>
      <c r="L251" s="2" t="s">
        <v>41</v>
      </c>
      <c r="M251" s="2" t="s">
        <v>33</v>
      </c>
      <c r="N251" s="4" t="n">
        <v>546.19</v>
      </c>
      <c r="O251" s="2" t="str">
        <f aca="false">IF(COUNTIF($A$2:$A$1201,A251)&gt;1,"DUPLICATE","Unique")</f>
        <v>Unique</v>
      </c>
      <c r="P251" s="2" t="str">
        <f aca="false">IF(L251="","MISSING","OK")</f>
        <v>OK</v>
      </c>
      <c r="Q251" s="2" t="str">
        <f aca="false">IF(ISNUMBER(B251),"OK","BAD DATE")</f>
        <v>OK</v>
      </c>
      <c r="R251" s="2" t="str">
        <f aca="false">IF(ROUND(F251,2)=F251,"OK","FIX")</f>
        <v>OK</v>
      </c>
    </row>
    <row r="252" customFormat="false" ht="15" hidden="false" customHeight="false" outlineLevel="0" collapsed="false">
      <c r="A252" s="2" t="s">
        <v>1010</v>
      </c>
      <c r="B252" s="3" t="n">
        <v>45021</v>
      </c>
      <c r="C252" s="2" t="s">
        <v>1011</v>
      </c>
      <c r="D252" s="2" t="s">
        <v>77</v>
      </c>
      <c r="E252" s="2" t="n">
        <v>3</v>
      </c>
      <c r="F252" s="4" t="n">
        <v>42.95</v>
      </c>
      <c r="G252" s="2" t="s">
        <v>391</v>
      </c>
      <c r="H252" s="2" t="s">
        <v>64</v>
      </c>
      <c r="I252" s="2" t="s">
        <v>47</v>
      </c>
      <c r="J252" s="2" t="s">
        <v>1012</v>
      </c>
      <c r="K252" s="2" t="n">
        <v>8</v>
      </c>
      <c r="L252" s="2" t="s">
        <v>25</v>
      </c>
      <c r="M252" s="2" t="s">
        <v>42</v>
      </c>
      <c r="N252" s="4" t="n">
        <v>128.85</v>
      </c>
      <c r="O252" s="2" t="str">
        <f aca="false">IF(COUNTIF($A$2:$A$1201,A252)&gt;1,"DUPLICATE","Unique")</f>
        <v>Unique</v>
      </c>
      <c r="P252" s="2" t="str">
        <f aca="false">IF(L252="","MISSING","OK")</f>
        <v>OK</v>
      </c>
      <c r="Q252" s="2" t="str">
        <f aca="false">IF(ISNUMBER(B252),"OK","BAD DATE")</f>
        <v>OK</v>
      </c>
      <c r="R252" s="2" t="str">
        <f aca="false">IF(ROUND(F252,2)=F252,"OK","FIX")</f>
        <v>OK</v>
      </c>
    </row>
    <row r="253" customFormat="false" ht="15" hidden="false" customHeight="false" outlineLevel="0" collapsed="false">
      <c r="A253" s="2" t="s">
        <v>1013</v>
      </c>
      <c r="B253" s="3" t="n">
        <v>45792</v>
      </c>
      <c r="C253" s="2" t="s">
        <v>1014</v>
      </c>
      <c r="D253" s="2" t="s">
        <v>20</v>
      </c>
      <c r="E253" s="2" t="n">
        <v>4</v>
      </c>
      <c r="F253" s="4" t="n">
        <v>14.69</v>
      </c>
      <c r="G253" s="2" t="s">
        <v>1015</v>
      </c>
      <c r="H253" s="2" t="s">
        <v>69</v>
      </c>
      <c r="I253" s="2" t="s">
        <v>39</v>
      </c>
      <c r="J253" s="2" t="s">
        <v>1016</v>
      </c>
      <c r="K253" s="2" t="n">
        <v>9</v>
      </c>
      <c r="L253" s="2"/>
      <c r="M253" s="2" t="s">
        <v>42</v>
      </c>
      <c r="N253" s="4" t="n">
        <v>58.76</v>
      </c>
      <c r="O253" s="2" t="str">
        <f aca="false">IF(COUNTIF($A$2:$A$1201,A253)&gt;1,"DUPLICATE","Unique")</f>
        <v>Unique</v>
      </c>
      <c r="P253" s="2" t="str">
        <f aca="false">IF(L253="","MISSING","OK")</f>
        <v>MISSING</v>
      </c>
      <c r="Q253" s="2" t="str">
        <f aca="false">IF(ISNUMBER(B253),"OK","BAD DATE")</f>
        <v>OK</v>
      </c>
      <c r="R253" s="2" t="str">
        <f aca="false">IF(ROUND(F253,2)=F253,"OK","FIX")</f>
        <v>OK</v>
      </c>
    </row>
    <row r="254" customFormat="false" ht="15" hidden="false" customHeight="false" outlineLevel="0" collapsed="false">
      <c r="A254" s="2" t="s">
        <v>1017</v>
      </c>
      <c r="B254" s="3" t="n">
        <v>45555</v>
      </c>
      <c r="C254" s="2" t="s">
        <v>1018</v>
      </c>
      <c r="D254" s="2" t="s">
        <v>29</v>
      </c>
      <c r="E254" s="2" t="n">
        <v>4</v>
      </c>
      <c r="F254" s="4" t="n">
        <v>668.36</v>
      </c>
      <c r="G254" s="2" t="s">
        <v>1019</v>
      </c>
      <c r="H254" s="2" t="s">
        <v>64</v>
      </c>
      <c r="I254" s="2" t="s">
        <v>39</v>
      </c>
      <c r="J254" s="2" t="s">
        <v>1020</v>
      </c>
      <c r="K254" s="2" t="n">
        <v>5</v>
      </c>
      <c r="L254" s="2" t="s">
        <v>41</v>
      </c>
      <c r="M254" s="2" t="s">
        <v>49</v>
      </c>
      <c r="N254" s="4" t="n">
        <v>2673.44</v>
      </c>
      <c r="O254" s="2" t="str">
        <f aca="false">IF(COUNTIF($A$2:$A$1201,A254)&gt;1,"DUPLICATE","Unique")</f>
        <v>Unique</v>
      </c>
      <c r="P254" s="2" t="str">
        <f aca="false">IF(L254="","MISSING","OK")</f>
        <v>OK</v>
      </c>
      <c r="Q254" s="2" t="str">
        <f aca="false">IF(ISNUMBER(B254),"OK","BAD DATE")</f>
        <v>OK</v>
      </c>
      <c r="R254" s="2" t="str">
        <f aca="false">IF(ROUND(F254,2)=F254,"OK","FIX")</f>
        <v>OK</v>
      </c>
    </row>
    <row r="255" customFormat="false" ht="15" hidden="false" customHeight="false" outlineLevel="0" collapsed="false">
      <c r="A255" s="2" t="s">
        <v>1021</v>
      </c>
      <c r="B255" s="3" t="n">
        <v>45374</v>
      </c>
      <c r="C255" s="2" t="s">
        <v>1022</v>
      </c>
      <c r="D255" s="2" t="s">
        <v>45</v>
      </c>
      <c r="E255" s="2" t="n">
        <v>4</v>
      </c>
      <c r="F255" s="4" t="n">
        <v>413.74</v>
      </c>
      <c r="G255" s="2" t="s">
        <v>438</v>
      </c>
      <c r="H255" s="2" t="s">
        <v>64</v>
      </c>
      <c r="I255" s="2" t="s">
        <v>47</v>
      </c>
      <c r="J255" s="2" t="s">
        <v>1023</v>
      </c>
      <c r="K255" s="2" t="n">
        <v>7</v>
      </c>
      <c r="L255" s="2" t="s">
        <v>41</v>
      </c>
      <c r="M255" s="2" t="s">
        <v>26</v>
      </c>
      <c r="N255" s="4" t="n">
        <v>1654.96</v>
      </c>
      <c r="O255" s="2" t="str">
        <f aca="false">IF(COUNTIF($A$2:$A$1201,A255)&gt;1,"DUPLICATE","Unique")</f>
        <v>Unique</v>
      </c>
      <c r="P255" s="2" t="str">
        <f aca="false">IF(L255="","MISSING","OK")</f>
        <v>OK</v>
      </c>
      <c r="Q255" s="2" t="str">
        <f aca="false">IF(ISNUMBER(B255),"OK","BAD DATE")</f>
        <v>OK</v>
      </c>
      <c r="R255" s="2" t="str">
        <f aca="false">IF(ROUND(F255,2)=F255,"OK","FIX")</f>
        <v>OK</v>
      </c>
    </row>
    <row r="256" customFormat="false" ht="15" hidden="false" customHeight="false" outlineLevel="0" collapsed="false">
      <c r="A256" s="2" t="s">
        <v>1024</v>
      </c>
      <c r="B256" s="3" t="n">
        <v>45286</v>
      </c>
      <c r="C256" s="2" t="s">
        <v>1025</v>
      </c>
      <c r="D256" s="2" t="s">
        <v>20</v>
      </c>
      <c r="E256" s="2" t="n">
        <v>3</v>
      </c>
      <c r="F256" s="4" t="n">
        <v>263.19</v>
      </c>
      <c r="G256" s="2" t="s">
        <v>964</v>
      </c>
      <c r="H256" s="2" t="s">
        <v>31</v>
      </c>
      <c r="I256" s="2" t="s">
        <v>54</v>
      </c>
      <c r="J256" s="2" t="s">
        <v>1026</v>
      </c>
      <c r="K256" s="2" t="n">
        <v>5</v>
      </c>
      <c r="L256" s="2"/>
      <c r="M256" s="2" t="s">
        <v>26</v>
      </c>
      <c r="N256" s="4" t="n">
        <v>789.57</v>
      </c>
      <c r="O256" s="2" t="str">
        <f aca="false">IF(COUNTIF($A$2:$A$1201,A256)&gt;1,"DUPLICATE","Unique")</f>
        <v>Unique</v>
      </c>
      <c r="P256" s="2" t="str">
        <f aca="false">IF(L256="","MISSING","OK")</f>
        <v>MISSING</v>
      </c>
      <c r="Q256" s="2" t="str">
        <f aca="false">IF(ISNUMBER(B256),"OK","BAD DATE")</f>
        <v>OK</v>
      </c>
      <c r="R256" s="2" t="str">
        <f aca="false">IF(ROUND(F256,2)=F256,"OK","FIX")</f>
        <v>OK</v>
      </c>
    </row>
    <row r="257" customFormat="false" ht="15" hidden="false" customHeight="false" outlineLevel="0" collapsed="false">
      <c r="A257" s="2" t="s">
        <v>1027</v>
      </c>
      <c r="B257" s="3" t="n">
        <v>45425</v>
      </c>
      <c r="C257" s="2" t="s">
        <v>1028</v>
      </c>
      <c r="D257" s="2" t="s">
        <v>20</v>
      </c>
      <c r="E257" s="2" t="n">
        <v>1</v>
      </c>
      <c r="F257" s="4" t="n">
        <v>263.96</v>
      </c>
      <c r="G257" s="2" t="s">
        <v>719</v>
      </c>
      <c r="H257" s="2" t="s">
        <v>64</v>
      </c>
      <c r="I257" s="2" t="s">
        <v>47</v>
      </c>
      <c r="J257" s="2" t="s">
        <v>1029</v>
      </c>
      <c r="K257" s="2" t="n">
        <v>2</v>
      </c>
      <c r="L257" s="2" t="s">
        <v>25</v>
      </c>
      <c r="M257" s="2" t="s">
        <v>80</v>
      </c>
      <c r="N257" s="4" t="n">
        <v>263.96</v>
      </c>
      <c r="O257" s="2" t="str">
        <f aca="false">IF(COUNTIF($A$2:$A$1201,A257)&gt;1,"DUPLICATE","Unique")</f>
        <v>Unique</v>
      </c>
      <c r="P257" s="2" t="str">
        <f aca="false">IF(L257="","MISSING","OK")</f>
        <v>OK</v>
      </c>
      <c r="Q257" s="2" t="str">
        <f aca="false">IF(ISNUMBER(B257),"OK","BAD DATE")</f>
        <v>OK</v>
      </c>
      <c r="R257" s="2" t="str">
        <f aca="false">IF(ROUND(F257,2)=F257,"OK","FIX")</f>
        <v>OK</v>
      </c>
    </row>
    <row r="258" customFormat="false" ht="15" hidden="false" customHeight="false" outlineLevel="0" collapsed="false">
      <c r="A258" s="2" t="s">
        <v>1030</v>
      </c>
      <c r="B258" s="3" t="n">
        <v>45838</v>
      </c>
      <c r="C258" s="2" t="s">
        <v>1031</v>
      </c>
      <c r="D258" s="2" t="s">
        <v>45</v>
      </c>
      <c r="E258" s="2" t="n">
        <v>5</v>
      </c>
      <c r="F258" s="4" t="n">
        <v>75.81</v>
      </c>
      <c r="G258" s="2" t="s">
        <v>1032</v>
      </c>
      <c r="H258" s="2" t="s">
        <v>64</v>
      </c>
      <c r="I258" s="2" t="s">
        <v>47</v>
      </c>
      <c r="J258" s="2" t="s">
        <v>1033</v>
      </c>
      <c r="K258" s="2" t="n">
        <v>10</v>
      </c>
      <c r="L258" s="2" t="s">
        <v>85</v>
      </c>
      <c r="M258" s="2" t="s">
        <v>26</v>
      </c>
      <c r="N258" s="4" t="n">
        <v>379.05</v>
      </c>
      <c r="O258" s="2" t="str">
        <f aca="false">IF(COUNTIF($A$2:$A$1201,A258)&gt;1,"DUPLICATE","Unique")</f>
        <v>Unique</v>
      </c>
      <c r="P258" s="2" t="str">
        <f aca="false">IF(L258="","MISSING","OK")</f>
        <v>OK</v>
      </c>
      <c r="Q258" s="2" t="str">
        <f aca="false">IF(ISNUMBER(B258),"OK","BAD DATE")</f>
        <v>OK</v>
      </c>
      <c r="R258" s="2" t="str">
        <f aca="false">IF(ROUND(F258,2)=F258,"OK","FIX")</f>
        <v>OK</v>
      </c>
    </row>
    <row r="259" customFormat="false" ht="15" hidden="false" customHeight="false" outlineLevel="0" collapsed="false">
      <c r="A259" s="2" t="s">
        <v>1034</v>
      </c>
      <c r="B259" s="3" t="n">
        <v>45405</v>
      </c>
      <c r="C259" s="2" t="s">
        <v>1035</v>
      </c>
      <c r="D259" s="2" t="s">
        <v>29</v>
      </c>
      <c r="E259" s="2" t="n">
        <v>1</v>
      </c>
      <c r="F259" s="4" t="n">
        <v>406.22</v>
      </c>
      <c r="G259" s="2" t="s">
        <v>1036</v>
      </c>
      <c r="H259" s="2" t="s">
        <v>38</v>
      </c>
      <c r="I259" s="2" t="s">
        <v>39</v>
      </c>
      <c r="J259" s="2" t="s">
        <v>1037</v>
      </c>
      <c r="K259" s="2" t="n">
        <v>5</v>
      </c>
      <c r="L259" s="2" t="s">
        <v>25</v>
      </c>
      <c r="M259" s="2" t="s">
        <v>33</v>
      </c>
      <c r="N259" s="4" t="n">
        <v>406.22</v>
      </c>
      <c r="O259" s="2" t="str">
        <f aca="false">IF(COUNTIF($A$2:$A$1201,A259)&gt;1,"DUPLICATE","Unique")</f>
        <v>Unique</v>
      </c>
      <c r="P259" s="2" t="str">
        <f aca="false">IF(L259="","MISSING","OK")</f>
        <v>OK</v>
      </c>
      <c r="Q259" s="2" t="str">
        <f aca="false">IF(ISNUMBER(B259),"OK","BAD DATE")</f>
        <v>OK</v>
      </c>
      <c r="R259" s="2" t="str">
        <f aca="false">IF(ROUND(F259,2)=F259,"OK","FIX")</f>
        <v>OK</v>
      </c>
    </row>
    <row r="260" customFormat="false" ht="15" hidden="false" customHeight="false" outlineLevel="0" collapsed="false">
      <c r="A260" s="2" t="s">
        <v>1038</v>
      </c>
      <c r="B260" s="3" t="n">
        <v>45348</v>
      </c>
      <c r="C260" s="2" t="s">
        <v>1039</v>
      </c>
      <c r="D260" s="2" t="s">
        <v>36</v>
      </c>
      <c r="E260" s="2" t="n">
        <v>2</v>
      </c>
      <c r="F260" s="4" t="n">
        <v>103.41</v>
      </c>
      <c r="G260" s="2" t="s">
        <v>1040</v>
      </c>
      <c r="H260" s="2" t="s">
        <v>31</v>
      </c>
      <c r="I260" s="2" t="s">
        <v>23</v>
      </c>
      <c r="J260" s="2" t="s">
        <v>1041</v>
      </c>
      <c r="K260" s="2" t="n">
        <v>2</v>
      </c>
      <c r="L260" s="2" t="s">
        <v>41</v>
      </c>
      <c r="M260" s="2" t="s">
        <v>33</v>
      </c>
      <c r="N260" s="4" t="n">
        <v>206.82</v>
      </c>
      <c r="O260" s="2" t="str">
        <f aca="false">IF(COUNTIF($A$2:$A$1201,A260)&gt;1,"DUPLICATE","Unique")</f>
        <v>Unique</v>
      </c>
      <c r="P260" s="2" t="str">
        <f aca="false">IF(L260="","MISSING","OK")</f>
        <v>OK</v>
      </c>
      <c r="Q260" s="2" t="str">
        <f aca="false">IF(ISNUMBER(B260),"OK","BAD DATE")</f>
        <v>OK</v>
      </c>
      <c r="R260" s="2" t="str">
        <f aca="false">IF(ROUND(F260,2)=F260,"OK","FIX")</f>
        <v>OK</v>
      </c>
    </row>
    <row r="261" customFormat="false" ht="15" hidden="false" customHeight="false" outlineLevel="0" collapsed="false">
      <c r="A261" s="2" t="s">
        <v>1042</v>
      </c>
      <c r="B261" s="3" t="n">
        <v>45088</v>
      </c>
      <c r="C261" s="2" t="s">
        <v>1043</v>
      </c>
      <c r="D261" s="2" t="s">
        <v>45</v>
      </c>
      <c r="E261" s="2" t="n">
        <v>4</v>
      </c>
      <c r="F261" s="4" t="n">
        <v>435.12</v>
      </c>
      <c r="G261" s="2" t="s">
        <v>569</v>
      </c>
      <c r="H261" s="2" t="s">
        <v>38</v>
      </c>
      <c r="I261" s="2" t="s">
        <v>54</v>
      </c>
      <c r="J261" s="2" t="s">
        <v>1044</v>
      </c>
      <c r="K261" s="2" t="n">
        <v>9</v>
      </c>
      <c r="L261" s="2" t="s">
        <v>25</v>
      </c>
      <c r="M261" s="2" t="s">
        <v>26</v>
      </c>
      <c r="N261" s="4" t="n">
        <v>1740.48</v>
      </c>
      <c r="O261" s="2" t="str">
        <f aca="false">IF(COUNTIF($A$2:$A$1201,A261)&gt;1,"DUPLICATE","Unique")</f>
        <v>Unique</v>
      </c>
      <c r="P261" s="2" t="str">
        <f aca="false">IF(L261="","MISSING","OK")</f>
        <v>OK</v>
      </c>
      <c r="Q261" s="2" t="str">
        <f aca="false">IF(ISNUMBER(B261),"OK","BAD DATE")</f>
        <v>OK</v>
      </c>
      <c r="R261" s="2" t="str">
        <f aca="false">IF(ROUND(F261,2)=F261,"OK","FIX")</f>
        <v>OK</v>
      </c>
    </row>
    <row r="262" customFormat="false" ht="15" hidden="false" customHeight="false" outlineLevel="0" collapsed="false">
      <c r="A262" s="2" t="s">
        <v>1045</v>
      </c>
      <c r="B262" s="3" t="n">
        <v>45063</v>
      </c>
      <c r="C262" s="2" t="s">
        <v>1046</v>
      </c>
      <c r="D262" s="2" t="s">
        <v>20</v>
      </c>
      <c r="E262" s="2" t="n">
        <v>2</v>
      </c>
      <c r="F262" s="4" t="n">
        <v>407.79</v>
      </c>
      <c r="G262" s="2" t="s">
        <v>1047</v>
      </c>
      <c r="H262" s="2" t="s">
        <v>22</v>
      </c>
      <c r="I262" s="2" t="s">
        <v>23</v>
      </c>
      <c r="J262" s="2" t="s">
        <v>1048</v>
      </c>
      <c r="K262" s="2" t="n">
        <v>3</v>
      </c>
      <c r="L262" s="2"/>
      <c r="M262" s="2" t="s">
        <v>80</v>
      </c>
      <c r="N262" s="4" t="n">
        <v>815.58</v>
      </c>
      <c r="O262" s="2" t="str">
        <f aca="false">IF(COUNTIF($A$2:$A$1201,A262)&gt;1,"DUPLICATE","Unique")</f>
        <v>Unique</v>
      </c>
      <c r="P262" s="2" t="str">
        <f aca="false">IF(L262="","MISSING","OK")</f>
        <v>MISSING</v>
      </c>
      <c r="Q262" s="2" t="str">
        <f aca="false">IF(ISNUMBER(B262),"OK","BAD DATE")</f>
        <v>OK</v>
      </c>
      <c r="R262" s="2" t="str">
        <f aca="false">IF(ROUND(F262,2)=F262,"OK","FIX")</f>
        <v>OK</v>
      </c>
    </row>
    <row r="263" customFormat="false" ht="15" hidden="false" customHeight="false" outlineLevel="0" collapsed="false">
      <c r="A263" s="2" t="s">
        <v>1049</v>
      </c>
      <c r="B263" s="3" t="n">
        <v>45805</v>
      </c>
      <c r="C263" s="2" t="s">
        <v>1050</v>
      </c>
      <c r="D263" s="2" t="s">
        <v>29</v>
      </c>
      <c r="E263" s="2" t="n">
        <v>5</v>
      </c>
      <c r="F263" s="4" t="n">
        <v>173.65</v>
      </c>
      <c r="G263" s="2" t="s">
        <v>1051</v>
      </c>
      <c r="H263" s="2" t="s">
        <v>64</v>
      </c>
      <c r="I263" s="2" t="s">
        <v>54</v>
      </c>
      <c r="J263" s="2" t="s">
        <v>1052</v>
      </c>
      <c r="K263" s="2" t="n">
        <v>9</v>
      </c>
      <c r="L263" s="2" t="s">
        <v>25</v>
      </c>
      <c r="M263" s="2" t="s">
        <v>42</v>
      </c>
      <c r="N263" s="4" t="n">
        <v>868.25</v>
      </c>
      <c r="O263" s="2" t="str">
        <f aca="false">IF(COUNTIF($A$2:$A$1201,A263)&gt;1,"DUPLICATE","Unique")</f>
        <v>Unique</v>
      </c>
      <c r="P263" s="2" t="str">
        <f aca="false">IF(L263="","MISSING","OK")</f>
        <v>OK</v>
      </c>
      <c r="Q263" s="2" t="str">
        <f aca="false">IF(ISNUMBER(B263),"OK","BAD DATE")</f>
        <v>OK</v>
      </c>
      <c r="R263" s="2" t="str">
        <f aca="false">IF(ROUND(F263,2)=F263,"OK","FIX")</f>
        <v>OK</v>
      </c>
    </row>
    <row r="264" customFormat="false" ht="15" hidden="false" customHeight="false" outlineLevel="0" collapsed="false">
      <c r="A264" s="2" t="s">
        <v>1053</v>
      </c>
      <c r="B264" s="3" t="n">
        <v>44936</v>
      </c>
      <c r="C264" s="2" t="s">
        <v>1054</v>
      </c>
      <c r="D264" s="2" t="s">
        <v>29</v>
      </c>
      <c r="E264" s="2" t="n">
        <v>4</v>
      </c>
      <c r="F264" s="4" t="n">
        <v>249.07</v>
      </c>
      <c r="G264" s="2" t="s">
        <v>576</v>
      </c>
      <c r="H264" s="2" t="s">
        <v>38</v>
      </c>
      <c r="I264" s="2" t="s">
        <v>47</v>
      </c>
      <c r="J264" s="2" t="s">
        <v>1055</v>
      </c>
      <c r="K264" s="2" t="n">
        <v>5</v>
      </c>
      <c r="L264" s="2" t="s">
        <v>85</v>
      </c>
      <c r="M264" s="2" t="s">
        <v>33</v>
      </c>
      <c r="N264" s="4" t="n">
        <v>996.28</v>
      </c>
      <c r="O264" s="2" t="str">
        <f aca="false">IF(COUNTIF($A$2:$A$1201,A264)&gt;1,"DUPLICATE","Unique")</f>
        <v>Unique</v>
      </c>
      <c r="P264" s="2" t="str">
        <f aca="false">IF(L264="","MISSING","OK")</f>
        <v>OK</v>
      </c>
      <c r="Q264" s="2" t="str">
        <f aca="false">IF(ISNUMBER(B264),"OK","BAD DATE")</f>
        <v>OK</v>
      </c>
      <c r="R264" s="2" t="str">
        <f aca="false">IF(ROUND(F264,2)=F264,"OK","FIX")</f>
        <v>OK</v>
      </c>
    </row>
    <row r="265" customFormat="false" ht="15" hidden="false" customHeight="false" outlineLevel="0" collapsed="false">
      <c r="A265" s="2" t="s">
        <v>1056</v>
      </c>
      <c r="B265" s="3" t="n">
        <v>45010</v>
      </c>
      <c r="C265" s="2" t="s">
        <v>1057</v>
      </c>
      <c r="D265" s="2" t="s">
        <v>29</v>
      </c>
      <c r="E265" s="2" t="n">
        <v>4</v>
      </c>
      <c r="F265" s="4" t="n">
        <v>434.85</v>
      </c>
      <c r="G265" s="2" t="s">
        <v>1058</v>
      </c>
      <c r="H265" s="2" t="s">
        <v>38</v>
      </c>
      <c r="I265" s="2" t="s">
        <v>93</v>
      </c>
      <c r="J265" s="2" t="s">
        <v>1059</v>
      </c>
      <c r="K265" s="2" t="n">
        <v>4</v>
      </c>
      <c r="L265" s="2" t="s">
        <v>85</v>
      </c>
      <c r="M265" s="2" t="s">
        <v>80</v>
      </c>
      <c r="N265" s="4" t="n">
        <v>1739.4</v>
      </c>
      <c r="O265" s="2" t="str">
        <f aca="false">IF(COUNTIF($A$2:$A$1201,A265)&gt;1,"DUPLICATE","Unique")</f>
        <v>Unique</v>
      </c>
      <c r="P265" s="2" t="str">
        <f aca="false">IF(L265="","MISSING","OK")</f>
        <v>OK</v>
      </c>
      <c r="Q265" s="2" t="str">
        <f aca="false">IF(ISNUMBER(B265),"OK","BAD DATE")</f>
        <v>OK</v>
      </c>
      <c r="R265" s="2" t="str">
        <f aca="false">IF(ROUND(F265,2)=F265,"OK","FIX")</f>
        <v>OK</v>
      </c>
    </row>
    <row r="266" customFormat="false" ht="15" hidden="false" customHeight="false" outlineLevel="0" collapsed="false">
      <c r="A266" s="2" t="s">
        <v>1060</v>
      </c>
      <c r="B266" s="3" t="n">
        <v>45507</v>
      </c>
      <c r="C266" s="2" t="s">
        <v>1061</v>
      </c>
      <c r="D266" s="2" t="s">
        <v>36</v>
      </c>
      <c r="E266" s="2" t="n">
        <v>1</v>
      </c>
      <c r="F266" s="4" t="n">
        <v>436.77</v>
      </c>
      <c r="G266" s="2" t="s">
        <v>1062</v>
      </c>
      <c r="H266" s="2" t="s">
        <v>69</v>
      </c>
      <c r="I266" s="2" t="s">
        <v>47</v>
      </c>
      <c r="J266" s="2" t="s">
        <v>1063</v>
      </c>
      <c r="K266" s="2" t="n">
        <v>5</v>
      </c>
      <c r="L266" s="2" t="s">
        <v>41</v>
      </c>
      <c r="M266" s="2" t="s">
        <v>80</v>
      </c>
      <c r="N266" s="4" t="n">
        <v>436.77</v>
      </c>
      <c r="O266" s="2" t="str">
        <f aca="false">IF(COUNTIF($A$2:$A$1201,A266)&gt;1,"DUPLICATE","Unique")</f>
        <v>Unique</v>
      </c>
      <c r="P266" s="2" t="str">
        <f aca="false">IF(L266="","MISSING","OK")</f>
        <v>OK</v>
      </c>
      <c r="Q266" s="2" t="str">
        <f aca="false">IF(ISNUMBER(B266),"OK","BAD DATE")</f>
        <v>OK</v>
      </c>
      <c r="R266" s="2" t="str">
        <f aca="false">IF(ROUND(F266,2)=F266,"OK","FIX")</f>
        <v>OK</v>
      </c>
    </row>
    <row r="267" customFormat="false" ht="15" hidden="false" customHeight="false" outlineLevel="0" collapsed="false">
      <c r="A267" s="2" t="s">
        <v>1064</v>
      </c>
      <c r="B267" s="3" t="n">
        <v>45282</v>
      </c>
      <c r="C267" s="2" t="s">
        <v>1065</v>
      </c>
      <c r="D267" s="2" t="s">
        <v>52</v>
      </c>
      <c r="E267" s="2" t="n">
        <v>1</v>
      </c>
      <c r="F267" s="4" t="n">
        <v>572.13</v>
      </c>
      <c r="G267" s="2" t="s">
        <v>1066</v>
      </c>
      <c r="H267" s="2" t="s">
        <v>22</v>
      </c>
      <c r="I267" s="2" t="s">
        <v>39</v>
      </c>
      <c r="J267" s="2" t="s">
        <v>1067</v>
      </c>
      <c r="K267" s="2" t="n">
        <v>4</v>
      </c>
      <c r="L267" s="2" t="s">
        <v>25</v>
      </c>
      <c r="M267" s="2" t="s">
        <v>80</v>
      </c>
      <c r="N267" s="4" t="n">
        <v>572.13</v>
      </c>
      <c r="O267" s="2" t="str">
        <f aca="false">IF(COUNTIF($A$2:$A$1201,A267)&gt;1,"DUPLICATE","Unique")</f>
        <v>Unique</v>
      </c>
      <c r="P267" s="2" t="str">
        <f aca="false">IF(L267="","MISSING","OK")</f>
        <v>OK</v>
      </c>
      <c r="Q267" s="2" t="str">
        <f aca="false">IF(ISNUMBER(B267),"OK","BAD DATE")</f>
        <v>OK</v>
      </c>
      <c r="R267" s="2" t="str">
        <f aca="false">IF(ROUND(F267,2)=F267,"OK","FIX")</f>
        <v>OK</v>
      </c>
    </row>
    <row r="268" customFormat="false" ht="15" hidden="false" customHeight="false" outlineLevel="0" collapsed="false">
      <c r="A268" s="2" t="s">
        <v>1068</v>
      </c>
      <c r="B268" s="3" t="n">
        <v>45451</v>
      </c>
      <c r="C268" s="2" t="s">
        <v>1069</v>
      </c>
      <c r="D268" s="2" t="s">
        <v>45</v>
      </c>
      <c r="E268" s="2" t="n">
        <v>4</v>
      </c>
      <c r="F268" s="4" t="n">
        <v>583.07</v>
      </c>
      <c r="G268" s="2" t="s">
        <v>1070</v>
      </c>
      <c r="H268" s="2" t="s">
        <v>38</v>
      </c>
      <c r="I268" s="2" t="s">
        <v>39</v>
      </c>
      <c r="J268" s="2" t="s">
        <v>1071</v>
      </c>
      <c r="K268" s="2" t="n">
        <v>6</v>
      </c>
      <c r="L268" s="2" t="s">
        <v>41</v>
      </c>
      <c r="M268" s="2" t="s">
        <v>33</v>
      </c>
      <c r="N268" s="4" t="n">
        <v>2332.28</v>
      </c>
      <c r="O268" s="2" t="str">
        <f aca="false">IF(COUNTIF($A$2:$A$1201,A268)&gt;1,"DUPLICATE","Unique")</f>
        <v>Unique</v>
      </c>
      <c r="P268" s="2" t="str">
        <f aca="false">IF(L268="","MISSING","OK")</f>
        <v>OK</v>
      </c>
      <c r="Q268" s="2" t="str">
        <f aca="false">IF(ISNUMBER(B268),"OK","BAD DATE")</f>
        <v>OK</v>
      </c>
      <c r="R268" s="2" t="str">
        <f aca="false">IF(ROUND(F268,2)=F268,"OK","FIX")</f>
        <v>OK</v>
      </c>
    </row>
    <row r="269" customFormat="false" ht="15" hidden="false" customHeight="false" outlineLevel="0" collapsed="false">
      <c r="A269" s="2" t="s">
        <v>1072</v>
      </c>
      <c r="B269" s="3" t="n">
        <v>45764</v>
      </c>
      <c r="C269" s="2" t="s">
        <v>1073</v>
      </c>
      <c r="D269" s="2" t="s">
        <v>45</v>
      </c>
      <c r="E269" s="2" t="n">
        <v>5</v>
      </c>
      <c r="F269" s="4" t="n">
        <v>468.51</v>
      </c>
      <c r="G269" s="2" t="s">
        <v>1074</v>
      </c>
      <c r="H269" s="2" t="s">
        <v>22</v>
      </c>
      <c r="I269" s="2" t="s">
        <v>54</v>
      </c>
      <c r="J269" s="2" t="s">
        <v>1075</v>
      </c>
      <c r="K269" s="2" t="n">
        <v>9</v>
      </c>
      <c r="L269" s="2"/>
      <c r="M269" s="2" t="s">
        <v>49</v>
      </c>
      <c r="N269" s="4" t="n">
        <v>2342.55</v>
      </c>
      <c r="O269" s="2" t="str">
        <f aca="false">IF(COUNTIF($A$2:$A$1201,A269)&gt;1,"DUPLICATE","Unique")</f>
        <v>Unique</v>
      </c>
      <c r="P269" s="2" t="str">
        <f aca="false">IF(L269="","MISSING","OK")</f>
        <v>MISSING</v>
      </c>
      <c r="Q269" s="2" t="str">
        <f aca="false">IF(ISNUMBER(B269),"OK","BAD DATE")</f>
        <v>OK</v>
      </c>
      <c r="R269" s="2" t="str">
        <f aca="false">IF(ROUND(F269,2)=F269,"OK","FIX")</f>
        <v>OK</v>
      </c>
    </row>
    <row r="270" customFormat="false" ht="15" hidden="false" customHeight="false" outlineLevel="0" collapsed="false">
      <c r="A270" s="2" t="s">
        <v>1076</v>
      </c>
      <c r="B270" s="3" t="n">
        <v>45149</v>
      </c>
      <c r="C270" s="2" t="s">
        <v>1077</v>
      </c>
      <c r="D270" s="2" t="s">
        <v>29</v>
      </c>
      <c r="E270" s="2" t="n">
        <v>2</v>
      </c>
      <c r="F270" s="4" t="n">
        <v>423.88</v>
      </c>
      <c r="G270" s="2" t="s">
        <v>1078</v>
      </c>
      <c r="H270" s="2" t="s">
        <v>22</v>
      </c>
      <c r="I270" s="2" t="s">
        <v>54</v>
      </c>
      <c r="J270" s="2" t="s">
        <v>1079</v>
      </c>
      <c r="K270" s="2" t="n">
        <v>7</v>
      </c>
      <c r="L270" s="2" t="s">
        <v>25</v>
      </c>
      <c r="M270" s="2" t="s">
        <v>33</v>
      </c>
      <c r="N270" s="4" t="n">
        <v>847.76</v>
      </c>
      <c r="O270" s="2" t="str">
        <f aca="false">IF(COUNTIF($A$2:$A$1201,A270)&gt;1,"DUPLICATE","Unique")</f>
        <v>Unique</v>
      </c>
      <c r="P270" s="2" t="str">
        <f aca="false">IF(L270="","MISSING","OK")</f>
        <v>OK</v>
      </c>
      <c r="Q270" s="2" t="str">
        <f aca="false">IF(ISNUMBER(B270),"OK","BAD DATE")</f>
        <v>OK</v>
      </c>
      <c r="R270" s="2" t="str">
        <f aca="false">IF(ROUND(F270,2)=F270,"OK","FIX")</f>
        <v>OK</v>
      </c>
    </row>
    <row r="271" customFormat="false" ht="15" hidden="false" customHeight="false" outlineLevel="0" collapsed="false">
      <c r="A271" s="2" t="s">
        <v>1080</v>
      </c>
      <c r="B271" s="3" t="n">
        <v>45255</v>
      </c>
      <c r="C271" s="2" t="s">
        <v>1081</v>
      </c>
      <c r="D271" s="2" t="s">
        <v>36</v>
      </c>
      <c r="E271" s="2" t="n">
        <v>4</v>
      </c>
      <c r="F271" s="4" t="n">
        <v>663.67</v>
      </c>
      <c r="G271" s="2" t="s">
        <v>331</v>
      </c>
      <c r="H271" s="2" t="s">
        <v>38</v>
      </c>
      <c r="I271" s="2" t="s">
        <v>93</v>
      </c>
      <c r="J271" s="2" t="s">
        <v>1082</v>
      </c>
      <c r="K271" s="2" t="n">
        <v>7</v>
      </c>
      <c r="L271" s="2" t="s">
        <v>41</v>
      </c>
      <c r="M271" s="2" t="s">
        <v>80</v>
      </c>
      <c r="N271" s="4" t="n">
        <v>2654.68</v>
      </c>
      <c r="O271" s="2" t="str">
        <f aca="false">IF(COUNTIF($A$2:$A$1201,A271)&gt;1,"DUPLICATE","Unique")</f>
        <v>Unique</v>
      </c>
      <c r="P271" s="2" t="str">
        <f aca="false">IF(L271="","MISSING","OK")</f>
        <v>OK</v>
      </c>
      <c r="Q271" s="2" t="str">
        <f aca="false">IF(ISNUMBER(B271),"OK","BAD DATE")</f>
        <v>OK</v>
      </c>
      <c r="R271" s="2" t="str">
        <f aca="false">IF(ROUND(F271,2)=F271,"OK","FIX")</f>
        <v>OK</v>
      </c>
    </row>
    <row r="272" customFormat="false" ht="15" hidden="false" customHeight="false" outlineLevel="0" collapsed="false">
      <c r="A272" s="2" t="s">
        <v>1083</v>
      </c>
      <c r="B272" s="3" t="n">
        <v>45081</v>
      </c>
      <c r="C272" s="2" t="s">
        <v>1084</v>
      </c>
      <c r="D272" s="2" t="s">
        <v>52</v>
      </c>
      <c r="E272" s="2" t="n">
        <v>4</v>
      </c>
      <c r="F272" s="4" t="n">
        <v>309.91</v>
      </c>
      <c r="G272" s="2" t="s">
        <v>1085</v>
      </c>
      <c r="H272" s="2" t="s">
        <v>22</v>
      </c>
      <c r="I272" s="2" t="s">
        <v>23</v>
      </c>
      <c r="J272" s="2" t="s">
        <v>1086</v>
      </c>
      <c r="K272" s="2" t="n">
        <v>5</v>
      </c>
      <c r="L272" s="2" t="s">
        <v>85</v>
      </c>
      <c r="M272" s="2" t="s">
        <v>80</v>
      </c>
      <c r="N272" s="4" t="n">
        <v>1239.64</v>
      </c>
      <c r="O272" s="2" t="str">
        <f aca="false">IF(COUNTIF($A$2:$A$1201,A272)&gt;1,"DUPLICATE","Unique")</f>
        <v>Unique</v>
      </c>
      <c r="P272" s="2" t="str">
        <f aca="false">IF(L272="","MISSING","OK")</f>
        <v>OK</v>
      </c>
      <c r="Q272" s="2" t="str">
        <f aca="false">IF(ISNUMBER(B272),"OK","BAD DATE")</f>
        <v>OK</v>
      </c>
      <c r="R272" s="2" t="str">
        <f aca="false">IF(ROUND(F272,2)=F272,"OK","FIX")</f>
        <v>OK</v>
      </c>
    </row>
    <row r="273" customFormat="false" ht="15" hidden="false" customHeight="false" outlineLevel="0" collapsed="false">
      <c r="A273" s="2" t="s">
        <v>1087</v>
      </c>
      <c r="B273" s="3" t="n">
        <v>45013</v>
      </c>
      <c r="C273" s="2" t="s">
        <v>1088</v>
      </c>
      <c r="D273" s="2" t="s">
        <v>20</v>
      </c>
      <c r="E273" s="2" t="n">
        <v>1</v>
      </c>
      <c r="F273" s="4" t="n">
        <v>542.07</v>
      </c>
      <c r="G273" s="2" t="s">
        <v>1089</v>
      </c>
      <c r="H273" s="2" t="s">
        <v>69</v>
      </c>
      <c r="I273" s="2" t="s">
        <v>23</v>
      </c>
      <c r="J273" s="2" t="s">
        <v>1090</v>
      </c>
      <c r="K273" s="2" t="n">
        <v>6</v>
      </c>
      <c r="L273" s="2" t="s">
        <v>85</v>
      </c>
      <c r="M273" s="2" t="s">
        <v>33</v>
      </c>
      <c r="N273" s="4" t="n">
        <v>542.07</v>
      </c>
      <c r="O273" s="2" t="str">
        <f aca="false">IF(COUNTIF($A$2:$A$1201,A273)&gt;1,"DUPLICATE","Unique")</f>
        <v>Unique</v>
      </c>
      <c r="P273" s="2" t="str">
        <f aca="false">IF(L273="","MISSING","OK")</f>
        <v>OK</v>
      </c>
      <c r="Q273" s="2" t="str">
        <f aca="false">IF(ISNUMBER(B273),"OK","BAD DATE")</f>
        <v>OK</v>
      </c>
      <c r="R273" s="2" t="str">
        <f aca="false">IF(ROUND(F273,2)=F273,"OK","FIX")</f>
        <v>OK</v>
      </c>
    </row>
    <row r="274" customFormat="false" ht="15" hidden="false" customHeight="false" outlineLevel="0" collapsed="false">
      <c r="A274" s="2" t="s">
        <v>1091</v>
      </c>
      <c r="B274" s="3" t="n">
        <v>45188</v>
      </c>
      <c r="C274" s="2" t="s">
        <v>1092</v>
      </c>
      <c r="D274" s="2" t="s">
        <v>45</v>
      </c>
      <c r="E274" s="2" t="n">
        <v>2</v>
      </c>
      <c r="F274" s="4" t="n">
        <v>399.32</v>
      </c>
      <c r="G274" s="2" t="s">
        <v>1093</v>
      </c>
      <c r="H274" s="2" t="s">
        <v>31</v>
      </c>
      <c r="I274" s="2" t="s">
        <v>93</v>
      </c>
      <c r="J274" s="2" t="s">
        <v>1094</v>
      </c>
      <c r="K274" s="2" t="n">
        <v>6</v>
      </c>
      <c r="L274" s="2" t="s">
        <v>85</v>
      </c>
      <c r="M274" s="2" t="s">
        <v>26</v>
      </c>
      <c r="N274" s="4" t="n">
        <v>798.64</v>
      </c>
      <c r="O274" s="2" t="str">
        <f aca="false">IF(COUNTIF($A$2:$A$1201,A274)&gt;1,"DUPLICATE","Unique")</f>
        <v>Unique</v>
      </c>
      <c r="P274" s="2" t="str">
        <f aca="false">IF(L274="","MISSING","OK")</f>
        <v>OK</v>
      </c>
      <c r="Q274" s="2" t="str">
        <f aca="false">IF(ISNUMBER(B274),"OK","BAD DATE")</f>
        <v>OK</v>
      </c>
      <c r="R274" s="2" t="str">
        <f aca="false">IF(ROUND(F274,2)=F274,"OK","FIX")</f>
        <v>OK</v>
      </c>
    </row>
    <row r="275" customFormat="false" ht="15" hidden="false" customHeight="false" outlineLevel="0" collapsed="false">
      <c r="A275" s="2" t="s">
        <v>1095</v>
      </c>
      <c r="B275" s="3" t="n">
        <v>45592</v>
      </c>
      <c r="C275" s="2" t="s">
        <v>1096</v>
      </c>
      <c r="D275" s="2" t="s">
        <v>36</v>
      </c>
      <c r="E275" s="2" t="n">
        <v>2</v>
      </c>
      <c r="F275" s="4" t="n">
        <v>238.25</v>
      </c>
      <c r="G275" s="2" t="s">
        <v>1097</v>
      </c>
      <c r="H275" s="2" t="s">
        <v>31</v>
      </c>
      <c r="I275" s="2" t="s">
        <v>39</v>
      </c>
      <c r="J275" s="2" t="s">
        <v>1098</v>
      </c>
      <c r="K275" s="2" t="n">
        <v>7</v>
      </c>
      <c r="L275" s="2" t="s">
        <v>41</v>
      </c>
      <c r="M275" s="2" t="s">
        <v>42</v>
      </c>
      <c r="N275" s="4" t="n">
        <v>476.5</v>
      </c>
      <c r="O275" s="2" t="str">
        <f aca="false">IF(COUNTIF($A$2:$A$1201,A275)&gt;1,"DUPLICATE","Unique")</f>
        <v>Unique</v>
      </c>
      <c r="P275" s="2" t="str">
        <f aca="false">IF(L275="","MISSING","OK")</f>
        <v>OK</v>
      </c>
      <c r="Q275" s="2" t="str">
        <f aca="false">IF(ISNUMBER(B275),"OK","BAD DATE")</f>
        <v>OK</v>
      </c>
      <c r="R275" s="2" t="str">
        <f aca="false">IF(ROUND(F275,2)=F275,"OK","FIX")</f>
        <v>OK</v>
      </c>
    </row>
    <row r="276" customFormat="false" ht="15" hidden="false" customHeight="false" outlineLevel="0" collapsed="false">
      <c r="A276" s="2" t="s">
        <v>1099</v>
      </c>
      <c r="B276" s="3" t="n">
        <v>44961</v>
      </c>
      <c r="C276" s="2" t="s">
        <v>1100</v>
      </c>
      <c r="D276" s="2" t="s">
        <v>29</v>
      </c>
      <c r="E276" s="2" t="n">
        <v>2</v>
      </c>
      <c r="F276" s="4" t="n">
        <v>182.4</v>
      </c>
      <c r="G276" s="2" t="s">
        <v>1101</v>
      </c>
      <c r="H276" s="2" t="s">
        <v>64</v>
      </c>
      <c r="I276" s="2" t="s">
        <v>39</v>
      </c>
      <c r="J276" s="2" t="s">
        <v>1102</v>
      </c>
      <c r="K276" s="2" t="n">
        <v>5</v>
      </c>
      <c r="L276" s="2" t="s">
        <v>25</v>
      </c>
      <c r="M276" s="2" t="s">
        <v>33</v>
      </c>
      <c r="N276" s="4" t="n">
        <v>364.8</v>
      </c>
      <c r="O276" s="2" t="str">
        <f aca="false">IF(COUNTIF($A$2:$A$1201,A276)&gt;1,"DUPLICATE","Unique")</f>
        <v>Unique</v>
      </c>
      <c r="P276" s="2" t="str">
        <f aca="false">IF(L276="","MISSING","OK")</f>
        <v>OK</v>
      </c>
      <c r="Q276" s="2" t="str">
        <f aca="false">IF(ISNUMBER(B276),"OK","BAD DATE")</f>
        <v>OK</v>
      </c>
      <c r="R276" s="2" t="str">
        <f aca="false">IF(ROUND(F276,2)=F276,"OK","FIX")</f>
        <v>OK</v>
      </c>
    </row>
    <row r="277" customFormat="false" ht="15" hidden="false" customHeight="false" outlineLevel="0" collapsed="false">
      <c r="A277" s="2" t="s">
        <v>1103</v>
      </c>
      <c r="B277" s="3" t="n">
        <v>45234</v>
      </c>
      <c r="C277" s="2" t="s">
        <v>1104</v>
      </c>
      <c r="D277" s="2" t="s">
        <v>45</v>
      </c>
      <c r="E277" s="2" t="n">
        <v>2</v>
      </c>
      <c r="F277" s="4" t="n">
        <v>65.07</v>
      </c>
      <c r="G277" s="2" t="s">
        <v>1105</v>
      </c>
      <c r="H277" s="2" t="s">
        <v>38</v>
      </c>
      <c r="I277" s="2" t="s">
        <v>39</v>
      </c>
      <c r="J277" s="2" t="s">
        <v>1106</v>
      </c>
      <c r="K277" s="2" t="n">
        <v>4</v>
      </c>
      <c r="L277" s="2" t="s">
        <v>25</v>
      </c>
      <c r="M277" s="2" t="s">
        <v>80</v>
      </c>
      <c r="N277" s="4" t="n">
        <v>130.14</v>
      </c>
      <c r="O277" s="2" t="str">
        <f aca="false">IF(COUNTIF($A$2:$A$1201,A277)&gt;1,"DUPLICATE","Unique")</f>
        <v>Unique</v>
      </c>
      <c r="P277" s="2" t="str">
        <f aca="false">IF(L277="","MISSING","OK")</f>
        <v>OK</v>
      </c>
      <c r="Q277" s="2" t="str">
        <f aca="false">IF(ISNUMBER(B277),"OK","BAD DATE")</f>
        <v>OK</v>
      </c>
      <c r="R277" s="2" t="str">
        <f aca="false">IF(ROUND(F277,2)=F277,"OK","FIX")</f>
        <v>OK</v>
      </c>
    </row>
    <row r="278" customFormat="false" ht="15" hidden="false" customHeight="false" outlineLevel="0" collapsed="false">
      <c r="A278" s="2" t="s">
        <v>1107</v>
      </c>
      <c r="B278" s="3" t="n">
        <v>45745</v>
      </c>
      <c r="C278" s="2" t="s">
        <v>1108</v>
      </c>
      <c r="D278" s="2" t="s">
        <v>52</v>
      </c>
      <c r="E278" s="2" t="n">
        <v>2</v>
      </c>
      <c r="F278" s="4" t="n">
        <v>600.57</v>
      </c>
      <c r="G278" s="2" t="s">
        <v>1109</v>
      </c>
      <c r="H278" s="2" t="s">
        <v>22</v>
      </c>
      <c r="I278" s="2" t="s">
        <v>47</v>
      </c>
      <c r="J278" s="2" t="s">
        <v>1110</v>
      </c>
      <c r="K278" s="2" t="n">
        <v>3</v>
      </c>
      <c r="L278" s="2" t="s">
        <v>85</v>
      </c>
      <c r="M278" s="2" t="s">
        <v>26</v>
      </c>
      <c r="N278" s="4" t="n">
        <v>1201.14</v>
      </c>
      <c r="O278" s="2" t="str">
        <f aca="false">IF(COUNTIF($A$2:$A$1201,A278)&gt;1,"DUPLICATE","Unique")</f>
        <v>Unique</v>
      </c>
      <c r="P278" s="2" t="str">
        <f aca="false">IF(L278="","MISSING","OK")</f>
        <v>OK</v>
      </c>
      <c r="Q278" s="2" t="str">
        <f aca="false">IF(ISNUMBER(B278),"OK","BAD DATE")</f>
        <v>OK</v>
      </c>
      <c r="R278" s="2" t="str">
        <f aca="false">IF(ROUND(F278,2)=F278,"OK","FIX")</f>
        <v>OK</v>
      </c>
    </row>
    <row r="279" customFormat="false" ht="15" hidden="false" customHeight="false" outlineLevel="0" collapsed="false">
      <c r="A279" s="2" t="s">
        <v>1111</v>
      </c>
      <c r="B279" s="3" t="n">
        <v>45544</v>
      </c>
      <c r="C279" s="2" t="s">
        <v>1112</v>
      </c>
      <c r="D279" s="2" t="s">
        <v>45</v>
      </c>
      <c r="E279" s="2" t="n">
        <v>5</v>
      </c>
      <c r="F279" s="4" t="n">
        <v>90.92</v>
      </c>
      <c r="G279" s="2" t="s">
        <v>1113</v>
      </c>
      <c r="H279" s="2" t="s">
        <v>38</v>
      </c>
      <c r="I279" s="2" t="s">
        <v>54</v>
      </c>
      <c r="J279" s="2" t="s">
        <v>1114</v>
      </c>
      <c r="K279" s="2" t="n">
        <v>9</v>
      </c>
      <c r="L279" s="2" t="s">
        <v>25</v>
      </c>
      <c r="M279" s="2" t="s">
        <v>49</v>
      </c>
      <c r="N279" s="4" t="n">
        <v>454.6</v>
      </c>
      <c r="O279" s="2" t="str">
        <f aca="false">IF(COUNTIF($A$2:$A$1201,A279)&gt;1,"DUPLICATE","Unique")</f>
        <v>Unique</v>
      </c>
      <c r="P279" s="2" t="str">
        <f aca="false">IF(L279="","MISSING","OK")</f>
        <v>OK</v>
      </c>
      <c r="Q279" s="2" t="str">
        <f aca="false">IF(ISNUMBER(B279),"OK","BAD DATE")</f>
        <v>OK</v>
      </c>
      <c r="R279" s="2" t="str">
        <f aca="false">IF(ROUND(F279,2)=F279,"OK","FIX")</f>
        <v>OK</v>
      </c>
    </row>
    <row r="280" customFormat="false" ht="15" hidden="false" customHeight="false" outlineLevel="0" collapsed="false">
      <c r="A280" s="2" t="s">
        <v>1115</v>
      </c>
      <c r="B280" s="3" t="n">
        <v>45614</v>
      </c>
      <c r="C280" s="2" t="s">
        <v>1116</v>
      </c>
      <c r="D280" s="2" t="s">
        <v>62</v>
      </c>
      <c r="E280" s="2" t="n">
        <v>5</v>
      </c>
      <c r="F280" s="4" t="n">
        <v>362.46</v>
      </c>
      <c r="G280" s="2" t="s">
        <v>1117</v>
      </c>
      <c r="H280" s="2" t="s">
        <v>69</v>
      </c>
      <c r="I280" s="2" t="s">
        <v>54</v>
      </c>
      <c r="J280" s="2" t="s">
        <v>1118</v>
      </c>
      <c r="K280" s="2" t="n">
        <v>6</v>
      </c>
      <c r="L280" s="2" t="s">
        <v>41</v>
      </c>
      <c r="M280" s="2" t="s">
        <v>26</v>
      </c>
      <c r="N280" s="4" t="n">
        <v>1812.3</v>
      </c>
      <c r="O280" s="2" t="str">
        <f aca="false">IF(COUNTIF($A$2:$A$1201,A280)&gt;1,"DUPLICATE","Unique")</f>
        <v>Unique</v>
      </c>
      <c r="P280" s="2" t="str">
        <f aca="false">IF(L280="","MISSING","OK")</f>
        <v>OK</v>
      </c>
      <c r="Q280" s="2" t="str">
        <f aca="false">IF(ISNUMBER(B280),"OK","BAD DATE")</f>
        <v>OK</v>
      </c>
      <c r="R280" s="2" t="str">
        <f aca="false">IF(ROUND(F280,2)=F280,"OK","FIX")</f>
        <v>OK</v>
      </c>
    </row>
    <row r="281" customFormat="false" ht="15" hidden="false" customHeight="false" outlineLevel="0" collapsed="false">
      <c r="A281" s="2" t="s">
        <v>1119</v>
      </c>
      <c r="B281" s="3" t="n">
        <v>45219</v>
      </c>
      <c r="C281" s="2" t="s">
        <v>1120</v>
      </c>
      <c r="D281" s="2" t="s">
        <v>45</v>
      </c>
      <c r="E281" s="2" t="n">
        <v>3</v>
      </c>
      <c r="F281" s="4" t="n">
        <v>55.01</v>
      </c>
      <c r="G281" s="2" t="s">
        <v>1121</v>
      </c>
      <c r="H281" s="2" t="s">
        <v>31</v>
      </c>
      <c r="I281" s="2" t="s">
        <v>93</v>
      </c>
      <c r="J281" s="2" t="s">
        <v>1122</v>
      </c>
      <c r="K281" s="2" t="n">
        <v>7</v>
      </c>
      <c r="L281" s="2" t="s">
        <v>85</v>
      </c>
      <c r="M281" s="2" t="s">
        <v>42</v>
      </c>
      <c r="N281" s="4" t="n">
        <v>165.03</v>
      </c>
      <c r="O281" s="2" t="str">
        <f aca="false">IF(COUNTIF($A$2:$A$1201,A281)&gt;1,"DUPLICATE","Unique")</f>
        <v>Unique</v>
      </c>
      <c r="P281" s="2" t="str">
        <f aca="false">IF(L281="","MISSING","OK")</f>
        <v>OK</v>
      </c>
      <c r="Q281" s="2" t="str">
        <f aca="false">IF(ISNUMBER(B281),"OK","BAD DATE")</f>
        <v>OK</v>
      </c>
      <c r="R281" s="2" t="str">
        <f aca="false">IF(ROUND(F281,2)=F281,"OK","FIX")</f>
        <v>OK</v>
      </c>
    </row>
    <row r="282" customFormat="false" ht="15" hidden="false" customHeight="false" outlineLevel="0" collapsed="false">
      <c r="A282" s="2" t="s">
        <v>1123</v>
      </c>
      <c r="B282" s="3" t="n">
        <v>45012</v>
      </c>
      <c r="C282" s="2" t="s">
        <v>1124</v>
      </c>
      <c r="D282" s="2" t="s">
        <v>36</v>
      </c>
      <c r="E282" s="2" t="n">
        <v>3</v>
      </c>
      <c r="F282" s="4" t="n">
        <v>404.62</v>
      </c>
      <c r="G282" s="2" t="s">
        <v>1125</v>
      </c>
      <c r="H282" s="2" t="s">
        <v>64</v>
      </c>
      <c r="I282" s="2" t="s">
        <v>54</v>
      </c>
      <c r="J282" s="2" t="s">
        <v>1126</v>
      </c>
      <c r="K282" s="2" t="n">
        <v>6</v>
      </c>
      <c r="L282" s="2" t="s">
        <v>41</v>
      </c>
      <c r="M282" s="2" t="s">
        <v>26</v>
      </c>
      <c r="N282" s="4" t="n">
        <v>1213.86</v>
      </c>
      <c r="O282" s="2" t="str">
        <f aca="false">IF(COUNTIF($A$2:$A$1201,A282)&gt;1,"DUPLICATE","Unique")</f>
        <v>Unique</v>
      </c>
      <c r="P282" s="2" t="str">
        <f aca="false">IF(L282="","MISSING","OK")</f>
        <v>OK</v>
      </c>
      <c r="Q282" s="2" t="str">
        <f aca="false">IF(ISNUMBER(B282),"OK","BAD DATE")</f>
        <v>OK</v>
      </c>
      <c r="R282" s="2" t="str">
        <f aca="false">IF(ROUND(F282,2)=F282,"OK","FIX")</f>
        <v>OK</v>
      </c>
    </row>
    <row r="283" customFormat="false" ht="15" hidden="false" customHeight="false" outlineLevel="0" collapsed="false">
      <c r="A283" s="2" t="s">
        <v>1127</v>
      </c>
      <c r="B283" s="3" t="n">
        <v>45134</v>
      </c>
      <c r="C283" s="2" t="s">
        <v>1128</v>
      </c>
      <c r="D283" s="2" t="s">
        <v>77</v>
      </c>
      <c r="E283" s="2" t="n">
        <v>4</v>
      </c>
      <c r="F283" s="4" t="n">
        <v>654.79</v>
      </c>
      <c r="G283" s="2" t="s">
        <v>1129</v>
      </c>
      <c r="H283" s="2" t="s">
        <v>69</v>
      </c>
      <c r="I283" s="2" t="s">
        <v>93</v>
      </c>
      <c r="J283" s="2" t="s">
        <v>1130</v>
      </c>
      <c r="K283" s="2" t="n">
        <v>9</v>
      </c>
      <c r="L283" s="2"/>
      <c r="M283" s="2" t="s">
        <v>33</v>
      </c>
      <c r="N283" s="4" t="n">
        <v>2619.16</v>
      </c>
      <c r="O283" s="2" t="str">
        <f aca="false">IF(COUNTIF($A$2:$A$1201,A283)&gt;1,"DUPLICATE","Unique")</f>
        <v>Unique</v>
      </c>
      <c r="P283" s="2" t="str">
        <f aca="false">IF(L283="","MISSING","OK")</f>
        <v>MISSING</v>
      </c>
      <c r="Q283" s="2" t="str">
        <f aca="false">IF(ISNUMBER(B283),"OK","BAD DATE")</f>
        <v>OK</v>
      </c>
      <c r="R283" s="2" t="str">
        <f aca="false">IF(ROUND(F283,2)=F283,"OK","FIX")</f>
        <v>OK</v>
      </c>
    </row>
    <row r="284" customFormat="false" ht="15" hidden="false" customHeight="false" outlineLevel="0" collapsed="false">
      <c r="A284" s="2" t="s">
        <v>1131</v>
      </c>
      <c r="B284" s="3" t="n">
        <v>45769</v>
      </c>
      <c r="C284" s="2" t="s">
        <v>1132</v>
      </c>
      <c r="D284" s="2" t="s">
        <v>52</v>
      </c>
      <c r="E284" s="2" t="n">
        <v>4</v>
      </c>
      <c r="F284" s="4" t="n">
        <v>637.79</v>
      </c>
      <c r="G284" s="2" t="s">
        <v>1133</v>
      </c>
      <c r="H284" s="2" t="s">
        <v>64</v>
      </c>
      <c r="I284" s="2" t="s">
        <v>39</v>
      </c>
      <c r="J284" s="2" t="s">
        <v>1134</v>
      </c>
      <c r="K284" s="2" t="n">
        <v>9</v>
      </c>
      <c r="L284" s="2" t="s">
        <v>41</v>
      </c>
      <c r="M284" s="2" t="s">
        <v>80</v>
      </c>
      <c r="N284" s="4" t="n">
        <v>2551.16</v>
      </c>
      <c r="O284" s="2" t="str">
        <f aca="false">IF(COUNTIF($A$2:$A$1201,A284)&gt;1,"DUPLICATE","Unique")</f>
        <v>Unique</v>
      </c>
      <c r="P284" s="2" t="str">
        <f aca="false">IF(L284="","MISSING","OK")</f>
        <v>OK</v>
      </c>
      <c r="Q284" s="2" t="str">
        <f aca="false">IF(ISNUMBER(B284),"OK","BAD DATE")</f>
        <v>OK</v>
      </c>
      <c r="R284" s="2" t="str">
        <f aca="false">IF(ROUND(F284,2)=F284,"OK","FIX")</f>
        <v>OK</v>
      </c>
    </row>
    <row r="285" customFormat="false" ht="15" hidden="false" customHeight="false" outlineLevel="0" collapsed="false">
      <c r="A285" s="2" t="s">
        <v>1135</v>
      </c>
      <c r="B285" s="3" t="n">
        <v>45716</v>
      </c>
      <c r="C285" s="2" t="s">
        <v>1136</v>
      </c>
      <c r="D285" s="2" t="s">
        <v>62</v>
      </c>
      <c r="E285" s="2" t="n">
        <v>4</v>
      </c>
      <c r="F285" s="4" t="n">
        <v>540.33</v>
      </c>
      <c r="G285" s="2" t="s">
        <v>1137</v>
      </c>
      <c r="H285" s="2" t="s">
        <v>69</v>
      </c>
      <c r="I285" s="2" t="s">
        <v>23</v>
      </c>
      <c r="J285" s="2" t="s">
        <v>1138</v>
      </c>
      <c r="K285" s="2" t="n">
        <v>6</v>
      </c>
      <c r="L285" s="2"/>
      <c r="M285" s="2" t="s">
        <v>80</v>
      </c>
      <c r="N285" s="4" t="n">
        <v>2161.32</v>
      </c>
      <c r="O285" s="2" t="str">
        <f aca="false">IF(COUNTIF($A$2:$A$1201,A285)&gt;1,"DUPLICATE","Unique")</f>
        <v>Unique</v>
      </c>
      <c r="P285" s="2" t="str">
        <f aca="false">IF(L285="","MISSING","OK")</f>
        <v>MISSING</v>
      </c>
      <c r="Q285" s="2" t="str">
        <f aca="false">IF(ISNUMBER(B285),"OK","BAD DATE")</f>
        <v>OK</v>
      </c>
      <c r="R285" s="2" t="str">
        <f aca="false">IF(ROUND(F285,2)=F285,"OK","FIX")</f>
        <v>OK</v>
      </c>
    </row>
    <row r="286" customFormat="false" ht="15" hidden="false" customHeight="false" outlineLevel="0" collapsed="false">
      <c r="A286" s="2" t="s">
        <v>1139</v>
      </c>
      <c r="B286" s="3" t="n">
        <v>44973</v>
      </c>
      <c r="C286" s="2" t="s">
        <v>1140</v>
      </c>
      <c r="D286" s="2" t="s">
        <v>62</v>
      </c>
      <c r="E286" s="2" t="n">
        <v>5</v>
      </c>
      <c r="F286" s="4" t="n">
        <v>208.17</v>
      </c>
      <c r="G286" s="2" t="s">
        <v>1141</v>
      </c>
      <c r="H286" s="2" t="s">
        <v>38</v>
      </c>
      <c r="I286" s="2" t="s">
        <v>47</v>
      </c>
      <c r="J286" s="2" t="s">
        <v>1142</v>
      </c>
      <c r="K286" s="2" t="n">
        <v>6</v>
      </c>
      <c r="L286" s="2" t="s">
        <v>25</v>
      </c>
      <c r="M286" s="2" t="s">
        <v>49</v>
      </c>
      <c r="N286" s="4" t="n">
        <v>1040.85</v>
      </c>
      <c r="O286" s="2" t="str">
        <f aca="false">IF(COUNTIF($A$2:$A$1201,A286)&gt;1,"DUPLICATE","Unique")</f>
        <v>Unique</v>
      </c>
      <c r="P286" s="2" t="str">
        <f aca="false">IF(L286="","MISSING","OK")</f>
        <v>OK</v>
      </c>
      <c r="Q286" s="2" t="str">
        <f aca="false">IF(ISNUMBER(B286),"OK","BAD DATE")</f>
        <v>OK</v>
      </c>
      <c r="R286" s="2" t="str">
        <f aca="false">IF(ROUND(F286,2)=F286,"OK","FIX")</f>
        <v>OK</v>
      </c>
    </row>
    <row r="287" customFormat="false" ht="15" hidden="false" customHeight="false" outlineLevel="0" collapsed="false">
      <c r="A287" s="2" t="s">
        <v>1143</v>
      </c>
      <c r="B287" s="3" t="n">
        <v>45818</v>
      </c>
      <c r="C287" s="2" t="s">
        <v>1144</v>
      </c>
      <c r="D287" s="2" t="s">
        <v>29</v>
      </c>
      <c r="E287" s="2" t="n">
        <v>1</v>
      </c>
      <c r="F287" s="4" t="n">
        <v>338.31</v>
      </c>
      <c r="G287" s="2" t="s">
        <v>1097</v>
      </c>
      <c r="H287" s="2" t="s">
        <v>31</v>
      </c>
      <c r="I287" s="2" t="s">
        <v>54</v>
      </c>
      <c r="J287" s="2" t="s">
        <v>1145</v>
      </c>
      <c r="K287" s="2" t="n">
        <v>3</v>
      </c>
      <c r="L287" s="2"/>
      <c r="M287" s="2" t="s">
        <v>80</v>
      </c>
      <c r="N287" s="4" t="n">
        <v>338.31</v>
      </c>
      <c r="O287" s="2" t="str">
        <f aca="false">IF(COUNTIF($A$2:$A$1201,A287)&gt;1,"DUPLICATE","Unique")</f>
        <v>Unique</v>
      </c>
      <c r="P287" s="2" t="str">
        <f aca="false">IF(L287="","MISSING","OK")</f>
        <v>MISSING</v>
      </c>
      <c r="Q287" s="2" t="str">
        <f aca="false">IF(ISNUMBER(B287),"OK","BAD DATE")</f>
        <v>OK</v>
      </c>
      <c r="R287" s="2" t="str">
        <f aca="false">IF(ROUND(F287,2)=F287,"OK","FIX")</f>
        <v>OK</v>
      </c>
    </row>
    <row r="288" customFormat="false" ht="15" hidden="false" customHeight="false" outlineLevel="0" collapsed="false">
      <c r="A288" s="2" t="s">
        <v>1146</v>
      </c>
      <c r="B288" s="3" t="n">
        <v>45754</v>
      </c>
      <c r="C288" s="2" t="s">
        <v>1147</v>
      </c>
      <c r="D288" s="2" t="s">
        <v>20</v>
      </c>
      <c r="E288" s="2" t="n">
        <v>3</v>
      </c>
      <c r="F288" s="4" t="n">
        <v>139.45</v>
      </c>
      <c r="G288" s="2" t="s">
        <v>514</v>
      </c>
      <c r="H288" s="2" t="s">
        <v>64</v>
      </c>
      <c r="I288" s="2" t="s">
        <v>47</v>
      </c>
      <c r="J288" s="2" t="s">
        <v>1148</v>
      </c>
      <c r="K288" s="2" t="n">
        <v>8</v>
      </c>
      <c r="L288" s="2" t="s">
        <v>85</v>
      </c>
      <c r="M288" s="2" t="s">
        <v>80</v>
      </c>
      <c r="N288" s="4" t="n">
        <v>418.35</v>
      </c>
      <c r="O288" s="2" t="str">
        <f aca="false">IF(COUNTIF($A$2:$A$1201,A288)&gt;1,"DUPLICATE","Unique")</f>
        <v>Unique</v>
      </c>
      <c r="P288" s="2" t="str">
        <f aca="false">IF(L288="","MISSING","OK")</f>
        <v>OK</v>
      </c>
      <c r="Q288" s="2" t="str">
        <f aca="false">IF(ISNUMBER(B288),"OK","BAD DATE")</f>
        <v>OK</v>
      </c>
      <c r="R288" s="2" t="str">
        <f aca="false">IF(ROUND(F288,2)=F288,"OK","FIX")</f>
        <v>OK</v>
      </c>
    </row>
    <row r="289" customFormat="false" ht="15" hidden="false" customHeight="false" outlineLevel="0" collapsed="false">
      <c r="A289" s="2" t="s">
        <v>1149</v>
      </c>
      <c r="B289" s="3" t="n">
        <v>45254</v>
      </c>
      <c r="C289" s="2" t="s">
        <v>1150</v>
      </c>
      <c r="D289" s="2" t="s">
        <v>45</v>
      </c>
      <c r="E289" s="2" t="n">
        <v>4</v>
      </c>
      <c r="F289" s="4" t="n">
        <v>655.18</v>
      </c>
      <c r="G289" s="2" t="s">
        <v>1151</v>
      </c>
      <c r="H289" s="2" t="s">
        <v>31</v>
      </c>
      <c r="I289" s="2" t="s">
        <v>23</v>
      </c>
      <c r="J289" s="2" t="s">
        <v>1152</v>
      </c>
      <c r="K289" s="2" t="n">
        <v>5</v>
      </c>
      <c r="L289" s="2"/>
      <c r="M289" s="2" t="s">
        <v>49</v>
      </c>
      <c r="N289" s="4" t="n">
        <v>2620.72</v>
      </c>
      <c r="O289" s="2" t="str">
        <f aca="false">IF(COUNTIF($A$2:$A$1201,A289)&gt;1,"DUPLICATE","Unique")</f>
        <v>Unique</v>
      </c>
      <c r="P289" s="2" t="str">
        <f aca="false">IF(L289="","MISSING","OK")</f>
        <v>MISSING</v>
      </c>
      <c r="Q289" s="2" t="str">
        <f aca="false">IF(ISNUMBER(B289),"OK","BAD DATE")</f>
        <v>OK</v>
      </c>
      <c r="R289" s="2" t="str">
        <f aca="false">IF(ROUND(F289,2)=F289,"OK","FIX")</f>
        <v>OK</v>
      </c>
    </row>
    <row r="290" customFormat="false" ht="15" hidden="false" customHeight="false" outlineLevel="0" collapsed="false">
      <c r="A290" s="2" t="s">
        <v>1153</v>
      </c>
      <c r="B290" s="3" t="n">
        <v>44997</v>
      </c>
      <c r="C290" s="2" t="s">
        <v>1154</v>
      </c>
      <c r="D290" s="2" t="s">
        <v>62</v>
      </c>
      <c r="E290" s="2" t="n">
        <v>4</v>
      </c>
      <c r="F290" s="4" t="n">
        <v>512.75</v>
      </c>
      <c r="G290" s="2" t="s">
        <v>1155</v>
      </c>
      <c r="H290" s="2" t="s">
        <v>22</v>
      </c>
      <c r="I290" s="2" t="s">
        <v>47</v>
      </c>
      <c r="J290" s="2" t="s">
        <v>1156</v>
      </c>
      <c r="K290" s="2" t="n">
        <v>8</v>
      </c>
      <c r="L290" s="2" t="s">
        <v>85</v>
      </c>
      <c r="M290" s="2" t="s">
        <v>80</v>
      </c>
      <c r="N290" s="4" t="n">
        <v>2051</v>
      </c>
      <c r="O290" s="2" t="str">
        <f aca="false">IF(COUNTIF($A$2:$A$1201,A290)&gt;1,"DUPLICATE","Unique")</f>
        <v>Unique</v>
      </c>
      <c r="P290" s="2" t="str">
        <f aca="false">IF(L290="","MISSING","OK")</f>
        <v>OK</v>
      </c>
      <c r="Q290" s="2" t="str">
        <f aca="false">IF(ISNUMBER(B290),"OK","BAD DATE")</f>
        <v>OK</v>
      </c>
      <c r="R290" s="2" t="str">
        <f aca="false">IF(ROUND(F290,2)=F290,"OK","FIX")</f>
        <v>OK</v>
      </c>
    </row>
    <row r="291" customFormat="false" ht="15" hidden="false" customHeight="false" outlineLevel="0" collapsed="false">
      <c r="A291" s="2" t="s">
        <v>1157</v>
      </c>
      <c r="B291" s="3" t="n">
        <v>45133</v>
      </c>
      <c r="C291" s="2" t="s">
        <v>1158</v>
      </c>
      <c r="D291" s="2" t="s">
        <v>45</v>
      </c>
      <c r="E291" s="2" t="n">
        <v>4</v>
      </c>
      <c r="F291" s="4" t="n">
        <v>160.49</v>
      </c>
      <c r="G291" s="2" t="s">
        <v>83</v>
      </c>
      <c r="H291" s="2" t="s">
        <v>38</v>
      </c>
      <c r="I291" s="2" t="s">
        <v>23</v>
      </c>
      <c r="J291" s="2" t="s">
        <v>1159</v>
      </c>
      <c r="K291" s="2" t="n">
        <v>8</v>
      </c>
      <c r="L291" s="2" t="s">
        <v>85</v>
      </c>
      <c r="M291" s="2" t="s">
        <v>33</v>
      </c>
      <c r="N291" s="4" t="n">
        <v>641.96</v>
      </c>
      <c r="O291" s="2" t="str">
        <f aca="false">IF(COUNTIF($A$2:$A$1201,A291)&gt;1,"DUPLICATE","Unique")</f>
        <v>Unique</v>
      </c>
      <c r="P291" s="2" t="str">
        <f aca="false">IF(L291="","MISSING","OK")</f>
        <v>OK</v>
      </c>
      <c r="Q291" s="2" t="str">
        <f aca="false">IF(ISNUMBER(B291),"OK","BAD DATE")</f>
        <v>OK</v>
      </c>
      <c r="R291" s="2" t="str">
        <f aca="false">IF(ROUND(F291,2)=F291,"OK","FIX")</f>
        <v>OK</v>
      </c>
    </row>
    <row r="292" customFormat="false" ht="15" hidden="false" customHeight="false" outlineLevel="0" collapsed="false">
      <c r="A292" s="2" t="s">
        <v>1160</v>
      </c>
      <c r="B292" s="3" t="n">
        <v>45051</v>
      </c>
      <c r="C292" s="2" t="s">
        <v>1161</v>
      </c>
      <c r="D292" s="2" t="s">
        <v>45</v>
      </c>
      <c r="E292" s="2" t="n">
        <v>3</v>
      </c>
      <c r="F292" s="4" t="n">
        <v>99.9</v>
      </c>
      <c r="G292" s="2" t="s">
        <v>759</v>
      </c>
      <c r="H292" s="2" t="s">
        <v>69</v>
      </c>
      <c r="I292" s="2" t="s">
        <v>54</v>
      </c>
      <c r="J292" s="2" t="s">
        <v>1162</v>
      </c>
      <c r="K292" s="2" t="n">
        <v>8</v>
      </c>
      <c r="L292" s="2" t="s">
        <v>41</v>
      </c>
      <c r="M292" s="2" t="s">
        <v>49</v>
      </c>
      <c r="N292" s="4" t="n">
        <v>299.7</v>
      </c>
      <c r="O292" s="2" t="str">
        <f aca="false">IF(COUNTIF($A$2:$A$1201,A292)&gt;1,"DUPLICATE","Unique")</f>
        <v>Unique</v>
      </c>
      <c r="P292" s="2" t="str">
        <f aca="false">IF(L292="","MISSING","OK")</f>
        <v>OK</v>
      </c>
      <c r="Q292" s="2" t="str">
        <f aca="false">IF(ISNUMBER(B292),"OK","BAD DATE")</f>
        <v>OK</v>
      </c>
      <c r="R292" s="2" t="str">
        <f aca="false">IF(ROUND(F292,2)=F292,"OK","FIX")</f>
        <v>OK</v>
      </c>
    </row>
    <row r="293" customFormat="false" ht="15" hidden="false" customHeight="false" outlineLevel="0" collapsed="false">
      <c r="A293" s="2" t="s">
        <v>1163</v>
      </c>
      <c r="B293" s="3" t="n">
        <v>45424</v>
      </c>
      <c r="C293" s="2" t="s">
        <v>1164</v>
      </c>
      <c r="D293" s="2" t="s">
        <v>29</v>
      </c>
      <c r="E293" s="2" t="n">
        <v>2</v>
      </c>
      <c r="F293" s="4" t="n">
        <v>345.01</v>
      </c>
      <c r="G293" s="2" t="s">
        <v>1165</v>
      </c>
      <c r="H293" s="2" t="s">
        <v>38</v>
      </c>
      <c r="I293" s="2" t="s">
        <v>54</v>
      </c>
      <c r="J293" s="2" t="s">
        <v>1166</v>
      </c>
      <c r="K293" s="2" t="n">
        <v>6</v>
      </c>
      <c r="L293" s="2" t="s">
        <v>41</v>
      </c>
      <c r="M293" s="2" t="s">
        <v>80</v>
      </c>
      <c r="N293" s="4" t="n">
        <v>690.02</v>
      </c>
      <c r="O293" s="2" t="str">
        <f aca="false">IF(COUNTIF($A$2:$A$1201,A293)&gt;1,"DUPLICATE","Unique")</f>
        <v>Unique</v>
      </c>
      <c r="P293" s="2" t="str">
        <f aca="false">IF(L293="","MISSING","OK")</f>
        <v>OK</v>
      </c>
      <c r="Q293" s="2" t="str">
        <f aca="false">IF(ISNUMBER(B293),"OK","BAD DATE")</f>
        <v>OK</v>
      </c>
      <c r="R293" s="2" t="str">
        <f aca="false">IF(ROUND(F293,2)=F293,"OK","FIX")</f>
        <v>OK</v>
      </c>
    </row>
    <row r="294" customFormat="false" ht="15" hidden="false" customHeight="false" outlineLevel="0" collapsed="false">
      <c r="A294" s="2" t="s">
        <v>1167</v>
      </c>
      <c r="B294" s="3" t="n">
        <v>45672</v>
      </c>
      <c r="C294" s="2" t="s">
        <v>1168</v>
      </c>
      <c r="D294" s="2" t="s">
        <v>20</v>
      </c>
      <c r="E294" s="2" t="n">
        <v>1</v>
      </c>
      <c r="F294" s="4" t="n">
        <v>65.95</v>
      </c>
      <c r="G294" s="2" t="s">
        <v>862</v>
      </c>
      <c r="H294" s="2" t="s">
        <v>38</v>
      </c>
      <c r="I294" s="2" t="s">
        <v>54</v>
      </c>
      <c r="J294" s="2" t="s">
        <v>1169</v>
      </c>
      <c r="K294" s="2" t="n">
        <v>5</v>
      </c>
      <c r="L294" s="2"/>
      <c r="M294" s="2" t="s">
        <v>49</v>
      </c>
      <c r="N294" s="4" t="n">
        <v>65.95</v>
      </c>
      <c r="O294" s="2" t="str">
        <f aca="false">IF(COUNTIF($A$2:$A$1201,A294)&gt;1,"DUPLICATE","Unique")</f>
        <v>Unique</v>
      </c>
      <c r="P294" s="2" t="str">
        <f aca="false">IF(L294="","MISSING","OK")</f>
        <v>MISSING</v>
      </c>
      <c r="Q294" s="2" t="str">
        <f aca="false">IF(ISNUMBER(B294),"OK","BAD DATE")</f>
        <v>OK</v>
      </c>
      <c r="R294" s="2" t="str">
        <f aca="false">IF(ROUND(F294,2)=F294,"OK","FIX")</f>
        <v>OK</v>
      </c>
    </row>
    <row r="295" customFormat="false" ht="15" hidden="false" customHeight="false" outlineLevel="0" collapsed="false">
      <c r="A295" s="2" t="s">
        <v>1170</v>
      </c>
      <c r="B295" s="3" t="n">
        <v>44973</v>
      </c>
      <c r="C295" s="2" t="s">
        <v>1171</v>
      </c>
      <c r="D295" s="2" t="s">
        <v>36</v>
      </c>
      <c r="E295" s="2" t="n">
        <v>4</v>
      </c>
      <c r="F295" s="4" t="n">
        <v>463.04</v>
      </c>
      <c r="G295" s="2" t="s">
        <v>1172</v>
      </c>
      <c r="H295" s="2" t="s">
        <v>64</v>
      </c>
      <c r="I295" s="2" t="s">
        <v>47</v>
      </c>
      <c r="J295" s="2" t="s">
        <v>1173</v>
      </c>
      <c r="K295" s="2" t="n">
        <v>9</v>
      </c>
      <c r="L295" s="2"/>
      <c r="M295" s="2" t="s">
        <v>26</v>
      </c>
      <c r="N295" s="4" t="n">
        <v>1852.16</v>
      </c>
      <c r="O295" s="2" t="str">
        <f aca="false">IF(COUNTIF($A$2:$A$1201,A295)&gt;1,"DUPLICATE","Unique")</f>
        <v>Unique</v>
      </c>
      <c r="P295" s="2" t="str">
        <f aca="false">IF(L295="","MISSING","OK")</f>
        <v>MISSING</v>
      </c>
      <c r="Q295" s="2" t="str">
        <f aca="false">IF(ISNUMBER(B295),"OK","BAD DATE")</f>
        <v>OK</v>
      </c>
      <c r="R295" s="2" t="str">
        <f aca="false">IF(ROUND(F295,2)=F295,"OK","FIX")</f>
        <v>OK</v>
      </c>
    </row>
    <row r="296" customFormat="false" ht="15" hidden="false" customHeight="false" outlineLevel="0" collapsed="false">
      <c r="A296" s="2" t="s">
        <v>1174</v>
      </c>
      <c r="B296" s="3" t="n">
        <v>45748</v>
      </c>
      <c r="C296" s="2" t="s">
        <v>1175</v>
      </c>
      <c r="D296" s="2" t="s">
        <v>29</v>
      </c>
      <c r="E296" s="2" t="n">
        <v>2</v>
      </c>
      <c r="F296" s="4" t="n">
        <v>297.71</v>
      </c>
      <c r="G296" s="2" t="s">
        <v>1176</v>
      </c>
      <c r="H296" s="2" t="s">
        <v>31</v>
      </c>
      <c r="I296" s="2" t="s">
        <v>23</v>
      </c>
      <c r="J296" s="2" t="s">
        <v>1177</v>
      </c>
      <c r="K296" s="2" t="n">
        <v>7</v>
      </c>
      <c r="L296" s="2" t="s">
        <v>25</v>
      </c>
      <c r="M296" s="2" t="s">
        <v>33</v>
      </c>
      <c r="N296" s="4" t="n">
        <v>595.42</v>
      </c>
      <c r="O296" s="2" t="str">
        <f aca="false">IF(COUNTIF($A$2:$A$1201,A296)&gt;1,"DUPLICATE","Unique")</f>
        <v>Unique</v>
      </c>
      <c r="P296" s="2" t="str">
        <f aca="false">IF(L296="","MISSING","OK")</f>
        <v>OK</v>
      </c>
      <c r="Q296" s="2" t="str">
        <f aca="false">IF(ISNUMBER(B296),"OK","BAD DATE")</f>
        <v>OK</v>
      </c>
      <c r="R296" s="2" t="str">
        <f aca="false">IF(ROUND(F296,2)=F296,"OK","FIX")</f>
        <v>OK</v>
      </c>
    </row>
    <row r="297" customFormat="false" ht="15" hidden="false" customHeight="false" outlineLevel="0" collapsed="false">
      <c r="A297" s="2" t="s">
        <v>1178</v>
      </c>
      <c r="B297" s="3" t="n">
        <v>44951</v>
      </c>
      <c r="C297" s="2" t="s">
        <v>1179</v>
      </c>
      <c r="D297" s="2" t="s">
        <v>52</v>
      </c>
      <c r="E297" s="2" t="n">
        <v>5</v>
      </c>
      <c r="F297" s="4" t="n">
        <v>107.48</v>
      </c>
      <c r="G297" s="2" t="s">
        <v>1180</v>
      </c>
      <c r="H297" s="2" t="s">
        <v>22</v>
      </c>
      <c r="I297" s="2" t="s">
        <v>39</v>
      </c>
      <c r="J297" s="2" t="s">
        <v>1181</v>
      </c>
      <c r="K297" s="2" t="n">
        <v>9</v>
      </c>
      <c r="L297" s="2" t="s">
        <v>41</v>
      </c>
      <c r="M297" s="2" t="s">
        <v>42</v>
      </c>
      <c r="N297" s="4" t="n">
        <v>537.4</v>
      </c>
      <c r="O297" s="2" t="str">
        <f aca="false">IF(COUNTIF($A$2:$A$1201,A297)&gt;1,"DUPLICATE","Unique")</f>
        <v>Unique</v>
      </c>
      <c r="P297" s="2" t="str">
        <f aca="false">IF(L297="","MISSING","OK")</f>
        <v>OK</v>
      </c>
      <c r="Q297" s="2" t="str">
        <f aca="false">IF(ISNUMBER(B297),"OK","BAD DATE")</f>
        <v>OK</v>
      </c>
      <c r="R297" s="2" t="str">
        <f aca="false">IF(ROUND(F297,2)=F297,"OK","FIX")</f>
        <v>OK</v>
      </c>
    </row>
    <row r="298" customFormat="false" ht="15" hidden="false" customHeight="false" outlineLevel="0" collapsed="false">
      <c r="A298" s="2" t="s">
        <v>1182</v>
      </c>
      <c r="B298" s="3" t="n">
        <v>45462</v>
      </c>
      <c r="C298" s="2" t="s">
        <v>1183</v>
      </c>
      <c r="D298" s="2" t="s">
        <v>77</v>
      </c>
      <c r="E298" s="2" t="n">
        <v>5</v>
      </c>
      <c r="F298" s="4" t="n">
        <v>638.8</v>
      </c>
      <c r="G298" s="2" t="s">
        <v>246</v>
      </c>
      <c r="H298" s="2" t="s">
        <v>22</v>
      </c>
      <c r="I298" s="2" t="s">
        <v>39</v>
      </c>
      <c r="J298" s="2" t="s">
        <v>1184</v>
      </c>
      <c r="K298" s="2" t="n">
        <v>10</v>
      </c>
      <c r="L298" s="2" t="s">
        <v>85</v>
      </c>
      <c r="M298" s="2" t="s">
        <v>33</v>
      </c>
      <c r="N298" s="4" t="n">
        <v>3194</v>
      </c>
      <c r="O298" s="2" t="str">
        <f aca="false">IF(COUNTIF($A$2:$A$1201,A298)&gt;1,"DUPLICATE","Unique")</f>
        <v>Unique</v>
      </c>
      <c r="P298" s="2" t="str">
        <f aca="false">IF(L298="","MISSING","OK")</f>
        <v>OK</v>
      </c>
      <c r="Q298" s="2" t="str">
        <f aca="false">IF(ISNUMBER(B298),"OK","BAD DATE")</f>
        <v>OK</v>
      </c>
      <c r="R298" s="2" t="str">
        <f aca="false">IF(ROUND(F298,2)=F298,"OK","FIX")</f>
        <v>OK</v>
      </c>
    </row>
    <row r="299" customFormat="false" ht="15" hidden="false" customHeight="false" outlineLevel="0" collapsed="false">
      <c r="A299" s="2" t="s">
        <v>1185</v>
      </c>
      <c r="B299" s="3" t="n">
        <v>44979</v>
      </c>
      <c r="C299" s="2" t="s">
        <v>1186</v>
      </c>
      <c r="D299" s="2" t="s">
        <v>77</v>
      </c>
      <c r="E299" s="2" t="n">
        <v>2</v>
      </c>
      <c r="F299" s="4" t="n">
        <v>493.88</v>
      </c>
      <c r="G299" s="2" t="s">
        <v>1187</v>
      </c>
      <c r="H299" s="2" t="s">
        <v>38</v>
      </c>
      <c r="I299" s="2" t="s">
        <v>47</v>
      </c>
      <c r="J299" s="2" t="s">
        <v>1188</v>
      </c>
      <c r="K299" s="2" t="n">
        <v>7</v>
      </c>
      <c r="L299" s="2" t="s">
        <v>25</v>
      </c>
      <c r="M299" s="2" t="s">
        <v>26</v>
      </c>
      <c r="N299" s="4" t="n">
        <v>987.76</v>
      </c>
      <c r="O299" s="2" t="str">
        <f aca="false">IF(COUNTIF($A$2:$A$1201,A299)&gt;1,"DUPLICATE","Unique")</f>
        <v>Unique</v>
      </c>
      <c r="P299" s="2" t="str">
        <f aca="false">IF(L299="","MISSING","OK")</f>
        <v>OK</v>
      </c>
      <c r="Q299" s="2" t="str">
        <f aca="false">IF(ISNUMBER(B299),"OK","BAD DATE")</f>
        <v>OK</v>
      </c>
      <c r="R299" s="2" t="str">
        <f aca="false">IF(ROUND(F299,2)=F299,"OK","FIX")</f>
        <v>OK</v>
      </c>
    </row>
    <row r="300" customFormat="false" ht="15" hidden="false" customHeight="false" outlineLevel="0" collapsed="false">
      <c r="A300" s="2" t="s">
        <v>1189</v>
      </c>
      <c r="B300" s="3" t="n">
        <v>45279</v>
      </c>
      <c r="C300" s="2" t="s">
        <v>1190</v>
      </c>
      <c r="D300" s="2" t="s">
        <v>52</v>
      </c>
      <c r="E300" s="2" t="n">
        <v>4</v>
      </c>
      <c r="F300" s="4" t="n">
        <v>301.17</v>
      </c>
      <c r="G300" s="2" t="s">
        <v>205</v>
      </c>
      <c r="H300" s="2" t="s">
        <v>31</v>
      </c>
      <c r="I300" s="2" t="s">
        <v>39</v>
      </c>
      <c r="J300" s="2" t="s">
        <v>1191</v>
      </c>
      <c r="K300" s="2" t="n">
        <v>6</v>
      </c>
      <c r="L300" s="2"/>
      <c r="M300" s="2" t="s">
        <v>42</v>
      </c>
      <c r="N300" s="4" t="n">
        <v>1204.68</v>
      </c>
      <c r="O300" s="2" t="str">
        <f aca="false">IF(COUNTIF($A$2:$A$1201,A300)&gt;1,"DUPLICATE","Unique")</f>
        <v>Unique</v>
      </c>
      <c r="P300" s="2" t="str">
        <f aca="false">IF(L300="","MISSING","OK")</f>
        <v>MISSING</v>
      </c>
      <c r="Q300" s="2" t="str">
        <f aca="false">IF(ISNUMBER(B300),"OK","BAD DATE")</f>
        <v>OK</v>
      </c>
      <c r="R300" s="2" t="str">
        <f aca="false">IF(ROUND(F300,2)=F300,"OK","FIX")</f>
        <v>OK</v>
      </c>
    </row>
    <row r="301" customFormat="false" ht="15" hidden="false" customHeight="false" outlineLevel="0" collapsed="false">
      <c r="A301" s="2" t="s">
        <v>1192</v>
      </c>
      <c r="B301" s="3" t="n">
        <v>45311</v>
      </c>
      <c r="C301" s="2" t="s">
        <v>1193</v>
      </c>
      <c r="D301" s="2" t="s">
        <v>20</v>
      </c>
      <c r="E301" s="2" t="n">
        <v>1</v>
      </c>
      <c r="F301" s="4" t="n">
        <v>278.66</v>
      </c>
      <c r="G301" s="2" t="s">
        <v>1194</v>
      </c>
      <c r="H301" s="2" t="s">
        <v>64</v>
      </c>
      <c r="I301" s="2" t="s">
        <v>39</v>
      </c>
      <c r="J301" s="2" t="s">
        <v>1195</v>
      </c>
      <c r="K301" s="2" t="n">
        <v>2</v>
      </c>
      <c r="L301" s="2" t="s">
        <v>41</v>
      </c>
      <c r="M301" s="2" t="s">
        <v>26</v>
      </c>
      <c r="N301" s="4" t="n">
        <v>278.66</v>
      </c>
      <c r="O301" s="2" t="str">
        <f aca="false">IF(COUNTIF($A$2:$A$1201,A301)&gt;1,"DUPLICATE","Unique")</f>
        <v>Unique</v>
      </c>
      <c r="P301" s="2" t="str">
        <f aca="false">IF(L301="","MISSING","OK")</f>
        <v>OK</v>
      </c>
      <c r="Q301" s="2" t="str">
        <f aca="false">IF(ISNUMBER(B301),"OK","BAD DATE")</f>
        <v>OK</v>
      </c>
      <c r="R301" s="2" t="str">
        <f aca="false">IF(ROUND(F301,2)=F301,"OK","FIX")</f>
        <v>OK</v>
      </c>
    </row>
    <row r="302" customFormat="false" ht="15" hidden="false" customHeight="false" outlineLevel="0" collapsed="false">
      <c r="A302" s="2" t="s">
        <v>1196</v>
      </c>
      <c r="B302" s="3" t="n">
        <v>45537</v>
      </c>
      <c r="C302" s="2" t="s">
        <v>1197</v>
      </c>
      <c r="D302" s="2" t="s">
        <v>29</v>
      </c>
      <c r="E302" s="2" t="n">
        <v>1</v>
      </c>
      <c r="F302" s="4" t="n">
        <v>287.46</v>
      </c>
      <c r="G302" s="2" t="s">
        <v>1198</v>
      </c>
      <c r="H302" s="2" t="s">
        <v>22</v>
      </c>
      <c r="I302" s="2" t="s">
        <v>47</v>
      </c>
      <c r="J302" s="2" t="s">
        <v>1199</v>
      </c>
      <c r="K302" s="2" t="n">
        <v>3</v>
      </c>
      <c r="L302" s="2" t="s">
        <v>41</v>
      </c>
      <c r="M302" s="2" t="s">
        <v>49</v>
      </c>
      <c r="N302" s="4" t="n">
        <v>287.46</v>
      </c>
      <c r="O302" s="2" t="str">
        <f aca="false">IF(COUNTIF($A$2:$A$1201,A302)&gt;1,"DUPLICATE","Unique")</f>
        <v>Unique</v>
      </c>
      <c r="P302" s="2" t="str">
        <f aca="false">IF(L302="","MISSING","OK")</f>
        <v>OK</v>
      </c>
      <c r="Q302" s="2" t="str">
        <f aca="false">IF(ISNUMBER(B302),"OK","BAD DATE")</f>
        <v>OK</v>
      </c>
      <c r="R302" s="2" t="str">
        <f aca="false">IF(ROUND(F302,2)=F302,"OK","FIX")</f>
        <v>OK</v>
      </c>
    </row>
    <row r="303" customFormat="false" ht="15" hidden="false" customHeight="false" outlineLevel="0" collapsed="false">
      <c r="A303" s="2" t="s">
        <v>1200</v>
      </c>
      <c r="B303" s="3" t="n">
        <v>45057</v>
      </c>
      <c r="C303" s="2" t="s">
        <v>1201</v>
      </c>
      <c r="D303" s="2" t="s">
        <v>45</v>
      </c>
      <c r="E303" s="2" t="n">
        <v>1</v>
      </c>
      <c r="F303" s="4" t="n">
        <v>583.99</v>
      </c>
      <c r="G303" s="2" t="s">
        <v>1202</v>
      </c>
      <c r="H303" s="2" t="s">
        <v>69</v>
      </c>
      <c r="I303" s="2" t="s">
        <v>39</v>
      </c>
      <c r="J303" s="2" t="s">
        <v>1203</v>
      </c>
      <c r="K303" s="2" t="n">
        <v>2</v>
      </c>
      <c r="L303" s="2" t="s">
        <v>25</v>
      </c>
      <c r="M303" s="2" t="s">
        <v>42</v>
      </c>
      <c r="N303" s="4" t="n">
        <v>583.99</v>
      </c>
      <c r="O303" s="2" t="str">
        <f aca="false">IF(COUNTIF($A$2:$A$1201,A303)&gt;1,"DUPLICATE","Unique")</f>
        <v>Unique</v>
      </c>
      <c r="P303" s="2" t="str">
        <f aca="false">IF(L303="","MISSING","OK")</f>
        <v>OK</v>
      </c>
      <c r="Q303" s="2" t="str">
        <f aca="false">IF(ISNUMBER(B303),"OK","BAD DATE")</f>
        <v>OK</v>
      </c>
      <c r="R303" s="2" t="str">
        <f aca="false">IF(ROUND(F303,2)=F303,"OK","FIX")</f>
        <v>OK</v>
      </c>
    </row>
    <row r="304" customFormat="false" ht="15" hidden="false" customHeight="false" outlineLevel="0" collapsed="false">
      <c r="A304" s="2" t="s">
        <v>1204</v>
      </c>
      <c r="B304" s="3" t="n">
        <v>45062</v>
      </c>
      <c r="C304" s="2" t="s">
        <v>1205</v>
      </c>
      <c r="D304" s="2" t="s">
        <v>45</v>
      </c>
      <c r="E304" s="2" t="n">
        <v>3</v>
      </c>
      <c r="F304" s="4" t="n">
        <v>468.74</v>
      </c>
      <c r="G304" s="2" t="s">
        <v>1206</v>
      </c>
      <c r="H304" s="2" t="s">
        <v>69</v>
      </c>
      <c r="I304" s="2" t="s">
        <v>93</v>
      </c>
      <c r="J304" s="2" t="s">
        <v>1207</v>
      </c>
      <c r="K304" s="2" t="n">
        <v>4</v>
      </c>
      <c r="L304" s="2" t="s">
        <v>41</v>
      </c>
      <c r="M304" s="2" t="s">
        <v>26</v>
      </c>
      <c r="N304" s="4" t="n">
        <v>1406.22</v>
      </c>
      <c r="O304" s="2" t="str">
        <f aca="false">IF(COUNTIF($A$2:$A$1201,A304)&gt;1,"DUPLICATE","Unique")</f>
        <v>Unique</v>
      </c>
      <c r="P304" s="2" t="str">
        <f aca="false">IF(L304="","MISSING","OK")</f>
        <v>OK</v>
      </c>
      <c r="Q304" s="2" t="str">
        <f aca="false">IF(ISNUMBER(B304),"OK","BAD DATE")</f>
        <v>OK</v>
      </c>
      <c r="R304" s="2" t="str">
        <f aca="false">IF(ROUND(F304,2)=F304,"OK","FIX")</f>
        <v>OK</v>
      </c>
    </row>
    <row r="305" customFormat="false" ht="15" hidden="false" customHeight="false" outlineLevel="0" collapsed="false">
      <c r="A305" s="2" t="s">
        <v>1208</v>
      </c>
      <c r="B305" s="3" t="n">
        <v>45633</v>
      </c>
      <c r="C305" s="2" t="s">
        <v>1209</v>
      </c>
      <c r="D305" s="2" t="s">
        <v>36</v>
      </c>
      <c r="E305" s="2" t="n">
        <v>1</v>
      </c>
      <c r="F305" s="4" t="n">
        <v>30.54</v>
      </c>
      <c r="G305" s="2" t="s">
        <v>1210</v>
      </c>
      <c r="H305" s="2" t="s">
        <v>22</v>
      </c>
      <c r="I305" s="2" t="s">
        <v>47</v>
      </c>
      <c r="J305" s="2" t="s">
        <v>1211</v>
      </c>
      <c r="K305" s="2" t="n">
        <v>1</v>
      </c>
      <c r="L305" s="2"/>
      <c r="M305" s="2" t="s">
        <v>80</v>
      </c>
      <c r="N305" s="4" t="n">
        <v>30.54</v>
      </c>
      <c r="O305" s="2" t="str">
        <f aca="false">IF(COUNTIF($A$2:$A$1201,A305)&gt;1,"DUPLICATE","Unique")</f>
        <v>Unique</v>
      </c>
      <c r="P305" s="2" t="str">
        <f aca="false">IF(L305="","MISSING","OK")</f>
        <v>MISSING</v>
      </c>
      <c r="Q305" s="2" t="str">
        <f aca="false">IF(ISNUMBER(B305),"OK","BAD DATE")</f>
        <v>OK</v>
      </c>
      <c r="R305" s="2" t="str">
        <f aca="false">IF(ROUND(F305,2)=F305,"OK","FIX")</f>
        <v>OK</v>
      </c>
    </row>
    <row r="306" customFormat="false" ht="15" hidden="false" customHeight="false" outlineLevel="0" collapsed="false">
      <c r="A306" s="2" t="s">
        <v>1212</v>
      </c>
      <c r="B306" s="3" t="n">
        <v>45583</v>
      </c>
      <c r="C306" s="2" t="s">
        <v>1213</v>
      </c>
      <c r="D306" s="2" t="s">
        <v>20</v>
      </c>
      <c r="E306" s="2" t="n">
        <v>5</v>
      </c>
      <c r="F306" s="4" t="n">
        <v>408.73</v>
      </c>
      <c r="G306" s="2" t="s">
        <v>1214</v>
      </c>
      <c r="H306" s="2" t="s">
        <v>64</v>
      </c>
      <c r="I306" s="2" t="s">
        <v>54</v>
      </c>
      <c r="J306" s="2" t="s">
        <v>1215</v>
      </c>
      <c r="K306" s="2" t="n">
        <v>10</v>
      </c>
      <c r="L306" s="2" t="s">
        <v>41</v>
      </c>
      <c r="M306" s="2" t="s">
        <v>26</v>
      </c>
      <c r="N306" s="4" t="n">
        <v>2043.65</v>
      </c>
      <c r="O306" s="2" t="str">
        <f aca="false">IF(COUNTIF($A$2:$A$1201,A306)&gt;1,"DUPLICATE","Unique")</f>
        <v>Unique</v>
      </c>
      <c r="P306" s="2" t="str">
        <f aca="false">IF(L306="","MISSING","OK")</f>
        <v>OK</v>
      </c>
      <c r="Q306" s="2" t="str">
        <f aca="false">IF(ISNUMBER(B306),"OK","BAD DATE")</f>
        <v>OK</v>
      </c>
      <c r="R306" s="2" t="str">
        <f aca="false">IF(ROUND(F306,2)=F306,"OK","FIX")</f>
        <v>OK</v>
      </c>
    </row>
    <row r="307" customFormat="false" ht="15" hidden="false" customHeight="false" outlineLevel="0" collapsed="false">
      <c r="A307" s="2" t="s">
        <v>1216</v>
      </c>
      <c r="B307" s="3" t="n">
        <v>45255</v>
      </c>
      <c r="C307" s="2" t="s">
        <v>1217</v>
      </c>
      <c r="D307" s="2" t="s">
        <v>62</v>
      </c>
      <c r="E307" s="2" t="n">
        <v>4</v>
      </c>
      <c r="F307" s="4" t="n">
        <v>126.89</v>
      </c>
      <c r="G307" s="2" t="s">
        <v>1218</v>
      </c>
      <c r="H307" s="2" t="s">
        <v>69</v>
      </c>
      <c r="I307" s="2" t="s">
        <v>93</v>
      </c>
      <c r="J307" s="2" t="s">
        <v>1219</v>
      </c>
      <c r="K307" s="2" t="n">
        <v>9</v>
      </c>
      <c r="L307" s="2" t="s">
        <v>41</v>
      </c>
      <c r="M307" s="2" t="s">
        <v>26</v>
      </c>
      <c r="N307" s="4" t="n">
        <v>507.56</v>
      </c>
      <c r="O307" s="2" t="str">
        <f aca="false">IF(COUNTIF($A$2:$A$1201,A307)&gt;1,"DUPLICATE","Unique")</f>
        <v>Unique</v>
      </c>
      <c r="P307" s="2" t="str">
        <f aca="false">IF(L307="","MISSING","OK")</f>
        <v>OK</v>
      </c>
      <c r="Q307" s="2" t="str">
        <f aca="false">IF(ISNUMBER(B307),"OK","BAD DATE")</f>
        <v>OK</v>
      </c>
      <c r="R307" s="2" t="str">
        <f aca="false">IF(ROUND(F307,2)=F307,"OK","FIX")</f>
        <v>OK</v>
      </c>
    </row>
    <row r="308" customFormat="false" ht="15" hidden="false" customHeight="false" outlineLevel="0" collapsed="false">
      <c r="A308" s="2" t="s">
        <v>1220</v>
      </c>
      <c r="B308" s="3" t="n">
        <v>45450</v>
      </c>
      <c r="C308" s="2" t="s">
        <v>1221</v>
      </c>
      <c r="D308" s="2" t="s">
        <v>52</v>
      </c>
      <c r="E308" s="2" t="n">
        <v>2</v>
      </c>
      <c r="F308" s="4" t="n">
        <v>57.07</v>
      </c>
      <c r="G308" s="2" t="s">
        <v>1222</v>
      </c>
      <c r="H308" s="2" t="s">
        <v>22</v>
      </c>
      <c r="I308" s="2" t="s">
        <v>47</v>
      </c>
      <c r="J308" s="2" t="s">
        <v>1223</v>
      </c>
      <c r="K308" s="2" t="n">
        <v>3</v>
      </c>
      <c r="L308" s="2" t="s">
        <v>25</v>
      </c>
      <c r="M308" s="2" t="s">
        <v>26</v>
      </c>
      <c r="N308" s="4" t="n">
        <v>114.14</v>
      </c>
      <c r="O308" s="2" t="str">
        <f aca="false">IF(COUNTIF($A$2:$A$1201,A308)&gt;1,"DUPLICATE","Unique")</f>
        <v>Unique</v>
      </c>
      <c r="P308" s="2" t="str">
        <f aca="false">IF(L308="","MISSING","OK")</f>
        <v>OK</v>
      </c>
      <c r="Q308" s="2" t="str">
        <f aca="false">IF(ISNUMBER(B308),"OK","BAD DATE")</f>
        <v>OK</v>
      </c>
      <c r="R308" s="2" t="str">
        <f aca="false">IF(ROUND(F308,2)=F308,"OK","FIX")</f>
        <v>OK</v>
      </c>
    </row>
    <row r="309" customFormat="false" ht="15" hidden="false" customHeight="false" outlineLevel="0" collapsed="false">
      <c r="A309" s="2" t="s">
        <v>1224</v>
      </c>
      <c r="B309" s="3" t="n">
        <v>45108</v>
      </c>
      <c r="C309" s="2" t="s">
        <v>1225</v>
      </c>
      <c r="D309" s="2" t="s">
        <v>62</v>
      </c>
      <c r="E309" s="2" t="n">
        <v>3</v>
      </c>
      <c r="F309" s="4" t="n">
        <v>557.41</v>
      </c>
      <c r="G309" s="2" t="s">
        <v>1226</v>
      </c>
      <c r="H309" s="2" t="s">
        <v>31</v>
      </c>
      <c r="I309" s="2" t="s">
        <v>54</v>
      </c>
      <c r="J309" s="2" t="s">
        <v>1227</v>
      </c>
      <c r="K309" s="2" t="n">
        <v>4</v>
      </c>
      <c r="L309" s="2"/>
      <c r="M309" s="2" t="s">
        <v>42</v>
      </c>
      <c r="N309" s="4" t="n">
        <v>1672.23</v>
      </c>
      <c r="O309" s="2" t="str">
        <f aca="false">IF(COUNTIF($A$2:$A$1201,A309)&gt;1,"DUPLICATE","Unique")</f>
        <v>Unique</v>
      </c>
      <c r="P309" s="2" t="str">
        <f aca="false">IF(L309="","MISSING","OK")</f>
        <v>MISSING</v>
      </c>
      <c r="Q309" s="2" t="str">
        <f aca="false">IF(ISNUMBER(B309),"OK","BAD DATE")</f>
        <v>OK</v>
      </c>
      <c r="R309" s="2" t="str">
        <f aca="false">IF(ROUND(F309,2)=F309,"OK","FIX")</f>
        <v>OK</v>
      </c>
    </row>
    <row r="310" customFormat="false" ht="15" hidden="false" customHeight="false" outlineLevel="0" collapsed="false">
      <c r="A310" s="2" t="s">
        <v>1228</v>
      </c>
      <c r="B310" s="3" t="n">
        <v>45271</v>
      </c>
      <c r="C310" s="2" t="s">
        <v>1229</v>
      </c>
      <c r="D310" s="2" t="s">
        <v>52</v>
      </c>
      <c r="E310" s="2" t="n">
        <v>3</v>
      </c>
      <c r="F310" s="4" t="n">
        <v>448.9</v>
      </c>
      <c r="G310" s="2" t="s">
        <v>723</v>
      </c>
      <c r="H310" s="2" t="s">
        <v>22</v>
      </c>
      <c r="I310" s="2" t="s">
        <v>47</v>
      </c>
      <c r="J310" s="2" t="s">
        <v>1230</v>
      </c>
      <c r="K310" s="2" t="n">
        <v>7</v>
      </c>
      <c r="L310" s="2" t="s">
        <v>25</v>
      </c>
      <c r="M310" s="2" t="s">
        <v>26</v>
      </c>
      <c r="N310" s="4" t="n">
        <v>1346.7</v>
      </c>
      <c r="O310" s="2" t="str">
        <f aca="false">IF(COUNTIF($A$2:$A$1201,A310)&gt;1,"DUPLICATE","Unique")</f>
        <v>Unique</v>
      </c>
      <c r="P310" s="2" t="str">
        <f aca="false">IF(L310="","MISSING","OK")</f>
        <v>OK</v>
      </c>
      <c r="Q310" s="2" t="str">
        <f aca="false">IF(ISNUMBER(B310),"OK","BAD DATE")</f>
        <v>OK</v>
      </c>
      <c r="R310" s="2" t="str">
        <f aca="false">IF(ROUND(F310,2)=F310,"OK","FIX")</f>
        <v>OK</v>
      </c>
    </row>
    <row r="311" customFormat="false" ht="15" hidden="false" customHeight="false" outlineLevel="0" collapsed="false">
      <c r="A311" s="2" t="s">
        <v>1231</v>
      </c>
      <c r="B311" s="3" t="n">
        <v>45202</v>
      </c>
      <c r="C311" s="2" t="s">
        <v>1232</v>
      </c>
      <c r="D311" s="2" t="s">
        <v>45</v>
      </c>
      <c r="E311" s="2" t="n">
        <v>4</v>
      </c>
      <c r="F311" s="4" t="n">
        <v>549.76</v>
      </c>
      <c r="G311" s="2" t="s">
        <v>1233</v>
      </c>
      <c r="H311" s="2" t="s">
        <v>22</v>
      </c>
      <c r="I311" s="2" t="s">
        <v>54</v>
      </c>
      <c r="J311" s="2" t="s">
        <v>1234</v>
      </c>
      <c r="K311" s="2" t="n">
        <v>4</v>
      </c>
      <c r="L311" s="2" t="s">
        <v>41</v>
      </c>
      <c r="M311" s="2" t="s">
        <v>49</v>
      </c>
      <c r="N311" s="4" t="n">
        <v>2199.04</v>
      </c>
      <c r="O311" s="2" t="str">
        <f aca="false">IF(COUNTIF($A$2:$A$1201,A311)&gt;1,"DUPLICATE","Unique")</f>
        <v>Unique</v>
      </c>
      <c r="P311" s="2" t="str">
        <f aca="false">IF(L311="","MISSING","OK")</f>
        <v>OK</v>
      </c>
      <c r="Q311" s="2" t="str">
        <f aca="false">IF(ISNUMBER(B311),"OK","BAD DATE")</f>
        <v>OK</v>
      </c>
      <c r="R311" s="2" t="str">
        <f aca="false">IF(ROUND(F311,2)=F311,"OK","FIX")</f>
        <v>OK</v>
      </c>
    </row>
    <row r="312" customFormat="false" ht="15" hidden="false" customHeight="false" outlineLevel="0" collapsed="false">
      <c r="A312" s="2" t="s">
        <v>1235</v>
      </c>
      <c r="B312" s="3" t="n">
        <v>45346</v>
      </c>
      <c r="C312" s="2" t="s">
        <v>1236</v>
      </c>
      <c r="D312" s="2" t="s">
        <v>52</v>
      </c>
      <c r="E312" s="2" t="n">
        <v>3</v>
      </c>
      <c r="F312" s="4" t="n">
        <v>132.48</v>
      </c>
      <c r="G312" s="2" t="s">
        <v>1237</v>
      </c>
      <c r="H312" s="2" t="s">
        <v>31</v>
      </c>
      <c r="I312" s="2" t="s">
        <v>23</v>
      </c>
      <c r="J312" s="2" t="s">
        <v>1238</v>
      </c>
      <c r="K312" s="2" t="n">
        <v>4</v>
      </c>
      <c r="L312" s="2"/>
      <c r="M312" s="2" t="s">
        <v>33</v>
      </c>
      <c r="N312" s="4" t="n">
        <v>397.44</v>
      </c>
      <c r="O312" s="2" t="str">
        <f aca="false">IF(COUNTIF($A$2:$A$1201,A312)&gt;1,"DUPLICATE","Unique")</f>
        <v>Unique</v>
      </c>
      <c r="P312" s="2" t="str">
        <f aca="false">IF(L312="","MISSING","OK")</f>
        <v>MISSING</v>
      </c>
      <c r="Q312" s="2" t="str">
        <f aca="false">IF(ISNUMBER(B312),"OK","BAD DATE")</f>
        <v>OK</v>
      </c>
      <c r="R312" s="2" t="str">
        <f aca="false">IF(ROUND(F312,2)=F312,"OK","FIX")</f>
        <v>OK</v>
      </c>
    </row>
    <row r="313" customFormat="false" ht="15" hidden="false" customHeight="false" outlineLevel="0" collapsed="false">
      <c r="A313" s="2" t="s">
        <v>1239</v>
      </c>
      <c r="B313" s="3" t="n">
        <v>45794</v>
      </c>
      <c r="C313" s="2" t="s">
        <v>1240</v>
      </c>
      <c r="D313" s="2" t="s">
        <v>77</v>
      </c>
      <c r="E313" s="2" t="n">
        <v>5</v>
      </c>
      <c r="F313" s="4" t="n">
        <v>489.37</v>
      </c>
      <c r="G313" s="2" t="s">
        <v>1241</v>
      </c>
      <c r="H313" s="2" t="s">
        <v>31</v>
      </c>
      <c r="I313" s="2" t="s">
        <v>47</v>
      </c>
      <c r="J313" s="2" t="s">
        <v>1242</v>
      </c>
      <c r="K313" s="2" t="n">
        <v>8</v>
      </c>
      <c r="L313" s="2"/>
      <c r="M313" s="2" t="s">
        <v>26</v>
      </c>
      <c r="N313" s="4" t="n">
        <v>2446.85</v>
      </c>
      <c r="O313" s="2" t="str">
        <f aca="false">IF(COUNTIF($A$2:$A$1201,A313)&gt;1,"DUPLICATE","Unique")</f>
        <v>Unique</v>
      </c>
      <c r="P313" s="2" t="str">
        <f aca="false">IF(L313="","MISSING","OK")</f>
        <v>MISSING</v>
      </c>
      <c r="Q313" s="2" t="str">
        <f aca="false">IF(ISNUMBER(B313),"OK","BAD DATE")</f>
        <v>OK</v>
      </c>
      <c r="R313" s="2" t="str">
        <f aca="false">IF(ROUND(F313,2)=F313,"OK","FIX")</f>
        <v>OK</v>
      </c>
    </row>
    <row r="314" customFormat="false" ht="15" hidden="false" customHeight="false" outlineLevel="0" collapsed="false">
      <c r="A314" s="2" t="s">
        <v>1243</v>
      </c>
      <c r="B314" s="3" t="n">
        <v>45801</v>
      </c>
      <c r="C314" s="2" t="s">
        <v>1244</v>
      </c>
      <c r="D314" s="2" t="s">
        <v>52</v>
      </c>
      <c r="E314" s="2" t="n">
        <v>5</v>
      </c>
      <c r="F314" s="4" t="n">
        <v>66.31</v>
      </c>
      <c r="G314" s="2" t="s">
        <v>925</v>
      </c>
      <c r="H314" s="2" t="s">
        <v>64</v>
      </c>
      <c r="I314" s="2" t="s">
        <v>93</v>
      </c>
      <c r="J314" s="2" t="s">
        <v>1245</v>
      </c>
      <c r="K314" s="2" t="n">
        <v>7</v>
      </c>
      <c r="L314" s="2" t="s">
        <v>41</v>
      </c>
      <c r="M314" s="2" t="s">
        <v>33</v>
      </c>
      <c r="N314" s="4" t="n">
        <v>331.55</v>
      </c>
      <c r="O314" s="2" t="str">
        <f aca="false">IF(COUNTIF($A$2:$A$1201,A314)&gt;1,"DUPLICATE","Unique")</f>
        <v>Unique</v>
      </c>
      <c r="P314" s="2" t="str">
        <f aca="false">IF(L314="","MISSING","OK")</f>
        <v>OK</v>
      </c>
      <c r="Q314" s="2" t="str">
        <f aca="false">IF(ISNUMBER(B314),"OK","BAD DATE")</f>
        <v>OK</v>
      </c>
      <c r="R314" s="2" t="str">
        <f aca="false">IF(ROUND(F314,2)=F314,"OK","FIX")</f>
        <v>OK</v>
      </c>
    </row>
    <row r="315" customFormat="false" ht="15" hidden="false" customHeight="false" outlineLevel="0" collapsed="false">
      <c r="A315" s="2" t="s">
        <v>1246</v>
      </c>
      <c r="B315" s="3" t="n">
        <v>45116</v>
      </c>
      <c r="C315" s="2" t="s">
        <v>1247</v>
      </c>
      <c r="D315" s="2" t="s">
        <v>45</v>
      </c>
      <c r="E315" s="2" t="n">
        <v>2</v>
      </c>
      <c r="F315" s="4" t="n">
        <v>434.3</v>
      </c>
      <c r="G315" s="2" t="s">
        <v>1248</v>
      </c>
      <c r="H315" s="2" t="s">
        <v>69</v>
      </c>
      <c r="I315" s="2" t="s">
        <v>54</v>
      </c>
      <c r="J315" s="2" t="s">
        <v>1249</v>
      </c>
      <c r="K315" s="2" t="n">
        <v>7</v>
      </c>
      <c r="L315" s="2" t="s">
        <v>25</v>
      </c>
      <c r="M315" s="2" t="s">
        <v>26</v>
      </c>
      <c r="N315" s="4" t="n">
        <v>868.6</v>
      </c>
      <c r="O315" s="2" t="str">
        <f aca="false">IF(COUNTIF($A$2:$A$1201,A315)&gt;1,"DUPLICATE","Unique")</f>
        <v>Unique</v>
      </c>
      <c r="P315" s="2" t="str">
        <f aca="false">IF(L315="","MISSING","OK")</f>
        <v>OK</v>
      </c>
      <c r="Q315" s="2" t="str">
        <f aca="false">IF(ISNUMBER(B315),"OK","BAD DATE")</f>
        <v>OK</v>
      </c>
      <c r="R315" s="2" t="str">
        <f aca="false">IF(ROUND(F315,2)=F315,"OK","FIX")</f>
        <v>OK</v>
      </c>
    </row>
    <row r="316" customFormat="false" ht="15" hidden="false" customHeight="false" outlineLevel="0" collapsed="false">
      <c r="A316" s="2" t="s">
        <v>1250</v>
      </c>
      <c r="B316" s="3" t="n">
        <v>45203</v>
      </c>
      <c r="C316" s="2" t="s">
        <v>1251</v>
      </c>
      <c r="D316" s="2" t="s">
        <v>77</v>
      </c>
      <c r="E316" s="2" t="n">
        <v>4</v>
      </c>
      <c r="F316" s="4" t="n">
        <v>153.09</v>
      </c>
      <c r="G316" s="2" t="s">
        <v>1252</v>
      </c>
      <c r="H316" s="2" t="s">
        <v>31</v>
      </c>
      <c r="I316" s="2" t="s">
        <v>54</v>
      </c>
      <c r="J316" s="2" t="s">
        <v>1253</v>
      </c>
      <c r="K316" s="2" t="n">
        <v>4</v>
      </c>
      <c r="L316" s="2" t="s">
        <v>41</v>
      </c>
      <c r="M316" s="2" t="s">
        <v>33</v>
      </c>
      <c r="N316" s="4" t="n">
        <v>612.36</v>
      </c>
      <c r="O316" s="2" t="str">
        <f aca="false">IF(COUNTIF($A$2:$A$1201,A316)&gt;1,"DUPLICATE","Unique")</f>
        <v>Unique</v>
      </c>
      <c r="P316" s="2" t="str">
        <f aca="false">IF(L316="","MISSING","OK")</f>
        <v>OK</v>
      </c>
      <c r="Q316" s="2" t="str">
        <f aca="false">IF(ISNUMBER(B316),"OK","BAD DATE")</f>
        <v>OK</v>
      </c>
      <c r="R316" s="2" t="str">
        <f aca="false">IF(ROUND(F316,2)=F316,"OK","FIX")</f>
        <v>OK</v>
      </c>
    </row>
    <row r="317" customFormat="false" ht="15" hidden="false" customHeight="false" outlineLevel="0" collapsed="false">
      <c r="A317" s="2" t="s">
        <v>1254</v>
      </c>
      <c r="B317" s="3" t="n">
        <v>45789</v>
      </c>
      <c r="C317" s="2" t="s">
        <v>1255</v>
      </c>
      <c r="D317" s="2" t="s">
        <v>36</v>
      </c>
      <c r="E317" s="2" t="n">
        <v>5</v>
      </c>
      <c r="F317" s="4" t="n">
        <v>91.67</v>
      </c>
      <c r="G317" s="2" t="s">
        <v>1256</v>
      </c>
      <c r="H317" s="2" t="s">
        <v>31</v>
      </c>
      <c r="I317" s="2" t="s">
        <v>39</v>
      </c>
      <c r="J317" s="2" t="s">
        <v>1257</v>
      </c>
      <c r="K317" s="2" t="n">
        <v>9</v>
      </c>
      <c r="L317" s="2" t="s">
        <v>41</v>
      </c>
      <c r="M317" s="2" t="s">
        <v>42</v>
      </c>
      <c r="N317" s="4" t="n">
        <v>458.35</v>
      </c>
      <c r="O317" s="2" t="str">
        <f aca="false">IF(COUNTIF($A$2:$A$1201,A317)&gt;1,"DUPLICATE","Unique")</f>
        <v>Unique</v>
      </c>
      <c r="P317" s="2" t="str">
        <f aca="false">IF(L317="","MISSING","OK")</f>
        <v>OK</v>
      </c>
      <c r="Q317" s="2" t="str">
        <f aca="false">IF(ISNUMBER(B317),"OK","BAD DATE")</f>
        <v>OK</v>
      </c>
      <c r="R317" s="2" t="str">
        <f aca="false">IF(ROUND(F317,2)=F317,"OK","FIX")</f>
        <v>OK</v>
      </c>
    </row>
    <row r="318" customFormat="false" ht="15" hidden="false" customHeight="false" outlineLevel="0" collapsed="false">
      <c r="A318" s="2" t="s">
        <v>1258</v>
      </c>
      <c r="B318" s="3" t="n">
        <v>45201</v>
      </c>
      <c r="C318" s="2" t="s">
        <v>1259</v>
      </c>
      <c r="D318" s="2" t="s">
        <v>77</v>
      </c>
      <c r="E318" s="2" t="n">
        <v>4</v>
      </c>
      <c r="F318" s="4" t="n">
        <v>275.28</v>
      </c>
      <c r="G318" s="2" t="s">
        <v>1260</v>
      </c>
      <c r="H318" s="2" t="s">
        <v>64</v>
      </c>
      <c r="I318" s="2" t="s">
        <v>23</v>
      </c>
      <c r="J318" s="2" t="s">
        <v>1261</v>
      </c>
      <c r="K318" s="2" t="n">
        <v>9</v>
      </c>
      <c r="L318" s="2" t="s">
        <v>85</v>
      </c>
      <c r="M318" s="2" t="s">
        <v>49</v>
      </c>
      <c r="N318" s="4" t="n">
        <v>1101.12</v>
      </c>
      <c r="O318" s="2" t="str">
        <f aca="false">IF(COUNTIF($A$2:$A$1201,A318)&gt;1,"DUPLICATE","Unique")</f>
        <v>Unique</v>
      </c>
      <c r="P318" s="2" t="str">
        <f aca="false">IF(L318="","MISSING","OK")</f>
        <v>OK</v>
      </c>
      <c r="Q318" s="2" t="str">
        <f aca="false">IF(ISNUMBER(B318),"OK","BAD DATE")</f>
        <v>OK</v>
      </c>
      <c r="R318" s="2" t="str">
        <f aca="false">IF(ROUND(F318,2)=F318,"OK","FIX")</f>
        <v>OK</v>
      </c>
    </row>
    <row r="319" customFormat="false" ht="15" hidden="false" customHeight="false" outlineLevel="0" collapsed="false">
      <c r="A319" s="2" t="s">
        <v>1262</v>
      </c>
      <c r="B319" s="3" t="n">
        <v>45026</v>
      </c>
      <c r="C319" s="2" t="s">
        <v>1263</v>
      </c>
      <c r="D319" s="2" t="s">
        <v>20</v>
      </c>
      <c r="E319" s="2" t="n">
        <v>2</v>
      </c>
      <c r="F319" s="4" t="n">
        <v>139.95</v>
      </c>
      <c r="G319" s="2" t="s">
        <v>1264</v>
      </c>
      <c r="H319" s="2" t="s">
        <v>31</v>
      </c>
      <c r="I319" s="2" t="s">
        <v>47</v>
      </c>
      <c r="J319" s="2" t="s">
        <v>1265</v>
      </c>
      <c r="K319" s="2" t="n">
        <v>5</v>
      </c>
      <c r="L319" s="2"/>
      <c r="M319" s="2" t="s">
        <v>26</v>
      </c>
      <c r="N319" s="4" t="n">
        <v>279.9</v>
      </c>
      <c r="O319" s="2" t="str">
        <f aca="false">IF(COUNTIF($A$2:$A$1201,A319)&gt;1,"DUPLICATE","Unique")</f>
        <v>Unique</v>
      </c>
      <c r="P319" s="2" t="str">
        <f aca="false">IF(L319="","MISSING","OK")</f>
        <v>MISSING</v>
      </c>
      <c r="Q319" s="2" t="str">
        <f aca="false">IF(ISNUMBER(B319),"OK","BAD DATE")</f>
        <v>OK</v>
      </c>
      <c r="R319" s="2" t="str">
        <f aca="false">IF(ROUND(F319,2)=F319,"OK","FIX")</f>
        <v>OK</v>
      </c>
    </row>
    <row r="320" customFormat="false" ht="15" hidden="false" customHeight="false" outlineLevel="0" collapsed="false">
      <c r="A320" s="2" t="s">
        <v>1266</v>
      </c>
      <c r="B320" s="3" t="n">
        <v>45500</v>
      </c>
      <c r="C320" s="2" t="s">
        <v>1267</v>
      </c>
      <c r="D320" s="2" t="s">
        <v>45</v>
      </c>
      <c r="E320" s="2" t="n">
        <v>3</v>
      </c>
      <c r="F320" s="4" t="n">
        <v>148.72</v>
      </c>
      <c r="G320" s="2" t="s">
        <v>870</v>
      </c>
      <c r="H320" s="2" t="s">
        <v>22</v>
      </c>
      <c r="I320" s="2" t="s">
        <v>39</v>
      </c>
      <c r="J320" s="2" t="s">
        <v>1268</v>
      </c>
      <c r="K320" s="2" t="n">
        <v>7</v>
      </c>
      <c r="L320" s="2" t="s">
        <v>25</v>
      </c>
      <c r="M320" s="2" t="s">
        <v>80</v>
      </c>
      <c r="N320" s="4" t="n">
        <v>446.16</v>
      </c>
      <c r="O320" s="2" t="str">
        <f aca="false">IF(COUNTIF($A$2:$A$1201,A320)&gt;1,"DUPLICATE","Unique")</f>
        <v>Unique</v>
      </c>
      <c r="P320" s="2" t="str">
        <f aca="false">IF(L320="","MISSING","OK")</f>
        <v>OK</v>
      </c>
      <c r="Q320" s="2" t="str">
        <f aca="false">IF(ISNUMBER(B320),"OK","BAD DATE")</f>
        <v>OK</v>
      </c>
      <c r="R320" s="2" t="str">
        <f aca="false">IF(ROUND(F320,2)=F320,"OK","FIX")</f>
        <v>OK</v>
      </c>
    </row>
    <row r="321" customFormat="false" ht="15" hidden="false" customHeight="false" outlineLevel="0" collapsed="false">
      <c r="A321" s="2" t="s">
        <v>1269</v>
      </c>
      <c r="B321" s="3" t="n">
        <v>45262</v>
      </c>
      <c r="C321" s="2" t="s">
        <v>1270</v>
      </c>
      <c r="D321" s="2" t="s">
        <v>62</v>
      </c>
      <c r="E321" s="2" t="n">
        <v>2</v>
      </c>
      <c r="F321" s="4" t="n">
        <v>563.06</v>
      </c>
      <c r="G321" s="2" t="s">
        <v>1271</v>
      </c>
      <c r="H321" s="2" t="s">
        <v>69</v>
      </c>
      <c r="I321" s="2" t="s">
        <v>47</v>
      </c>
      <c r="J321" s="2" t="s">
        <v>1272</v>
      </c>
      <c r="K321" s="2" t="n">
        <v>6</v>
      </c>
      <c r="L321" s="2"/>
      <c r="M321" s="2" t="s">
        <v>26</v>
      </c>
      <c r="N321" s="4" t="n">
        <v>1126.12</v>
      </c>
      <c r="O321" s="2" t="str">
        <f aca="false">IF(COUNTIF($A$2:$A$1201,A321)&gt;1,"DUPLICATE","Unique")</f>
        <v>Unique</v>
      </c>
      <c r="P321" s="2" t="str">
        <f aca="false">IF(L321="","MISSING","OK")</f>
        <v>MISSING</v>
      </c>
      <c r="Q321" s="2" t="str">
        <f aca="false">IF(ISNUMBER(B321),"OK","BAD DATE")</f>
        <v>OK</v>
      </c>
      <c r="R321" s="2" t="str">
        <f aca="false">IF(ROUND(F321,2)=F321,"OK","FIX")</f>
        <v>OK</v>
      </c>
    </row>
    <row r="322" customFormat="false" ht="15" hidden="false" customHeight="false" outlineLevel="0" collapsed="false">
      <c r="A322" s="2" t="s">
        <v>1273</v>
      </c>
      <c r="B322" s="3" t="n">
        <v>45645</v>
      </c>
      <c r="C322" s="2" t="s">
        <v>1274</v>
      </c>
      <c r="D322" s="2" t="s">
        <v>52</v>
      </c>
      <c r="E322" s="2" t="n">
        <v>1</v>
      </c>
      <c r="F322" s="4" t="n">
        <v>625.51</v>
      </c>
      <c r="G322" s="2" t="s">
        <v>1275</v>
      </c>
      <c r="H322" s="2" t="s">
        <v>38</v>
      </c>
      <c r="I322" s="2" t="s">
        <v>23</v>
      </c>
      <c r="J322" s="2" t="s">
        <v>1276</v>
      </c>
      <c r="K322" s="2" t="n">
        <v>1</v>
      </c>
      <c r="L322" s="2" t="s">
        <v>41</v>
      </c>
      <c r="M322" s="2" t="s">
        <v>49</v>
      </c>
      <c r="N322" s="4" t="n">
        <v>625.51</v>
      </c>
      <c r="O322" s="2" t="str">
        <f aca="false">IF(COUNTIF($A$2:$A$1201,A322)&gt;1,"DUPLICATE","Unique")</f>
        <v>Unique</v>
      </c>
      <c r="P322" s="2" t="str">
        <f aca="false">IF(L322="","MISSING","OK")</f>
        <v>OK</v>
      </c>
      <c r="Q322" s="2" t="str">
        <f aca="false">IF(ISNUMBER(B322),"OK","BAD DATE")</f>
        <v>OK</v>
      </c>
      <c r="R322" s="2" t="str">
        <f aca="false">IF(ROUND(F322,2)=F322,"OK","FIX")</f>
        <v>OK</v>
      </c>
    </row>
    <row r="323" customFormat="false" ht="15" hidden="false" customHeight="false" outlineLevel="0" collapsed="false">
      <c r="A323" s="2" t="s">
        <v>1277</v>
      </c>
      <c r="B323" s="3" t="n">
        <v>45147</v>
      </c>
      <c r="C323" s="2" t="s">
        <v>1278</v>
      </c>
      <c r="D323" s="2" t="s">
        <v>29</v>
      </c>
      <c r="E323" s="2" t="n">
        <v>4</v>
      </c>
      <c r="F323" s="4" t="n">
        <v>152.29</v>
      </c>
      <c r="G323" s="2" t="s">
        <v>1226</v>
      </c>
      <c r="H323" s="2" t="s">
        <v>22</v>
      </c>
      <c r="I323" s="2" t="s">
        <v>39</v>
      </c>
      <c r="J323" s="2" t="s">
        <v>1279</v>
      </c>
      <c r="K323" s="2" t="n">
        <v>6</v>
      </c>
      <c r="L323" s="2" t="s">
        <v>85</v>
      </c>
      <c r="M323" s="2" t="s">
        <v>80</v>
      </c>
      <c r="N323" s="4" t="n">
        <v>609.16</v>
      </c>
      <c r="O323" s="2" t="str">
        <f aca="false">IF(COUNTIF($A$2:$A$1201,A323)&gt;1,"DUPLICATE","Unique")</f>
        <v>Unique</v>
      </c>
      <c r="P323" s="2" t="str">
        <f aca="false">IF(L323="","MISSING","OK")</f>
        <v>OK</v>
      </c>
      <c r="Q323" s="2" t="str">
        <f aca="false">IF(ISNUMBER(B323),"OK","BAD DATE")</f>
        <v>OK</v>
      </c>
      <c r="R323" s="2" t="str">
        <f aca="false">IF(ROUND(F323,2)=F323,"OK","FIX")</f>
        <v>OK</v>
      </c>
    </row>
    <row r="324" customFormat="false" ht="15" hidden="false" customHeight="false" outlineLevel="0" collapsed="false">
      <c r="A324" s="2" t="s">
        <v>1280</v>
      </c>
      <c r="B324" s="3" t="n">
        <v>45457</v>
      </c>
      <c r="C324" s="2" t="s">
        <v>1281</v>
      </c>
      <c r="D324" s="2" t="s">
        <v>29</v>
      </c>
      <c r="E324" s="2" t="n">
        <v>5</v>
      </c>
      <c r="F324" s="4" t="n">
        <v>231.82</v>
      </c>
      <c r="G324" s="2" t="s">
        <v>1264</v>
      </c>
      <c r="H324" s="2" t="s">
        <v>22</v>
      </c>
      <c r="I324" s="2" t="s">
        <v>54</v>
      </c>
      <c r="J324" s="2" t="s">
        <v>1282</v>
      </c>
      <c r="K324" s="2" t="n">
        <v>6</v>
      </c>
      <c r="L324" s="2" t="s">
        <v>25</v>
      </c>
      <c r="M324" s="2" t="s">
        <v>49</v>
      </c>
      <c r="N324" s="4" t="n">
        <v>1159.1</v>
      </c>
      <c r="O324" s="2" t="str">
        <f aca="false">IF(COUNTIF($A$2:$A$1201,A324)&gt;1,"DUPLICATE","Unique")</f>
        <v>Unique</v>
      </c>
      <c r="P324" s="2" t="str">
        <f aca="false">IF(L324="","MISSING","OK")</f>
        <v>OK</v>
      </c>
      <c r="Q324" s="2" t="str">
        <f aca="false">IF(ISNUMBER(B324),"OK","BAD DATE")</f>
        <v>OK</v>
      </c>
      <c r="R324" s="2" t="str">
        <f aca="false">IF(ROUND(F324,2)=F324,"OK","FIX")</f>
        <v>OK</v>
      </c>
    </row>
    <row r="325" customFormat="false" ht="15" hidden="false" customHeight="false" outlineLevel="0" collapsed="false">
      <c r="A325" s="2" t="s">
        <v>1283</v>
      </c>
      <c r="B325" s="3" t="n">
        <v>45683</v>
      </c>
      <c r="C325" s="2" t="s">
        <v>1284</v>
      </c>
      <c r="D325" s="2" t="s">
        <v>62</v>
      </c>
      <c r="E325" s="2" t="n">
        <v>1</v>
      </c>
      <c r="F325" s="4" t="n">
        <v>150.17</v>
      </c>
      <c r="G325" s="2" t="s">
        <v>1285</v>
      </c>
      <c r="H325" s="2" t="s">
        <v>22</v>
      </c>
      <c r="I325" s="2" t="s">
        <v>47</v>
      </c>
      <c r="J325" s="2" t="s">
        <v>1286</v>
      </c>
      <c r="K325" s="2" t="n">
        <v>1</v>
      </c>
      <c r="L325" s="2" t="s">
        <v>25</v>
      </c>
      <c r="M325" s="2" t="s">
        <v>33</v>
      </c>
      <c r="N325" s="4" t="n">
        <v>150.17</v>
      </c>
      <c r="O325" s="2" t="str">
        <f aca="false">IF(COUNTIF($A$2:$A$1201,A325)&gt;1,"DUPLICATE","Unique")</f>
        <v>Unique</v>
      </c>
      <c r="P325" s="2" t="str">
        <f aca="false">IF(L325="","MISSING","OK")</f>
        <v>OK</v>
      </c>
      <c r="Q325" s="2" t="str">
        <f aca="false">IF(ISNUMBER(B325),"OK","BAD DATE")</f>
        <v>OK</v>
      </c>
      <c r="R325" s="2" t="str">
        <f aca="false">IF(ROUND(F325,2)=F325,"OK","FIX")</f>
        <v>OK</v>
      </c>
    </row>
    <row r="326" customFormat="false" ht="15" hidden="false" customHeight="false" outlineLevel="0" collapsed="false">
      <c r="A326" s="2" t="s">
        <v>1287</v>
      </c>
      <c r="B326" s="3" t="n">
        <v>45456</v>
      </c>
      <c r="C326" s="2" t="s">
        <v>1288</v>
      </c>
      <c r="D326" s="2" t="s">
        <v>36</v>
      </c>
      <c r="E326" s="2" t="n">
        <v>3</v>
      </c>
      <c r="F326" s="4" t="n">
        <v>70.93</v>
      </c>
      <c r="G326" s="2" t="s">
        <v>1289</v>
      </c>
      <c r="H326" s="2" t="s">
        <v>22</v>
      </c>
      <c r="I326" s="2" t="s">
        <v>47</v>
      </c>
      <c r="J326" s="2" t="s">
        <v>1290</v>
      </c>
      <c r="K326" s="2" t="n">
        <v>5</v>
      </c>
      <c r="L326" s="2"/>
      <c r="M326" s="2" t="s">
        <v>33</v>
      </c>
      <c r="N326" s="4" t="n">
        <v>212.79</v>
      </c>
      <c r="O326" s="2" t="str">
        <f aca="false">IF(COUNTIF($A$2:$A$1201,A326)&gt;1,"DUPLICATE","Unique")</f>
        <v>Unique</v>
      </c>
      <c r="P326" s="2" t="str">
        <f aca="false">IF(L326="","MISSING","OK")</f>
        <v>MISSING</v>
      </c>
      <c r="Q326" s="2" t="str">
        <f aca="false">IF(ISNUMBER(B326),"OK","BAD DATE")</f>
        <v>OK</v>
      </c>
      <c r="R326" s="2" t="str">
        <f aca="false">IF(ROUND(F326,2)=F326,"OK","FIX")</f>
        <v>OK</v>
      </c>
    </row>
    <row r="327" customFormat="false" ht="15" hidden="false" customHeight="false" outlineLevel="0" collapsed="false">
      <c r="A327" s="2" t="s">
        <v>1291</v>
      </c>
      <c r="B327" s="3" t="n">
        <v>45106</v>
      </c>
      <c r="C327" s="2" t="s">
        <v>1292</v>
      </c>
      <c r="D327" s="2" t="s">
        <v>77</v>
      </c>
      <c r="E327" s="2" t="n">
        <v>3</v>
      </c>
      <c r="F327" s="4" t="n">
        <v>361.39</v>
      </c>
      <c r="G327" s="2" t="s">
        <v>1293</v>
      </c>
      <c r="H327" s="2" t="s">
        <v>38</v>
      </c>
      <c r="I327" s="2" t="s">
        <v>23</v>
      </c>
      <c r="J327" s="2" t="s">
        <v>1294</v>
      </c>
      <c r="K327" s="2" t="n">
        <v>8</v>
      </c>
      <c r="L327" s="2"/>
      <c r="M327" s="2" t="s">
        <v>33</v>
      </c>
      <c r="N327" s="4" t="n">
        <v>1084.17</v>
      </c>
      <c r="O327" s="2" t="str">
        <f aca="false">IF(COUNTIF($A$2:$A$1201,A327)&gt;1,"DUPLICATE","Unique")</f>
        <v>Unique</v>
      </c>
      <c r="P327" s="2" t="str">
        <f aca="false">IF(L327="","MISSING","OK")</f>
        <v>MISSING</v>
      </c>
      <c r="Q327" s="2" t="str">
        <f aca="false">IF(ISNUMBER(B327),"OK","BAD DATE")</f>
        <v>OK</v>
      </c>
      <c r="R327" s="2" t="str">
        <f aca="false">IF(ROUND(F327,2)=F327,"OK","FIX")</f>
        <v>OK</v>
      </c>
    </row>
    <row r="328" customFormat="false" ht="15" hidden="false" customHeight="false" outlineLevel="0" collapsed="false">
      <c r="A328" s="2" t="s">
        <v>1295</v>
      </c>
      <c r="B328" s="3" t="n">
        <v>45474</v>
      </c>
      <c r="C328" s="2" t="s">
        <v>1296</v>
      </c>
      <c r="D328" s="2" t="s">
        <v>62</v>
      </c>
      <c r="E328" s="2" t="n">
        <v>5</v>
      </c>
      <c r="F328" s="4" t="n">
        <v>670.48</v>
      </c>
      <c r="G328" s="2" t="s">
        <v>121</v>
      </c>
      <c r="H328" s="2" t="s">
        <v>64</v>
      </c>
      <c r="I328" s="2" t="s">
        <v>47</v>
      </c>
      <c r="J328" s="2" t="s">
        <v>1297</v>
      </c>
      <c r="K328" s="2" t="n">
        <v>5</v>
      </c>
      <c r="L328" s="2" t="s">
        <v>25</v>
      </c>
      <c r="M328" s="2" t="s">
        <v>49</v>
      </c>
      <c r="N328" s="4" t="n">
        <v>3352.4</v>
      </c>
      <c r="O328" s="2" t="str">
        <f aca="false">IF(COUNTIF($A$2:$A$1201,A328)&gt;1,"DUPLICATE","Unique")</f>
        <v>Unique</v>
      </c>
      <c r="P328" s="2" t="str">
        <f aca="false">IF(L328="","MISSING","OK")</f>
        <v>OK</v>
      </c>
      <c r="Q328" s="2" t="str">
        <f aca="false">IF(ISNUMBER(B328),"OK","BAD DATE")</f>
        <v>OK</v>
      </c>
      <c r="R328" s="2" t="str">
        <f aca="false">IF(ROUND(F328,2)=F328,"OK","FIX")</f>
        <v>OK</v>
      </c>
    </row>
    <row r="329" customFormat="false" ht="15" hidden="false" customHeight="false" outlineLevel="0" collapsed="false">
      <c r="A329" s="2" t="s">
        <v>1298</v>
      </c>
      <c r="B329" s="3" t="n">
        <v>45132</v>
      </c>
      <c r="C329" s="2" t="s">
        <v>1299</v>
      </c>
      <c r="D329" s="2" t="s">
        <v>29</v>
      </c>
      <c r="E329" s="2" t="n">
        <v>1</v>
      </c>
      <c r="F329" s="4" t="n">
        <v>359.99</v>
      </c>
      <c r="G329" s="2" t="s">
        <v>301</v>
      </c>
      <c r="H329" s="2" t="s">
        <v>64</v>
      </c>
      <c r="I329" s="2" t="s">
        <v>39</v>
      </c>
      <c r="J329" s="2" t="s">
        <v>1300</v>
      </c>
      <c r="K329" s="2" t="n">
        <v>5</v>
      </c>
      <c r="L329" s="2" t="s">
        <v>25</v>
      </c>
      <c r="M329" s="2" t="s">
        <v>42</v>
      </c>
      <c r="N329" s="4" t="n">
        <v>359.99</v>
      </c>
      <c r="O329" s="2" t="str">
        <f aca="false">IF(COUNTIF($A$2:$A$1201,A329)&gt;1,"DUPLICATE","Unique")</f>
        <v>Unique</v>
      </c>
      <c r="P329" s="2" t="str">
        <f aca="false">IF(L329="","MISSING","OK")</f>
        <v>OK</v>
      </c>
      <c r="Q329" s="2" t="str">
        <f aca="false">IF(ISNUMBER(B329),"OK","BAD DATE")</f>
        <v>OK</v>
      </c>
      <c r="R329" s="2" t="str">
        <f aca="false">IF(ROUND(F329,2)=F329,"OK","FIX")</f>
        <v>OK</v>
      </c>
    </row>
    <row r="330" customFormat="false" ht="15" hidden="false" customHeight="false" outlineLevel="0" collapsed="false">
      <c r="A330" s="2" t="s">
        <v>1301</v>
      </c>
      <c r="B330" s="3" t="n">
        <v>44985</v>
      </c>
      <c r="C330" s="2" t="s">
        <v>1302</v>
      </c>
      <c r="D330" s="2" t="s">
        <v>36</v>
      </c>
      <c r="E330" s="2" t="n">
        <v>5</v>
      </c>
      <c r="F330" s="4" t="n">
        <v>674.04</v>
      </c>
      <c r="G330" s="2" t="s">
        <v>1303</v>
      </c>
      <c r="H330" s="2" t="s">
        <v>31</v>
      </c>
      <c r="I330" s="2" t="s">
        <v>39</v>
      </c>
      <c r="J330" s="2" t="s">
        <v>1304</v>
      </c>
      <c r="K330" s="2" t="n">
        <v>7</v>
      </c>
      <c r="L330" s="2" t="s">
        <v>25</v>
      </c>
      <c r="M330" s="2" t="s">
        <v>80</v>
      </c>
      <c r="N330" s="4" t="n">
        <v>3370.2</v>
      </c>
      <c r="O330" s="2" t="str">
        <f aca="false">IF(COUNTIF($A$2:$A$1201,A330)&gt;1,"DUPLICATE","Unique")</f>
        <v>Unique</v>
      </c>
      <c r="P330" s="2" t="str">
        <f aca="false">IF(L330="","MISSING","OK")</f>
        <v>OK</v>
      </c>
      <c r="Q330" s="2" t="str">
        <f aca="false">IF(ISNUMBER(B330),"OK","BAD DATE")</f>
        <v>OK</v>
      </c>
      <c r="R330" s="2" t="str">
        <f aca="false">IF(ROUND(F330,2)=F330,"OK","FIX")</f>
        <v>OK</v>
      </c>
    </row>
    <row r="331" customFormat="false" ht="15" hidden="false" customHeight="false" outlineLevel="0" collapsed="false">
      <c r="A331" s="2" t="s">
        <v>1305</v>
      </c>
      <c r="B331" s="3" t="n">
        <v>45651</v>
      </c>
      <c r="C331" s="2" t="s">
        <v>1306</v>
      </c>
      <c r="D331" s="2" t="s">
        <v>45</v>
      </c>
      <c r="E331" s="2" t="n">
        <v>4</v>
      </c>
      <c r="F331" s="4" t="n">
        <v>283.16</v>
      </c>
      <c r="G331" s="2" t="s">
        <v>992</v>
      </c>
      <c r="H331" s="2" t="s">
        <v>38</v>
      </c>
      <c r="I331" s="2" t="s">
        <v>23</v>
      </c>
      <c r="J331" s="2" t="s">
        <v>1307</v>
      </c>
      <c r="K331" s="2" t="n">
        <v>6</v>
      </c>
      <c r="L331" s="2"/>
      <c r="M331" s="2" t="s">
        <v>80</v>
      </c>
      <c r="N331" s="4" t="n">
        <v>1132.64</v>
      </c>
      <c r="O331" s="2" t="str">
        <f aca="false">IF(COUNTIF($A$2:$A$1201,A331)&gt;1,"DUPLICATE","Unique")</f>
        <v>Unique</v>
      </c>
      <c r="P331" s="2" t="str">
        <f aca="false">IF(L331="","MISSING","OK")</f>
        <v>MISSING</v>
      </c>
      <c r="Q331" s="2" t="str">
        <f aca="false">IF(ISNUMBER(B331),"OK","BAD DATE")</f>
        <v>OK</v>
      </c>
      <c r="R331" s="2" t="str">
        <f aca="false">IF(ROUND(F331,2)=F331,"OK","FIX")</f>
        <v>OK</v>
      </c>
    </row>
    <row r="332" customFormat="false" ht="15" hidden="false" customHeight="false" outlineLevel="0" collapsed="false">
      <c r="A332" s="2" t="s">
        <v>1308</v>
      </c>
      <c r="B332" s="3" t="n">
        <v>45445</v>
      </c>
      <c r="C332" s="2" t="s">
        <v>1309</v>
      </c>
      <c r="D332" s="2" t="s">
        <v>77</v>
      </c>
      <c r="E332" s="2" t="n">
        <v>5</v>
      </c>
      <c r="F332" s="4" t="n">
        <v>260.53</v>
      </c>
      <c r="G332" s="2" t="s">
        <v>1310</v>
      </c>
      <c r="H332" s="2" t="s">
        <v>64</v>
      </c>
      <c r="I332" s="2" t="s">
        <v>93</v>
      </c>
      <c r="J332" s="2" t="s">
        <v>1311</v>
      </c>
      <c r="K332" s="2" t="n">
        <v>5</v>
      </c>
      <c r="L332" s="2" t="s">
        <v>25</v>
      </c>
      <c r="M332" s="2" t="s">
        <v>26</v>
      </c>
      <c r="N332" s="4" t="n">
        <v>1302.65</v>
      </c>
      <c r="O332" s="2" t="str">
        <f aca="false">IF(COUNTIF($A$2:$A$1201,A332)&gt;1,"DUPLICATE","Unique")</f>
        <v>Unique</v>
      </c>
      <c r="P332" s="2" t="str">
        <f aca="false">IF(L332="","MISSING","OK")</f>
        <v>OK</v>
      </c>
      <c r="Q332" s="2" t="str">
        <f aca="false">IF(ISNUMBER(B332),"OK","BAD DATE")</f>
        <v>OK</v>
      </c>
      <c r="R332" s="2" t="str">
        <f aca="false">IF(ROUND(F332,2)=F332,"OK","FIX")</f>
        <v>OK</v>
      </c>
    </row>
    <row r="333" customFormat="false" ht="15" hidden="false" customHeight="false" outlineLevel="0" collapsed="false">
      <c r="A333" s="2" t="s">
        <v>1312</v>
      </c>
      <c r="B333" s="3" t="n">
        <v>45031</v>
      </c>
      <c r="C333" s="2" t="s">
        <v>1313</v>
      </c>
      <c r="D333" s="2" t="s">
        <v>52</v>
      </c>
      <c r="E333" s="2" t="n">
        <v>3</v>
      </c>
      <c r="F333" s="4" t="n">
        <v>422.13</v>
      </c>
      <c r="G333" s="2" t="s">
        <v>514</v>
      </c>
      <c r="H333" s="2" t="s">
        <v>31</v>
      </c>
      <c r="I333" s="2" t="s">
        <v>54</v>
      </c>
      <c r="J333" s="2" t="s">
        <v>1314</v>
      </c>
      <c r="K333" s="2" t="n">
        <v>7</v>
      </c>
      <c r="L333" s="2" t="s">
        <v>25</v>
      </c>
      <c r="M333" s="2" t="s">
        <v>49</v>
      </c>
      <c r="N333" s="4" t="n">
        <v>1266.39</v>
      </c>
      <c r="O333" s="2" t="str">
        <f aca="false">IF(COUNTIF($A$2:$A$1201,A333)&gt;1,"DUPLICATE","Unique")</f>
        <v>Unique</v>
      </c>
      <c r="P333" s="2" t="str">
        <f aca="false">IF(L333="","MISSING","OK")</f>
        <v>OK</v>
      </c>
      <c r="Q333" s="2" t="str">
        <f aca="false">IF(ISNUMBER(B333),"OK","BAD DATE")</f>
        <v>OK</v>
      </c>
      <c r="R333" s="2" t="str">
        <f aca="false">IF(ROUND(F333,2)=F333,"OK","FIX")</f>
        <v>OK</v>
      </c>
    </row>
    <row r="334" customFormat="false" ht="15" hidden="false" customHeight="false" outlineLevel="0" collapsed="false">
      <c r="A334" s="2" t="s">
        <v>1315</v>
      </c>
      <c r="B334" s="3" t="n">
        <v>45476</v>
      </c>
      <c r="C334" s="2" t="s">
        <v>1316</v>
      </c>
      <c r="D334" s="2" t="s">
        <v>77</v>
      </c>
      <c r="E334" s="2" t="n">
        <v>5</v>
      </c>
      <c r="F334" s="4" t="n">
        <v>125.02</v>
      </c>
      <c r="G334" s="2" t="s">
        <v>1317</v>
      </c>
      <c r="H334" s="2" t="s">
        <v>22</v>
      </c>
      <c r="I334" s="2" t="s">
        <v>93</v>
      </c>
      <c r="J334" s="2" t="s">
        <v>1318</v>
      </c>
      <c r="K334" s="2" t="n">
        <v>9</v>
      </c>
      <c r="L334" s="2" t="s">
        <v>25</v>
      </c>
      <c r="M334" s="2" t="s">
        <v>80</v>
      </c>
      <c r="N334" s="4" t="n">
        <v>625.1</v>
      </c>
      <c r="O334" s="2" t="str">
        <f aca="false">IF(COUNTIF($A$2:$A$1201,A334)&gt;1,"DUPLICATE","Unique")</f>
        <v>Unique</v>
      </c>
      <c r="P334" s="2" t="str">
        <f aca="false">IF(L334="","MISSING","OK")</f>
        <v>OK</v>
      </c>
      <c r="Q334" s="2" t="str">
        <f aca="false">IF(ISNUMBER(B334),"OK","BAD DATE")</f>
        <v>OK</v>
      </c>
      <c r="R334" s="2" t="str">
        <f aca="false">IF(ROUND(F334,2)=F334,"OK","FIX")</f>
        <v>OK</v>
      </c>
    </row>
    <row r="335" customFormat="false" ht="15" hidden="false" customHeight="false" outlineLevel="0" collapsed="false">
      <c r="A335" s="2" t="s">
        <v>1319</v>
      </c>
      <c r="B335" s="3" t="n">
        <v>45398</v>
      </c>
      <c r="C335" s="2" t="s">
        <v>1320</v>
      </c>
      <c r="D335" s="2" t="s">
        <v>29</v>
      </c>
      <c r="E335" s="2" t="n">
        <v>1</v>
      </c>
      <c r="F335" s="4" t="n">
        <v>198.51</v>
      </c>
      <c r="G335" s="2" t="s">
        <v>1321</v>
      </c>
      <c r="H335" s="2" t="s">
        <v>38</v>
      </c>
      <c r="I335" s="2" t="s">
        <v>47</v>
      </c>
      <c r="J335" s="2" t="s">
        <v>1322</v>
      </c>
      <c r="K335" s="2" t="n">
        <v>5</v>
      </c>
      <c r="L335" s="2" t="s">
        <v>85</v>
      </c>
      <c r="M335" s="2" t="s">
        <v>26</v>
      </c>
      <c r="N335" s="4" t="n">
        <v>198.51</v>
      </c>
      <c r="O335" s="2" t="str">
        <f aca="false">IF(COUNTIF($A$2:$A$1201,A335)&gt;1,"DUPLICATE","Unique")</f>
        <v>Unique</v>
      </c>
      <c r="P335" s="2" t="str">
        <f aca="false">IF(L335="","MISSING","OK")</f>
        <v>OK</v>
      </c>
      <c r="Q335" s="2" t="str">
        <f aca="false">IF(ISNUMBER(B335),"OK","BAD DATE")</f>
        <v>OK</v>
      </c>
      <c r="R335" s="2" t="str">
        <f aca="false">IF(ROUND(F335,2)=F335,"OK","FIX")</f>
        <v>OK</v>
      </c>
    </row>
    <row r="336" customFormat="false" ht="15" hidden="false" customHeight="false" outlineLevel="0" collapsed="false">
      <c r="A336" s="2" t="s">
        <v>1323</v>
      </c>
      <c r="B336" s="3" t="n">
        <v>45377</v>
      </c>
      <c r="C336" s="2" t="s">
        <v>1324</v>
      </c>
      <c r="D336" s="2" t="s">
        <v>45</v>
      </c>
      <c r="E336" s="2" t="n">
        <v>4</v>
      </c>
      <c r="F336" s="4" t="n">
        <v>224.75</v>
      </c>
      <c r="G336" s="2" t="s">
        <v>1325</v>
      </c>
      <c r="H336" s="2" t="s">
        <v>31</v>
      </c>
      <c r="I336" s="2" t="s">
        <v>54</v>
      </c>
      <c r="J336" s="2" t="s">
        <v>1326</v>
      </c>
      <c r="K336" s="2" t="n">
        <v>7</v>
      </c>
      <c r="L336" s="2" t="s">
        <v>85</v>
      </c>
      <c r="M336" s="2" t="s">
        <v>49</v>
      </c>
      <c r="N336" s="4" t="n">
        <v>899</v>
      </c>
      <c r="O336" s="2" t="str">
        <f aca="false">IF(COUNTIF($A$2:$A$1201,A336)&gt;1,"DUPLICATE","Unique")</f>
        <v>Unique</v>
      </c>
      <c r="P336" s="2" t="str">
        <f aca="false">IF(L336="","MISSING","OK")</f>
        <v>OK</v>
      </c>
      <c r="Q336" s="2" t="str">
        <f aca="false">IF(ISNUMBER(B336),"OK","BAD DATE")</f>
        <v>OK</v>
      </c>
      <c r="R336" s="2" t="str">
        <f aca="false">IF(ROUND(F336,2)=F336,"OK","FIX")</f>
        <v>OK</v>
      </c>
    </row>
    <row r="337" customFormat="false" ht="15" hidden="false" customHeight="false" outlineLevel="0" collapsed="false">
      <c r="A337" s="2" t="s">
        <v>1327</v>
      </c>
      <c r="B337" s="3" t="n">
        <v>45719</v>
      </c>
      <c r="C337" s="2" t="s">
        <v>1328</v>
      </c>
      <c r="D337" s="2" t="s">
        <v>36</v>
      </c>
      <c r="E337" s="2" t="n">
        <v>3</v>
      </c>
      <c r="F337" s="4" t="n">
        <v>205.86</v>
      </c>
      <c r="G337" s="2" t="s">
        <v>1248</v>
      </c>
      <c r="H337" s="2" t="s">
        <v>64</v>
      </c>
      <c r="I337" s="2" t="s">
        <v>23</v>
      </c>
      <c r="J337" s="2" t="s">
        <v>1329</v>
      </c>
      <c r="K337" s="2" t="n">
        <v>4</v>
      </c>
      <c r="L337" s="2"/>
      <c r="M337" s="2" t="s">
        <v>42</v>
      </c>
      <c r="N337" s="4" t="n">
        <v>617.58</v>
      </c>
      <c r="O337" s="2" t="str">
        <f aca="false">IF(COUNTIF($A$2:$A$1201,A337)&gt;1,"DUPLICATE","Unique")</f>
        <v>Unique</v>
      </c>
      <c r="P337" s="2" t="str">
        <f aca="false">IF(L337="","MISSING","OK")</f>
        <v>MISSING</v>
      </c>
      <c r="Q337" s="2" t="str">
        <f aca="false">IF(ISNUMBER(B337),"OK","BAD DATE")</f>
        <v>OK</v>
      </c>
      <c r="R337" s="2" t="str">
        <f aca="false">IF(ROUND(F337,2)=F337,"OK","FIX")</f>
        <v>OK</v>
      </c>
    </row>
    <row r="338" customFormat="false" ht="15" hidden="false" customHeight="false" outlineLevel="0" collapsed="false">
      <c r="A338" s="2" t="s">
        <v>1330</v>
      </c>
      <c r="B338" s="3" t="n">
        <v>45289</v>
      </c>
      <c r="C338" s="2" t="s">
        <v>1331</v>
      </c>
      <c r="D338" s="2" t="s">
        <v>62</v>
      </c>
      <c r="E338" s="2" t="n">
        <v>1</v>
      </c>
      <c r="F338" s="4" t="n">
        <v>18.2</v>
      </c>
      <c r="G338" s="2" t="s">
        <v>1332</v>
      </c>
      <c r="H338" s="2" t="s">
        <v>22</v>
      </c>
      <c r="I338" s="2" t="s">
        <v>93</v>
      </c>
      <c r="J338" s="2" t="s">
        <v>1333</v>
      </c>
      <c r="K338" s="2" t="n">
        <v>4</v>
      </c>
      <c r="L338" s="2" t="s">
        <v>25</v>
      </c>
      <c r="M338" s="2" t="s">
        <v>26</v>
      </c>
      <c r="N338" s="4" t="n">
        <v>18.2</v>
      </c>
      <c r="O338" s="2" t="str">
        <f aca="false">IF(COUNTIF($A$2:$A$1201,A338)&gt;1,"DUPLICATE","Unique")</f>
        <v>Unique</v>
      </c>
      <c r="P338" s="2" t="str">
        <f aca="false">IF(L338="","MISSING","OK")</f>
        <v>OK</v>
      </c>
      <c r="Q338" s="2" t="str">
        <f aca="false">IF(ISNUMBER(B338),"OK","BAD DATE")</f>
        <v>OK</v>
      </c>
      <c r="R338" s="2" t="str">
        <f aca="false">IF(ROUND(F338,2)=F338,"OK","FIX")</f>
        <v>OK</v>
      </c>
    </row>
    <row r="339" customFormat="false" ht="15" hidden="false" customHeight="false" outlineLevel="0" collapsed="false">
      <c r="A339" s="2" t="s">
        <v>1334</v>
      </c>
      <c r="B339" s="3" t="n">
        <v>45075</v>
      </c>
      <c r="C339" s="2" t="s">
        <v>1335</v>
      </c>
      <c r="D339" s="2" t="s">
        <v>36</v>
      </c>
      <c r="E339" s="2" t="n">
        <v>3</v>
      </c>
      <c r="F339" s="4" t="n">
        <v>502.77</v>
      </c>
      <c r="G339" s="2" t="s">
        <v>1336</v>
      </c>
      <c r="H339" s="2" t="s">
        <v>22</v>
      </c>
      <c r="I339" s="2" t="s">
        <v>47</v>
      </c>
      <c r="J339" s="2" t="s">
        <v>1337</v>
      </c>
      <c r="K339" s="2" t="n">
        <v>8</v>
      </c>
      <c r="L339" s="2" t="s">
        <v>85</v>
      </c>
      <c r="M339" s="2" t="s">
        <v>42</v>
      </c>
      <c r="N339" s="4" t="n">
        <v>1508.31</v>
      </c>
      <c r="O339" s="2" t="str">
        <f aca="false">IF(COUNTIF($A$2:$A$1201,A339)&gt;1,"DUPLICATE","Unique")</f>
        <v>Unique</v>
      </c>
      <c r="P339" s="2" t="str">
        <f aca="false">IF(L339="","MISSING","OK")</f>
        <v>OK</v>
      </c>
      <c r="Q339" s="2" t="str">
        <f aca="false">IF(ISNUMBER(B339),"OK","BAD DATE")</f>
        <v>OK</v>
      </c>
      <c r="R339" s="2" t="str">
        <f aca="false">IF(ROUND(F339,2)=F339,"OK","FIX")</f>
        <v>OK</v>
      </c>
    </row>
    <row r="340" customFormat="false" ht="15" hidden="false" customHeight="false" outlineLevel="0" collapsed="false">
      <c r="A340" s="2" t="s">
        <v>1338</v>
      </c>
      <c r="B340" s="3" t="n">
        <v>45238</v>
      </c>
      <c r="C340" s="2" t="s">
        <v>1339</v>
      </c>
      <c r="D340" s="2" t="s">
        <v>29</v>
      </c>
      <c r="E340" s="2" t="n">
        <v>5</v>
      </c>
      <c r="F340" s="4" t="n">
        <v>305.49</v>
      </c>
      <c r="G340" s="2" t="s">
        <v>1340</v>
      </c>
      <c r="H340" s="2" t="s">
        <v>22</v>
      </c>
      <c r="I340" s="2" t="s">
        <v>23</v>
      </c>
      <c r="J340" s="2" t="s">
        <v>1341</v>
      </c>
      <c r="K340" s="2" t="n">
        <v>10</v>
      </c>
      <c r="L340" s="2"/>
      <c r="M340" s="2" t="s">
        <v>33</v>
      </c>
      <c r="N340" s="4" t="n">
        <v>1527.45</v>
      </c>
      <c r="O340" s="2" t="str">
        <f aca="false">IF(COUNTIF($A$2:$A$1201,A340)&gt;1,"DUPLICATE","Unique")</f>
        <v>Unique</v>
      </c>
      <c r="P340" s="2" t="str">
        <f aca="false">IF(L340="","MISSING","OK")</f>
        <v>MISSING</v>
      </c>
      <c r="Q340" s="2" t="str">
        <f aca="false">IF(ISNUMBER(B340),"OK","BAD DATE")</f>
        <v>OK</v>
      </c>
      <c r="R340" s="2" t="str">
        <f aca="false">IF(ROUND(F340,2)=F340,"OK","FIX")</f>
        <v>OK</v>
      </c>
    </row>
    <row r="341" customFormat="false" ht="15" hidden="false" customHeight="false" outlineLevel="0" collapsed="false">
      <c r="A341" s="2" t="s">
        <v>1342</v>
      </c>
      <c r="B341" s="3" t="n">
        <v>45392</v>
      </c>
      <c r="C341" s="2" t="s">
        <v>1343</v>
      </c>
      <c r="D341" s="2" t="s">
        <v>52</v>
      </c>
      <c r="E341" s="2" t="n">
        <v>2</v>
      </c>
      <c r="F341" s="4" t="n">
        <v>236.33</v>
      </c>
      <c r="G341" s="2" t="s">
        <v>1344</v>
      </c>
      <c r="H341" s="2" t="s">
        <v>31</v>
      </c>
      <c r="I341" s="2" t="s">
        <v>93</v>
      </c>
      <c r="J341" s="2" t="s">
        <v>1345</v>
      </c>
      <c r="K341" s="2" t="n">
        <v>3</v>
      </c>
      <c r="L341" s="2" t="s">
        <v>25</v>
      </c>
      <c r="M341" s="2" t="s">
        <v>26</v>
      </c>
      <c r="N341" s="4" t="n">
        <v>472.66</v>
      </c>
      <c r="O341" s="2" t="str">
        <f aca="false">IF(COUNTIF($A$2:$A$1201,A341)&gt;1,"DUPLICATE","Unique")</f>
        <v>Unique</v>
      </c>
      <c r="P341" s="2" t="str">
        <f aca="false">IF(L341="","MISSING","OK")</f>
        <v>OK</v>
      </c>
      <c r="Q341" s="2" t="str">
        <f aca="false">IF(ISNUMBER(B341),"OK","BAD DATE")</f>
        <v>OK</v>
      </c>
      <c r="R341" s="2" t="str">
        <f aca="false">IF(ROUND(F341,2)=F341,"OK","FIX")</f>
        <v>OK</v>
      </c>
    </row>
    <row r="342" customFormat="false" ht="15" hidden="false" customHeight="false" outlineLevel="0" collapsed="false">
      <c r="A342" s="2" t="s">
        <v>1346</v>
      </c>
      <c r="B342" s="3" t="n">
        <v>45039</v>
      </c>
      <c r="C342" s="2" t="s">
        <v>1347</v>
      </c>
      <c r="D342" s="2" t="s">
        <v>62</v>
      </c>
      <c r="E342" s="2" t="n">
        <v>5</v>
      </c>
      <c r="F342" s="4" t="n">
        <v>521.25</v>
      </c>
      <c r="G342" s="2" t="s">
        <v>1348</v>
      </c>
      <c r="H342" s="2" t="s">
        <v>69</v>
      </c>
      <c r="I342" s="2" t="s">
        <v>39</v>
      </c>
      <c r="J342" s="2" t="s">
        <v>1349</v>
      </c>
      <c r="K342" s="2" t="n">
        <v>8</v>
      </c>
      <c r="L342" s="2"/>
      <c r="M342" s="2" t="s">
        <v>42</v>
      </c>
      <c r="N342" s="4" t="n">
        <v>2606.25</v>
      </c>
      <c r="O342" s="2" t="str">
        <f aca="false">IF(COUNTIF($A$2:$A$1201,A342)&gt;1,"DUPLICATE","Unique")</f>
        <v>Unique</v>
      </c>
      <c r="P342" s="2" t="str">
        <f aca="false">IF(L342="","MISSING","OK")</f>
        <v>MISSING</v>
      </c>
      <c r="Q342" s="2" t="str">
        <f aca="false">IF(ISNUMBER(B342),"OK","BAD DATE")</f>
        <v>OK</v>
      </c>
      <c r="R342" s="2" t="str">
        <f aca="false">IF(ROUND(F342,2)=F342,"OK","FIX")</f>
        <v>OK</v>
      </c>
    </row>
    <row r="343" customFormat="false" ht="15" hidden="false" customHeight="false" outlineLevel="0" collapsed="false">
      <c r="A343" s="2" t="s">
        <v>1350</v>
      </c>
      <c r="B343" s="3" t="n">
        <v>45558</v>
      </c>
      <c r="C343" s="2" t="s">
        <v>1351</v>
      </c>
      <c r="D343" s="2" t="s">
        <v>36</v>
      </c>
      <c r="E343" s="2" t="n">
        <v>1</v>
      </c>
      <c r="F343" s="4" t="n">
        <v>167.15</v>
      </c>
      <c r="G343" s="2" t="s">
        <v>1352</v>
      </c>
      <c r="H343" s="2" t="s">
        <v>64</v>
      </c>
      <c r="I343" s="2" t="s">
        <v>23</v>
      </c>
      <c r="J343" s="2" t="s">
        <v>1353</v>
      </c>
      <c r="K343" s="2" t="n">
        <v>5</v>
      </c>
      <c r="L343" s="2" t="s">
        <v>85</v>
      </c>
      <c r="M343" s="2" t="s">
        <v>42</v>
      </c>
      <c r="N343" s="4" t="n">
        <v>167.15</v>
      </c>
      <c r="O343" s="2" t="str">
        <f aca="false">IF(COUNTIF($A$2:$A$1201,A343)&gt;1,"DUPLICATE","Unique")</f>
        <v>Unique</v>
      </c>
      <c r="P343" s="2" t="str">
        <f aca="false">IF(L343="","MISSING","OK")</f>
        <v>OK</v>
      </c>
      <c r="Q343" s="2" t="str">
        <f aca="false">IF(ISNUMBER(B343),"OK","BAD DATE")</f>
        <v>OK</v>
      </c>
      <c r="R343" s="2" t="str">
        <f aca="false">IF(ROUND(F343,2)=F343,"OK","FIX")</f>
        <v>OK</v>
      </c>
    </row>
    <row r="344" customFormat="false" ht="15" hidden="false" customHeight="false" outlineLevel="0" collapsed="false">
      <c r="A344" s="2" t="s">
        <v>1354</v>
      </c>
      <c r="B344" s="3" t="n">
        <v>45832</v>
      </c>
      <c r="C344" s="2" t="s">
        <v>1355</v>
      </c>
      <c r="D344" s="2" t="s">
        <v>20</v>
      </c>
      <c r="E344" s="2" t="n">
        <v>5</v>
      </c>
      <c r="F344" s="4" t="n">
        <v>466.42</v>
      </c>
      <c r="G344" s="2" t="s">
        <v>1356</v>
      </c>
      <c r="H344" s="2" t="s">
        <v>64</v>
      </c>
      <c r="I344" s="2" t="s">
        <v>47</v>
      </c>
      <c r="J344" s="2" t="s">
        <v>1357</v>
      </c>
      <c r="K344" s="2" t="n">
        <v>5</v>
      </c>
      <c r="L344" s="2"/>
      <c r="M344" s="2" t="s">
        <v>33</v>
      </c>
      <c r="N344" s="4" t="n">
        <v>2332.1</v>
      </c>
      <c r="O344" s="2" t="str">
        <f aca="false">IF(COUNTIF($A$2:$A$1201,A344)&gt;1,"DUPLICATE","Unique")</f>
        <v>Unique</v>
      </c>
      <c r="P344" s="2" t="str">
        <f aca="false">IF(L344="","MISSING","OK")</f>
        <v>MISSING</v>
      </c>
      <c r="Q344" s="2" t="str">
        <f aca="false">IF(ISNUMBER(B344),"OK","BAD DATE")</f>
        <v>OK</v>
      </c>
      <c r="R344" s="2" t="str">
        <f aca="false">IF(ROUND(F344,2)=F344,"OK","FIX")</f>
        <v>OK</v>
      </c>
    </row>
    <row r="345" customFormat="false" ht="15" hidden="false" customHeight="false" outlineLevel="0" collapsed="false">
      <c r="A345" s="2" t="s">
        <v>1358</v>
      </c>
      <c r="B345" s="3" t="n">
        <v>44983</v>
      </c>
      <c r="C345" s="2" t="s">
        <v>1359</v>
      </c>
      <c r="D345" s="2" t="s">
        <v>52</v>
      </c>
      <c r="E345" s="2" t="n">
        <v>1</v>
      </c>
      <c r="F345" s="4" t="n">
        <v>527.57</v>
      </c>
      <c r="G345" s="2" t="s">
        <v>1360</v>
      </c>
      <c r="H345" s="2" t="s">
        <v>22</v>
      </c>
      <c r="I345" s="2" t="s">
        <v>93</v>
      </c>
      <c r="J345" s="2" t="s">
        <v>1361</v>
      </c>
      <c r="K345" s="2" t="n">
        <v>3</v>
      </c>
      <c r="L345" s="2" t="s">
        <v>41</v>
      </c>
      <c r="M345" s="2" t="s">
        <v>49</v>
      </c>
      <c r="N345" s="4" t="n">
        <v>527.57</v>
      </c>
      <c r="O345" s="2" t="str">
        <f aca="false">IF(COUNTIF($A$2:$A$1201,A345)&gt;1,"DUPLICATE","Unique")</f>
        <v>Unique</v>
      </c>
      <c r="P345" s="2" t="str">
        <f aca="false">IF(L345="","MISSING","OK")</f>
        <v>OK</v>
      </c>
      <c r="Q345" s="2" t="str">
        <f aca="false">IF(ISNUMBER(B345),"OK","BAD DATE")</f>
        <v>OK</v>
      </c>
      <c r="R345" s="2" t="str">
        <f aca="false">IF(ROUND(F345,2)=F345,"OK","FIX")</f>
        <v>OK</v>
      </c>
    </row>
    <row r="346" customFormat="false" ht="15" hidden="false" customHeight="false" outlineLevel="0" collapsed="false">
      <c r="A346" s="2" t="s">
        <v>1362</v>
      </c>
      <c r="B346" s="3" t="n">
        <v>45722</v>
      </c>
      <c r="C346" s="2" t="s">
        <v>1363</v>
      </c>
      <c r="D346" s="2" t="s">
        <v>36</v>
      </c>
      <c r="E346" s="2" t="n">
        <v>3</v>
      </c>
      <c r="F346" s="4" t="n">
        <v>623.34</v>
      </c>
      <c r="G346" s="2" t="s">
        <v>1364</v>
      </c>
      <c r="H346" s="2" t="s">
        <v>31</v>
      </c>
      <c r="I346" s="2" t="s">
        <v>39</v>
      </c>
      <c r="J346" s="2" t="s">
        <v>1365</v>
      </c>
      <c r="K346" s="2" t="n">
        <v>3</v>
      </c>
      <c r="L346" s="2" t="s">
        <v>25</v>
      </c>
      <c r="M346" s="2" t="s">
        <v>26</v>
      </c>
      <c r="N346" s="4" t="n">
        <v>1870.02</v>
      </c>
      <c r="O346" s="2" t="str">
        <f aca="false">IF(COUNTIF($A$2:$A$1201,A346)&gt;1,"DUPLICATE","Unique")</f>
        <v>Unique</v>
      </c>
      <c r="P346" s="2" t="str">
        <f aca="false">IF(L346="","MISSING","OK")</f>
        <v>OK</v>
      </c>
      <c r="Q346" s="2" t="str">
        <f aca="false">IF(ISNUMBER(B346),"OK","BAD DATE")</f>
        <v>OK</v>
      </c>
      <c r="R346" s="2" t="str">
        <f aca="false">IF(ROUND(F346,2)=F346,"OK","FIX")</f>
        <v>OK</v>
      </c>
    </row>
    <row r="347" customFormat="false" ht="15" hidden="false" customHeight="false" outlineLevel="0" collapsed="false">
      <c r="A347" s="2" t="s">
        <v>1366</v>
      </c>
      <c r="B347" s="3" t="n">
        <v>45267</v>
      </c>
      <c r="C347" s="2" t="s">
        <v>1367</v>
      </c>
      <c r="D347" s="2" t="s">
        <v>36</v>
      </c>
      <c r="E347" s="2" t="n">
        <v>5</v>
      </c>
      <c r="F347" s="4" t="n">
        <v>501.26</v>
      </c>
      <c r="G347" s="2" t="s">
        <v>1368</v>
      </c>
      <c r="H347" s="2" t="s">
        <v>64</v>
      </c>
      <c r="I347" s="2" t="s">
        <v>23</v>
      </c>
      <c r="J347" s="2" t="s">
        <v>1369</v>
      </c>
      <c r="K347" s="2" t="n">
        <v>10</v>
      </c>
      <c r="L347" s="2" t="s">
        <v>41</v>
      </c>
      <c r="M347" s="2" t="s">
        <v>33</v>
      </c>
      <c r="N347" s="4" t="n">
        <v>2506.3</v>
      </c>
      <c r="O347" s="2" t="str">
        <f aca="false">IF(COUNTIF($A$2:$A$1201,A347)&gt;1,"DUPLICATE","Unique")</f>
        <v>Unique</v>
      </c>
      <c r="P347" s="2" t="str">
        <f aca="false">IF(L347="","MISSING","OK")</f>
        <v>OK</v>
      </c>
      <c r="Q347" s="2" t="str">
        <f aca="false">IF(ISNUMBER(B347),"OK","BAD DATE")</f>
        <v>OK</v>
      </c>
      <c r="R347" s="2" t="str">
        <f aca="false">IF(ROUND(F347,2)=F347,"OK","FIX")</f>
        <v>OK</v>
      </c>
    </row>
    <row r="348" customFormat="false" ht="15" hidden="false" customHeight="false" outlineLevel="0" collapsed="false">
      <c r="A348" s="2" t="s">
        <v>1370</v>
      </c>
      <c r="B348" s="3" t="n">
        <v>45632</v>
      </c>
      <c r="C348" s="2" t="s">
        <v>1371</v>
      </c>
      <c r="D348" s="2" t="s">
        <v>36</v>
      </c>
      <c r="E348" s="2" t="n">
        <v>1</v>
      </c>
      <c r="F348" s="4" t="n">
        <v>655.09</v>
      </c>
      <c r="G348" s="2" t="s">
        <v>1372</v>
      </c>
      <c r="H348" s="2" t="s">
        <v>69</v>
      </c>
      <c r="I348" s="2" t="s">
        <v>93</v>
      </c>
      <c r="J348" s="2" t="s">
        <v>1373</v>
      </c>
      <c r="K348" s="2" t="n">
        <v>6</v>
      </c>
      <c r="L348" s="2"/>
      <c r="M348" s="2" t="s">
        <v>33</v>
      </c>
      <c r="N348" s="4" t="n">
        <v>655.09</v>
      </c>
      <c r="O348" s="2" t="str">
        <f aca="false">IF(COUNTIF($A$2:$A$1201,A348)&gt;1,"DUPLICATE","Unique")</f>
        <v>Unique</v>
      </c>
      <c r="P348" s="2" t="str">
        <f aca="false">IF(L348="","MISSING","OK")</f>
        <v>MISSING</v>
      </c>
      <c r="Q348" s="2" t="str">
        <f aca="false">IF(ISNUMBER(B348),"OK","BAD DATE")</f>
        <v>OK</v>
      </c>
      <c r="R348" s="2" t="str">
        <f aca="false">IF(ROUND(F348,2)=F348,"OK","FIX")</f>
        <v>OK</v>
      </c>
    </row>
    <row r="349" customFormat="false" ht="15" hidden="false" customHeight="false" outlineLevel="0" collapsed="false">
      <c r="A349" s="2" t="s">
        <v>1374</v>
      </c>
      <c r="B349" s="3" t="n">
        <v>45325</v>
      </c>
      <c r="C349" s="2" t="s">
        <v>1375</v>
      </c>
      <c r="D349" s="2" t="s">
        <v>52</v>
      </c>
      <c r="E349" s="2" t="n">
        <v>4</v>
      </c>
      <c r="F349" s="4" t="n">
        <v>264.79</v>
      </c>
      <c r="G349" s="2" t="s">
        <v>1376</v>
      </c>
      <c r="H349" s="2" t="s">
        <v>38</v>
      </c>
      <c r="I349" s="2" t="s">
        <v>93</v>
      </c>
      <c r="J349" s="2" t="s">
        <v>1377</v>
      </c>
      <c r="K349" s="2" t="n">
        <v>5</v>
      </c>
      <c r="L349" s="2" t="s">
        <v>25</v>
      </c>
      <c r="M349" s="2" t="s">
        <v>80</v>
      </c>
      <c r="N349" s="4" t="n">
        <v>1059.16</v>
      </c>
      <c r="O349" s="2" t="str">
        <f aca="false">IF(COUNTIF($A$2:$A$1201,A349)&gt;1,"DUPLICATE","Unique")</f>
        <v>Unique</v>
      </c>
      <c r="P349" s="2" t="str">
        <f aca="false">IF(L349="","MISSING","OK")</f>
        <v>OK</v>
      </c>
      <c r="Q349" s="2" t="str">
        <f aca="false">IF(ISNUMBER(B349),"OK","BAD DATE")</f>
        <v>OK</v>
      </c>
      <c r="R349" s="2" t="str">
        <f aca="false">IF(ROUND(F349,2)=F349,"OK","FIX")</f>
        <v>OK</v>
      </c>
    </row>
    <row r="350" customFormat="false" ht="15" hidden="false" customHeight="false" outlineLevel="0" collapsed="false">
      <c r="A350" s="2" t="s">
        <v>1378</v>
      </c>
      <c r="B350" s="3" t="n">
        <v>45364</v>
      </c>
      <c r="C350" s="2" t="s">
        <v>1379</v>
      </c>
      <c r="D350" s="2" t="s">
        <v>62</v>
      </c>
      <c r="E350" s="2" t="n">
        <v>3</v>
      </c>
      <c r="F350" s="4" t="n">
        <v>359.73</v>
      </c>
      <c r="G350" s="2" t="s">
        <v>1380</v>
      </c>
      <c r="H350" s="2" t="s">
        <v>22</v>
      </c>
      <c r="I350" s="2" t="s">
        <v>47</v>
      </c>
      <c r="J350" s="2" t="s">
        <v>1381</v>
      </c>
      <c r="K350" s="2" t="n">
        <v>7</v>
      </c>
      <c r="L350" s="2" t="s">
        <v>41</v>
      </c>
      <c r="M350" s="2" t="s">
        <v>42</v>
      </c>
      <c r="N350" s="4" t="n">
        <v>1079.19</v>
      </c>
      <c r="O350" s="2" t="str">
        <f aca="false">IF(COUNTIF($A$2:$A$1201,A350)&gt;1,"DUPLICATE","Unique")</f>
        <v>Unique</v>
      </c>
      <c r="P350" s="2" t="str">
        <f aca="false">IF(L350="","MISSING","OK")</f>
        <v>OK</v>
      </c>
      <c r="Q350" s="2" t="str">
        <f aca="false">IF(ISNUMBER(B350),"OK","BAD DATE")</f>
        <v>OK</v>
      </c>
      <c r="R350" s="2" t="str">
        <f aca="false">IF(ROUND(F350,2)=F350,"OK","FIX")</f>
        <v>OK</v>
      </c>
    </row>
    <row r="351" customFormat="false" ht="15" hidden="false" customHeight="false" outlineLevel="0" collapsed="false">
      <c r="A351" s="2" t="s">
        <v>1382</v>
      </c>
      <c r="B351" s="3" t="n">
        <v>45260</v>
      </c>
      <c r="C351" s="2" t="s">
        <v>1383</v>
      </c>
      <c r="D351" s="2" t="s">
        <v>45</v>
      </c>
      <c r="E351" s="2" t="n">
        <v>1</v>
      </c>
      <c r="F351" s="4" t="n">
        <v>465.33</v>
      </c>
      <c r="G351" s="2" t="s">
        <v>1384</v>
      </c>
      <c r="H351" s="2" t="s">
        <v>64</v>
      </c>
      <c r="I351" s="2" t="s">
        <v>54</v>
      </c>
      <c r="J351" s="2" t="s">
        <v>1385</v>
      </c>
      <c r="K351" s="2" t="n">
        <v>2</v>
      </c>
      <c r="L351" s="2" t="s">
        <v>41</v>
      </c>
      <c r="M351" s="2" t="s">
        <v>80</v>
      </c>
      <c r="N351" s="4" t="n">
        <v>465.33</v>
      </c>
      <c r="O351" s="2" t="str">
        <f aca="false">IF(COUNTIF($A$2:$A$1201,A351)&gt;1,"DUPLICATE","Unique")</f>
        <v>Unique</v>
      </c>
      <c r="P351" s="2" t="str">
        <f aca="false">IF(L351="","MISSING","OK")</f>
        <v>OK</v>
      </c>
      <c r="Q351" s="2" t="str">
        <f aca="false">IF(ISNUMBER(B351),"OK","BAD DATE")</f>
        <v>OK</v>
      </c>
      <c r="R351" s="2" t="str">
        <f aca="false">IF(ROUND(F351,2)=F351,"OK","FIX")</f>
        <v>OK</v>
      </c>
    </row>
    <row r="352" customFormat="false" ht="15" hidden="false" customHeight="false" outlineLevel="0" collapsed="false">
      <c r="A352" s="2" t="s">
        <v>1386</v>
      </c>
      <c r="B352" s="3" t="n">
        <v>45080</v>
      </c>
      <c r="C352" s="2" t="s">
        <v>1387</v>
      </c>
      <c r="D352" s="2" t="s">
        <v>45</v>
      </c>
      <c r="E352" s="2" t="n">
        <v>2</v>
      </c>
      <c r="F352" s="4" t="n">
        <v>54.41</v>
      </c>
      <c r="G352" s="2" t="s">
        <v>1388</v>
      </c>
      <c r="H352" s="2" t="s">
        <v>31</v>
      </c>
      <c r="I352" s="2" t="s">
        <v>23</v>
      </c>
      <c r="J352" s="2" t="s">
        <v>1389</v>
      </c>
      <c r="K352" s="2" t="n">
        <v>6</v>
      </c>
      <c r="L352" s="2"/>
      <c r="M352" s="2" t="s">
        <v>26</v>
      </c>
      <c r="N352" s="4" t="n">
        <v>108.82</v>
      </c>
      <c r="O352" s="2" t="str">
        <f aca="false">IF(COUNTIF($A$2:$A$1201,A352)&gt;1,"DUPLICATE","Unique")</f>
        <v>Unique</v>
      </c>
      <c r="P352" s="2" t="str">
        <f aca="false">IF(L352="","MISSING","OK")</f>
        <v>MISSING</v>
      </c>
      <c r="Q352" s="2" t="str">
        <f aca="false">IF(ISNUMBER(B352),"OK","BAD DATE")</f>
        <v>OK</v>
      </c>
      <c r="R352" s="2" t="str">
        <f aca="false">IF(ROUND(F352,2)=F352,"OK","FIX")</f>
        <v>OK</v>
      </c>
    </row>
    <row r="353" customFormat="false" ht="15" hidden="false" customHeight="false" outlineLevel="0" collapsed="false">
      <c r="A353" s="2" t="s">
        <v>1390</v>
      </c>
      <c r="B353" s="3" t="n">
        <v>45703</v>
      </c>
      <c r="C353" s="2" t="s">
        <v>1391</v>
      </c>
      <c r="D353" s="2" t="s">
        <v>62</v>
      </c>
      <c r="E353" s="2" t="n">
        <v>1</v>
      </c>
      <c r="F353" s="4" t="n">
        <v>64.66</v>
      </c>
      <c r="G353" s="2" t="s">
        <v>1392</v>
      </c>
      <c r="H353" s="2" t="s">
        <v>22</v>
      </c>
      <c r="I353" s="2" t="s">
        <v>54</v>
      </c>
      <c r="J353" s="2" t="s">
        <v>1393</v>
      </c>
      <c r="K353" s="2" t="n">
        <v>4</v>
      </c>
      <c r="L353" s="2"/>
      <c r="M353" s="2" t="s">
        <v>26</v>
      </c>
      <c r="N353" s="4" t="n">
        <v>64.66</v>
      </c>
      <c r="O353" s="2" t="str">
        <f aca="false">IF(COUNTIF($A$2:$A$1201,A353)&gt;1,"DUPLICATE","Unique")</f>
        <v>Unique</v>
      </c>
      <c r="P353" s="2" t="str">
        <f aca="false">IF(L353="","MISSING","OK")</f>
        <v>MISSING</v>
      </c>
      <c r="Q353" s="2" t="str">
        <f aca="false">IF(ISNUMBER(B353),"OK","BAD DATE")</f>
        <v>OK</v>
      </c>
      <c r="R353" s="2" t="str">
        <f aca="false">IF(ROUND(F353,2)=F353,"OK","FIX")</f>
        <v>OK</v>
      </c>
    </row>
    <row r="354" customFormat="false" ht="15" hidden="false" customHeight="false" outlineLevel="0" collapsed="false">
      <c r="A354" s="2" t="s">
        <v>1394</v>
      </c>
      <c r="B354" s="3" t="n">
        <v>45169</v>
      </c>
      <c r="C354" s="2" t="s">
        <v>1395</v>
      </c>
      <c r="D354" s="2" t="s">
        <v>45</v>
      </c>
      <c r="E354" s="2" t="n">
        <v>5</v>
      </c>
      <c r="F354" s="4" t="n">
        <v>173.96</v>
      </c>
      <c r="G354" s="2" t="s">
        <v>1396</v>
      </c>
      <c r="H354" s="2" t="s">
        <v>22</v>
      </c>
      <c r="I354" s="2" t="s">
        <v>93</v>
      </c>
      <c r="J354" s="2" t="s">
        <v>1397</v>
      </c>
      <c r="K354" s="2" t="n">
        <v>8</v>
      </c>
      <c r="L354" s="2" t="s">
        <v>85</v>
      </c>
      <c r="M354" s="2" t="s">
        <v>26</v>
      </c>
      <c r="N354" s="4" t="n">
        <v>869.8</v>
      </c>
      <c r="O354" s="2" t="str">
        <f aca="false">IF(COUNTIF($A$2:$A$1201,A354)&gt;1,"DUPLICATE","Unique")</f>
        <v>Unique</v>
      </c>
      <c r="P354" s="2" t="str">
        <f aca="false">IF(L354="","MISSING","OK")</f>
        <v>OK</v>
      </c>
      <c r="Q354" s="2" t="str">
        <f aca="false">IF(ISNUMBER(B354),"OK","BAD DATE")</f>
        <v>OK</v>
      </c>
      <c r="R354" s="2" t="str">
        <f aca="false">IF(ROUND(F354,2)=F354,"OK","FIX")</f>
        <v>OK</v>
      </c>
    </row>
    <row r="355" customFormat="false" ht="15" hidden="false" customHeight="false" outlineLevel="0" collapsed="false">
      <c r="A355" s="2" t="s">
        <v>1398</v>
      </c>
      <c r="B355" s="3" t="n">
        <v>45744</v>
      </c>
      <c r="C355" s="2" t="s">
        <v>1399</v>
      </c>
      <c r="D355" s="2" t="s">
        <v>36</v>
      </c>
      <c r="E355" s="2" t="n">
        <v>1</v>
      </c>
      <c r="F355" s="4" t="n">
        <v>630.82</v>
      </c>
      <c r="G355" s="2" t="s">
        <v>1400</v>
      </c>
      <c r="H355" s="2" t="s">
        <v>31</v>
      </c>
      <c r="I355" s="2" t="s">
        <v>54</v>
      </c>
      <c r="J355" s="2" t="s">
        <v>1401</v>
      </c>
      <c r="K355" s="2" t="n">
        <v>5</v>
      </c>
      <c r="L355" s="2" t="s">
        <v>41</v>
      </c>
      <c r="M355" s="2" t="s">
        <v>80</v>
      </c>
      <c r="N355" s="4" t="n">
        <v>630.82</v>
      </c>
      <c r="O355" s="2" t="str">
        <f aca="false">IF(COUNTIF($A$2:$A$1201,A355)&gt;1,"DUPLICATE","Unique")</f>
        <v>Unique</v>
      </c>
      <c r="P355" s="2" t="str">
        <f aca="false">IF(L355="","MISSING","OK")</f>
        <v>OK</v>
      </c>
      <c r="Q355" s="2" t="str">
        <f aca="false">IF(ISNUMBER(B355),"OK","BAD DATE")</f>
        <v>OK</v>
      </c>
      <c r="R355" s="2" t="str">
        <f aca="false">IF(ROUND(F355,2)=F355,"OK","FIX")</f>
        <v>OK</v>
      </c>
    </row>
    <row r="356" customFormat="false" ht="15" hidden="false" customHeight="false" outlineLevel="0" collapsed="false">
      <c r="A356" s="2" t="s">
        <v>1402</v>
      </c>
      <c r="B356" s="3" t="n">
        <v>45118</v>
      </c>
      <c r="C356" s="2" t="s">
        <v>1403</v>
      </c>
      <c r="D356" s="2" t="s">
        <v>29</v>
      </c>
      <c r="E356" s="2" t="n">
        <v>1</v>
      </c>
      <c r="F356" s="4" t="n">
        <v>693.41</v>
      </c>
      <c r="G356" s="2" t="s">
        <v>1404</v>
      </c>
      <c r="H356" s="2" t="s">
        <v>22</v>
      </c>
      <c r="I356" s="2" t="s">
        <v>23</v>
      </c>
      <c r="J356" s="2" t="s">
        <v>1405</v>
      </c>
      <c r="K356" s="2" t="n">
        <v>4</v>
      </c>
      <c r="L356" s="2"/>
      <c r="M356" s="2" t="s">
        <v>26</v>
      </c>
      <c r="N356" s="4" t="n">
        <v>693.41</v>
      </c>
      <c r="O356" s="2" t="str">
        <f aca="false">IF(COUNTIF($A$2:$A$1201,A356)&gt;1,"DUPLICATE","Unique")</f>
        <v>Unique</v>
      </c>
      <c r="P356" s="2" t="str">
        <f aca="false">IF(L356="","MISSING","OK")</f>
        <v>MISSING</v>
      </c>
      <c r="Q356" s="2" t="str">
        <f aca="false">IF(ISNUMBER(B356),"OK","BAD DATE")</f>
        <v>OK</v>
      </c>
      <c r="R356" s="2" t="str">
        <f aca="false">IF(ROUND(F356,2)=F356,"OK","FIX")</f>
        <v>OK</v>
      </c>
    </row>
    <row r="357" customFormat="false" ht="15" hidden="false" customHeight="false" outlineLevel="0" collapsed="false">
      <c r="A357" s="2" t="s">
        <v>1406</v>
      </c>
      <c r="B357" s="3" t="n">
        <v>45811</v>
      </c>
      <c r="C357" s="2" t="s">
        <v>1407</v>
      </c>
      <c r="D357" s="2" t="s">
        <v>36</v>
      </c>
      <c r="E357" s="2" t="n">
        <v>3</v>
      </c>
      <c r="F357" s="4" t="n">
        <v>433.33</v>
      </c>
      <c r="G357" s="2" t="s">
        <v>1408</v>
      </c>
      <c r="H357" s="2" t="s">
        <v>38</v>
      </c>
      <c r="I357" s="2" t="s">
        <v>39</v>
      </c>
      <c r="J357" s="2" t="s">
        <v>1409</v>
      </c>
      <c r="K357" s="2" t="n">
        <v>4</v>
      </c>
      <c r="L357" s="2" t="s">
        <v>41</v>
      </c>
      <c r="M357" s="2" t="s">
        <v>33</v>
      </c>
      <c r="N357" s="4" t="n">
        <v>1299.99</v>
      </c>
      <c r="O357" s="2" t="str">
        <f aca="false">IF(COUNTIF($A$2:$A$1201,A357)&gt;1,"DUPLICATE","Unique")</f>
        <v>Unique</v>
      </c>
      <c r="P357" s="2" t="str">
        <f aca="false">IF(L357="","MISSING","OK")</f>
        <v>OK</v>
      </c>
      <c r="Q357" s="2" t="str">
        <f aca="false">IF(ISNUMBER(B357),"OK","BAD DATE")</f>
        <v>OK</v>
      </c>
      <c r="R357" s="2" t="str">
        <f aca="false">IF(ROUND(F357,2)=F357,"OK","FIX")</f>
        <v>OK</v>
      </c>
    </row>
    <row r="358" customFormat="false" ht="15" hidden="false" customHeight="false" outlineLevel="0" collapsed="false">
      <c r="A358" s="2" t="s">
        <v>1410</v>
      </c>
      <c r="B358" s="3" t="n">
        <v>45052</v>
      </c>
      <c r="C358" s="2" t="s">
        <v>1411</v>
      </c>
      <c r="D358" s="2" t="s">
        <v>52</v>
      </c>
      <c r="E358" s="2" t="n">
        <v>5</v>
      </c>
      <c r="F358" s="4" t="n">
        <v>374.58</v>
      </c>
      <c r="G358" s="2" t="s">
        <v>1412</v>
      </c>
      <c r="H358" s="2" t="s">
        <v>64</v>
      </c>
      <c r="I358" s="2" t="s">
        <v>39</v>
      </c>
      <c r="J358" s="2" t="s">
        <v>1413</v>
      </c>
      <c r="K358" s="2" t="n">
        <v>10</v>
      </c>
      <c r="L358" s="2" t="s">
        <v>41</v>
      </c>
      <c r="M358" s="2" t="s">
        <v>26</v>
      </c>
      <c r="N358" s="4" t="n">
        <v>1872.9</v>
      </c>
      <c r="O358" s="2" t="str">
        <f aca="false">IF(COUNTIF($A$2:$A$1201,A358)&gt;1,"DUPLICATE","Unique")</f>
        <v>Unique</v>
      </c>
      <c r="P358" s="2" t="str">
        <f aca="false">IF(L358="","MISSING","OK")</f>
        <v>OK</v>
      </c>
      <c r="Q358" s="2" t="str">
        <f aca="false">IF(ISNUMBER(B358),"OK","BAD DATE")</f>
        <v>OK</v>
      </c>
      <c r="R358" s="2" t="str">
        <f aca="false">IF(ROUND(F358,2)=F358,"OK","FIX")</f>
        <v>OK</v>
      </c>
    </row>
    <row r="359" customFormat="false" ht="15" hidden="false" customHeight="false" outlineLevel="0" collapsed="false">
      <c r="A359" s="2" t="s">
        <v>1414</v>
      </c>
      <c r="B359" s="3" t="n">
        <v>45115</v>
      </c>
      <c r="C359" s="2" t="s">
        <v>1415</v>
      </c>
      <c r="D359" s="2" t="s">
        <v>62</v>
      </c>
      <c r="E359" s="2" t="n">
        <v>5</v>
      </c>
      <c r="F359" s="4" t="n">
        <v>408.56</v>
      </c>
      <c r="G359" s="2" t="s">
        <v>1344</v>
      </c>
      <c r="H359" s="2" t="s">
        <v>22</v>
      </c>
      <c r="I359" s="2" t="s">
        <v>54</v>
      </c>
      <c r="J359" s="2" t="s">
        <v>1416</v>
      </c>
      <c r="K359" s="2" t="n">
        <v>8</v>
      </c>
      <c r="L359" s="2" t="s">
        <v>41</v>
      </c>
      <c r="M359" s="2" t="s">
        <v>26</v>
      </c>
      <c r="N359" s="4" t="n">
        <v>2042.8</v>
      </c>
      <c r="O359" s="2" t="str">
        <f aca="false">IF(COUNTIF($A$2:$A$1201,A359)&gt;1,"DUPLICATE","Unique")</f>
        <v>Unique</v>
      </c>
      <c r="P359" s="2" t="str">
        <f aca="false">IF(L359="","MISSING","OK")</f>
        <v>OK</v>
      </c>
      <c r="Q359" s="2" t="str">
        <f aca="false">IF(ISNUMBER(B359),"OK","BAD DATE")</f>
        <v>OK</v>
      </c>
      <c r="R359" s="2" t="str">
        <f aca="false">IF(ROUND(F359,2)=F359,"OK","FIX")</f>
        <v>OK</v>
      </c>
    </row>
    <row r="360" customFormat="false" ht="15" hidden="false" customHeight="false" outlineLevel="0" collapsed="false">
      <c r="A360" s="2" t="s">
        <v>1417</v>
      </c>
      <c r="B360" s="3" t="n">
        <v>45389</v>
      </c>
      <c r="C360" s="2" t="s">
        <v>1418</v>
      </c>
      <c r="D360" s="2" t="s">
        <v>36</v>
      </c>
      <c r="E360" s="2" t="n">
        <v>2</v>
      </c>
      <c r="F360" s="4" t="n">
        <v>183.67</v>
      </c>
      <c r="G360" s="2" t="s">
        <v>1419</v>
      </c>
      <c r="H360" s="2" t="s">
        <v>31</v>
      </c>
      <c r="I360" s="2" t="s">
        <v>39</v>
      </c>
      <c r="J360" s="2" t="s">
        <v>1420</v>
      </c>
      <c r="K360" s="2" t="n">
        <v>3</v>
      </c>
      <c r="L360" s="2" t="s">
        <v>25</v>
      </c>
      <c r="M360" s="2" t="s">
        <v>80</v>
      </c>
      <c r="N360" s="4" t="n">
        <v>367.34</v>
      </c>
      <c r="O360" s="2" t="str">
        <f aca="false">IF(COUNTIF($A$2:$A$1201,A360)&gt;1,"DUPLICATE","Unique")</f>
        <v>Unique</v>
      </c>
      <c r="P360" s="2" t="str">
        <f aca="false">IF(L360="","MISSING","OK")</f>
        <v>OK</v>
      </c>
      <c r="Q360" s="2" t="str">
        <f aca="false">IF(ISNUMBER(B360),"OK","BAD DATE")</f>
        <v>OK</v>
      </c>
      <c r="R360" s="2" t="str">
        <f aca="false">IF(ROUND(F360,2)=F360,"OK","FIX")</f>
        <v>OK</v>
      </c>
    </row>
    <row r="361" customFormat="false" ht="15" hidden="false" customHeight="false" outlineLevel="0" collapsed="false">
      <c r="A361" s="2" t="s">
        <v>1421</v>
      </c>
      <c r="B361" s="3" t="n">
        <v>45086</v>
      </c>
      <c r="C361" s="2" t="s">
        <v>1422</v>
      </c>
      <c r="D361" s="2" t="s">
        <v>77</v>
      </c>
      <c r="E361" s="2" t="n">
        <v>4</v>
      </c>
      <c r="F361" s="4" t="n">
        <v>606.57</v>
      </c>
      <c r="G361" s="2" t="s">
        <v>1423</v>
      </c>
      <c r="H361" s="2" t="s">
        <v>22</v>
      </c>
      <c r="I361" s="2" t="s">
        <v>54</v>
      </c>
      <c r="J361" s="2" t="s">
        <v>1424</v>
      </c>
      <c r="K361" s="2" t="n">
        <v>5</v>
      </c>
      <c r="L361" s="2" t="s">
        <v>85</v>
      </c>
      <c r="M361" s="2" t="s">
        <v>33</v>
      </c>
      <c r="N361" s="4" t="n">
        <v>2426.28</v>
      </c>
      <c r="O361" s="2" t="str">
        <f aca="false">IF(COUNTIF($A$2:$A$1201,A361)&gt;1,"DUPLICATE","Unique")</f>
        <v>Unique</v>
      </c>
      <c r="P361" s="2" t="str">
        <f aca="false">IF(L361="","MISSING","OK")</f>
        <v>OK</v>
      </c>
      <c r="Q361" s="2" t="str">
        <f aca="false">IF(ISNUMBER(B361),"OK","BAD DATE")</f>
        <v>OK</v>
      </c>
      <c r="R361" s="2" t="str">
        <f aca="false">IF(ROUND(F361,2)=F361,"OK","FIX")</f>
        <v>OK</v>
      </c>
    </row>
    <row r="362" customFormat="false" ht="15" hidden="false" customHeight="false" outlineLevel="0" collapsed="false">
      <c r="A362" s="2" t="s">
        <v>1425</v>
      </c>
      <c r="B362" s="3" t="n">
        <v>45449</v>
      </c>
      <c r="C362" s="2" t="s">
        <v>1426</v>
      </c>
      <c r="D362" s="2" t="s">
        <v>29</v>
      </c>
      <c r="E362" s="2" t="n">
        <v>4</v>
      </c>
      <c r="F362" s="4" t="n">
        <v>589.57</v>
      </c>
      <c r="G362" s="2" t="s">
        <v>1427</v>
      </c>
      <c r="H362" s="2" t="s">
        <v>69</v>
      </c>
      <c r="I362" s="2" t="s">
        <v>93</v>
      </c>
      <c r="J362" s="2" t="s">
        <v>1428</v>
      </c>
      <c r="K362" s="2" t="n">
        <v>8</v>
      </c>
      <c r="L362" s="2"/>
      <c r="M362" s="2" t="s">
        <v>26</v>
      </c>
      <c r="N362" s="4" t="n">
        <v>2358.28</v>
      </c>
      <c r="O362" s="2" t="str">
        <f aca="false">IF(COUNTIF($A$2:$A$1201,A362)&gt;1,"DUPLICATE","Unique")</f>
        <v>Unique</v>
      </c>
      <c r="P362" s="2" t="str">
        <f aca="false">IF(L362="","MISSING","OK")</f>
        <v>MISSING</v>
      </c>
      <c r="Q362" s="2" t="str">
        <f aca="false">IF(ISNUMBER(B362),"OK","BAD DATE")</f>
        <v>OK</v>
      </c>
      <c r="R362" s="2" t="str">
        <f aca="false">IF(ROUND(F362,2)=F362,"OK","FIX")</f>
        <v>OK</v>
      </c>
    </row>
    <row r="363" customFormat="false" ht="15" hidden="false" customHeight="false" outlineLevel="0" collapsed="false">
      <c r="A363" s="2" t="s">
        <v>1429</v>
      </c>
      <c r="B363" s="3" t="n">
        <v>45472</v>
      </c>
      <c r="C363" s="2" t="s">
        <v>1430</v>
      </c>
      <c r="D363" s="2" t="s">
        <v>52</v>
      </c>
      <c r="E363" s="2" t="n">
        <v>5</v>
      </c>
      <c r="F363" s="4" t="n">
        <v>659.85</v>
      </c>
      <c r="G363" s="2" t="s">
        <v>1431</v>
      </c>
      <c r="H363" s="2" t="s">
        <v>38</v>
      </c>
      <c r="I363" s="2" t="s">
        <v>54</v>
      </c>
      <c r="J363" s="2" t="s">
        <v>1432</v>
      </c>
      <c r="K363" s="2" t="n">
        <v>9</v>
      </c>
      <c r="L363" s="2" t="s">
        <v>25</v>
      </c>
      <c r="M363" s="2" t="s">
        <v>49</v>
      </c>
      <c r="N363" s="4" t="n">
        <v>3299.25</v>
      </c>
      <c r="O363" s="2" t="str">
        <f aca="false">IF(COUNTIF($A$2:$A$1201,A363)&gt;1,"DUPLICATE","Unique")</f>
        <v>Unique</v>
      </c>
      <c r="P363" s="2" t="str">
        <f aca="false">IF(L363="","MISSING","OK")</f>
        <v>OK</v>
      </c>
      <c r="Q363" s="2" t="str">
        <f aca="false">IF(ISNUMBER(B363),"OK","BAD DATE")</f>
        <v>OK</v>
      </c>
      <c r="R363" s="2" t="str">
        <f aca="false">IF(ROUND(F363,2)=F363,"OK","FIX")</f>
        <v>OK</v>
      </c>
    </row>
    <row r="364" customFormat="false" ht="15" hidden="false" customHeight="false" outlineLevel="0" collapsed="false">
      <c r="A364" s="2" t="s">
        <v>1433</v>
      </c>
      <c r="B364" s="3" t="n">
        <v>45104</v>
      </c>
      <c r="C364" s="2" t="s">
        <v>1434</v>
      </c>
      <c r="D364" s="2" t="s">
        <v>20</v>
      </c>
      <c r="E364" s="2" t="n">
        <v>4</v>
      </c>
      <c r="F364" s="4" t="n">
        <v>206.84</v>
      </c>
      <c r="G364" s="2" t="s">
        <v>1435</v>
      </c>
      <c r="H364" s="2" t="s">
        <v>69</v>
      </c>
      <c r="I364" s="2" t="s">
        <v>39</v>
      </c>
      <c r="J364" s="2" t="s">
        <v>1436</v>
      </c>
      <c r="K364" s="2" t="n">
        <v>5</v>
      </c>
      <c r="L364" s="2" t="s">
        <v>85</v>
      </c>
      <c r="M364" s="2" t="s">
        <v>26</v>
      </c>
      <c r="N364" s="4" t="n">
        <v>827.36</v>
      </c>
      <c r="O364" s="2" t="str">
        <f aca="false">IF(COUNTIF($A$2:$A$1201,A364)&gt;1,"DUPLICATE","Unique")</f>
        <v>Unique</v>
      </c>
      <c r="P364" s="2" t="str">
        <f aca="false">IF(L364="","MISSING","OK")</f>
        <v>OK</v>
      </c>
      <c r="Q364" s="2" t="str">
        <f aca="false">IF(ISNUMBER(B364),"OK","BAD DATE")</f>
        <v>OK</v>
      </c>
      <c r="R364" s="2" t="str">
        <f aca="false">IF(ROUND(F364,2)=F364,"OK","FIX")</f>
        <v>OK</v>
      </c>
    </row>
    <row r="365" customFormat="false" ht="15" hidden="false" customHeight="false" outlineLevel="0" collapsed="false">
      <c r="A365" s="2" t="s">
        <v>1437</v>
      </c>
      <c r="B365" s="3" t="n">
        <v>45436</v>
      </c>
      <c r="C365" s="2" t="s">
        <v>1438</v>
      </c>
      <c r="D365" s="2" t="s">
        <v>62</v>
      </c>
      <c r="E365" s="2" t="n">
        <v>5</v>
      </c>
      <c r="F365" s="4" t="n">
        <v>113.87</v>
      </c>
      <c r="G365" s="2" t="s">
        <v>216</v>
      </c>
      <c r="H365" s="2" t="s">
        <v>38</v>
      </c>
      <c r="I365" s="2" t="s">
        <v>93</v>
      </c>
      <c r="J365" s="2" t="s">
        <v>1439</v>
      </c>
      <c r="K365" s="2" t="n">
        <v>6</v>
      </c>
      <c r="L365" s="2" t="s">
        <v>25</v>
      </c>
      <c r="M365" s="2" t="s">
        <v>42</v>
      </c>
      <c r="N365" s="4" t="n">
        <v>569.35</v>
      </c>
      <c r="O365" s="2" t="str">
        <f aca="false">IF(COUNTIF($A$2:$A$1201,A365)&gt;1,"DUPLICATE","Unique")</f>
        <v>Unique</v>
      </c>
      <c r="P365" s="2" t="str">
        <f aca="false">IF(L365="","MISSING","OK")</f>
        <v>OK</v>
      </c>
      <c r="Q365" s="2" t="str">
        <f aca="false">IF(ISNUMBER(B365),"OK","BAD DATE")</f>
        <v>OK</v>
      </c>
      <c r="R365" s="2" t="str">
        <f aca="false">IF(ROUND(F365,2)=F365,"OK","FIX")</f>
        <v>OK</v>
      </c>
    </row>
    <row r="366" customFormat="false" ht="15" hidden="false" customHeight="false" outlineLevel="0" collapsed="false">
      <c r="A366" s="2" t="s">
        <v>1440</v>
      </c>
      <c r="B366" s="3" t="n">
        <v>45254</v>
      </c>
      <c r="C366" s="2" t="s">
        <v>1441</v>
      </c>
      <c r="D366" s="2" t="s">
        <v>29</v>
      </c>
      <c r="E366" s="2" t="n">
        <v>5</v>
      </c>
      <c r="F366" s="4" t="n">
        <v>628.74</v>
      </c>
      <c r="G366" s="2" t="s">
        <v>1125</v>
      </c>
      <c r="H366" s="2" t="s">
        <v>69</v>
      </c>
      <c r="I366" s="2" t="s">
        <v>39</v>
      </c>
      <c r="J366" s="2" t="s">
        <v>1442</v>
      </c>
      <c r="K366" s="2" t="n">
        <v>9</v>
      </c>
      <c r="L366" s="2" t="s">
        <v>41</v>
      </c>
      <c r="M366" s="2" t="s">
        <v>49</v>
      </c>
      <c r="N366" s="4" t="n">
        <v>3143.7</v>
      </c>
      <c r="O366" s="2" t="str">
        <f aca="false">IF(COUNTIF($A$2:$A$1201,A366)&gt;1,"DUPLICATE","Unique")</f>
        <v>Unique</v>
      </c>
      <c r="P366" s="2" t="str">
        <f aca="false">IF(L366="","MISSING","OK")</f>
        <v>OK</v>
      </c>
      <c r="Q366" s="2" t="str">
        <f aca="false">IF(ISNUMBER(B366),"OK","BAD DATE")</f>
        <v>OK</v>
      </c>
      <c r="R366" s="2" t="str">
        <f aca="false">IF(ROUND(F366,2)=F366,"OK","FIX")</f>
        <v>OK</v>
      </c>
    </row>
    <row r="367" customFormat="false" ht="15" hidden="false" customHeight="false" outlineLevel="0" collapsed="false">
      <c r="A367" s="2" t="s">
        <v>1443</v>
      </c>
      <c r="B367" s="3" t="n">
        <v>45702</v>
      </c>
      <c r="C367" s="2" t="s">
        <v>1444</v>
      </c>
      <c r="D367" s="2" t="s">
        <v>29</v>
      </c>
      <c r="E367" s="2" t="n">
        <v>1</v>
      </c>
      <c r="F367" s="4" t="n">
        <v>678.38</v>
      </c>
      <c r="G367" s="2" t="s">
        <v>1317</v>
      </c>
      <c r="H367" s="2" t="s">
        <v>38</v>
      </c>
      <c r="I367" s="2" t="s">
        <v>39</v>
      </c>
      <c r="J367" s="2" t="s">
        <v>1445</v>
      </c>
      <c r="K367" s="2" t="n">
        <v>4</v>
      </c>
      <c r="L367" s="2" t="s">
        <v>25</v>
      </c>
      <c r="M367" s="2" t="s">
        <v>33</v>
      </c>
      <c r="N367" s="4" t="n">
        <v>678.38</v>
      </c>
      <c r="O367" s="2" t="str">
        <f aca="false">IF(COUNTIF($A$2:$A$1201,A367)&gt;1,"DUPLICATE","Unique")</f>
        <v>Unique</v>
      </c>
      <c r="P367" s="2" t="str">
        <f aca="false">IF(L367="","MISSING","OK")</f>
        <v>OK</v>
      </c>
      <c r="Q367" s="2" t="str">
        <f aca="false">IF(ISNUMBER(B367),"OK","BAD DATE")</f>
        <v>OK</v>
      </c>
      <c r="R367" s="2" t="str">
        <f aca="false">IF(ROUND(F367,2)=F367,"OK","FIX")</f>
        <v>OK</v>
      </c>
    </row>
    <row r="368" customFormat="false" ht="15" hidden="false" customHeight="false" outlineLevel="0" collapsed="false">
      <c r="A368" s="2" t="s">
        <v>1446</v>
      </c>
      <c r="B368" s="3" t="n">
        <v>44967</v>
      </c>
      <c r="C368" s="2" t="s">
        <v>1447</v>
      </c>
      <c r="D368" s="2" t="s">
        <v>52</v>
      </c>
      <c r="E368" s="2" t="n">
        <v>3</v>
      </c>
      <c r="F368" s="4" t="n">
        <v>602.24</v>
      </c>
      <c r="G368" s="2" t="s">
        <v>1448</v>
      </c>
      <c r="H368" s="2" t="s">
        <v>22</v>
      </c>
      <c r="I368" s="2" t="s">
        <v>93</v>
      </c>
      <c r="J368" s="2" t="s">
        <v>1449</v>
      </c>
      <c r="K368" s="2" t="n">
        <v>8</v>
      </c>
      <c r="L368" s="2"/>
      <c r="M368" s="2" t="s">
        <v>33</v>
      </c>
      <c r="N368" s="4" t="n">
        <v>1806.72</v>
      </c>
      <c r="O368" s="2" t="str">
        <f aca="false">IF(COUNTIF($A$2:$A$1201,A368)&gt;1,"DUPLICATE","Unique")</f>
        <v>Unique</v>
      </c>
      <c r="P368" s="2" t="str">
        <f aca="false">IF(L368="","MISSING","OK")</f>
        <v>MISSING</v>
      </c>
      <c r="Q368" s="2" t="str">
        <f aca="false">IF(ISNUMBER(B368),"OK","BAD DATE")</f>
        <v>OK</v>
      </c>
      <c r="R368" s="2" t="str">
        <f aca="false">IF(ROUND(F368,2)=F368,"OK","FIX")</f>
        <v>OK</v>
      </c>
    </row>
    <row r="369" customFormat="false" ht="15" hidden="false" customHeight="false" outlineLevel="0" collapsed="false">
      <c r="A369" s="2" t="s">
        <v>1450</v>
      </c>
      <c r="B369" s="3" t="n">
        <v>45407</v>
      </c>
      <c r="C369" s="2" t="s">
        <v>1451</v>
      </c>
      <c r="D369" s="2" t="s">
        <v>62</v>
      </c>
      <c r="E369" s="2" t="n">
        <v>5</v>
      </c>
      <c r="F369" s="4" t="n">
        <v>658.77</v>
      </c>
      <c r="G369" s="2" t="s">
        <v>1036</v>
      </c>
      <c r="H369" s="2" t="s">
        <v>64</v>
      </c>
      <c r="I369" s="2" t="s">
        <v>93</v>
      </c>
      <c r="J369" s="2" t="s">
        <v>1452</v>
      </c>
      <c r="K369" s="2" t="n">
        <v>10</v>
      </c>
      <c r="L369" s="2" t="s">
        <v>41</v>
      </c>
      <c r="M369" s="2" t="s">
        <v>26</v>
      </c>
      <c r="N369" s="4" t="n">
        <v>3293.85</v>
      </c>
      <c r="O369" s="2" t="str">
        <f aca="false">IF(COUNTIF($A$2:$A$1201,A369)&gt;1,"DUPLICATE","Unique")</f>
        <v>Unique</v>
      </c>
      <c r="P369" s="2" t="str">
        <f aca="false">IF(L369="","MISSING","OK")</f>
        <v>OK</v>
      </c>
      <c r="Q369" s="2" t="str">
        <f aca="false">IF(ISNUMBER(B369),"OK","BAD DATE")</f>
        <v>OK</v>
      </c>
      <c r="R369" s="2" t="str">
        <f aca="false">IF(ROUND(F369,2)=F369,"OK","FIX")</f>
        <v>OK</v>
      </c>
    </row>
    <row r="370" customFormat="false" ht="15" hidden="false" customHeight="false" outlineLevel="0" collapsed="false">
      <c r="A370" s="2" t="s">
        <v>1453</v>
      </c>
      <c r="B370" s="3" t="n">
        <v>45047</v>
      </c>
      <c r="C370" s="2" t="s">
        <v>1454</v>
      </c>
      <c r="D370" s="2" t="s">
        <v>20</v>
      </c>
      <c r="E370" s="2" t="n">
        <v>3</v>
      </c>
      <c r="F370" s="4" t="n">
        <v>271.02</v>
      </c>
      <c r="G370" s="2" t="s">
        <v>1455</v>
      </c>
      <c r="H370" s="2" t="s">
        <v>38</v>
      </c>
      <c r="I370" s="2" t="s">
        <v>39</v>
      </c>
      <c r="J370" s="2" t="s">
        <v>1456</v>
      </c>
      <c r="K370" s="2" t="n">
        <v>6</v>
      </c>
      <c r="L370" s="2"/>
      <c r="M370" s="2" t="s">
        <v>80</v>
      </c>
      <c r="N370" s="4" t="n">
        <v>813.06</v>
      </c>
      <c r="O370" s="2" t="str">
        <f aca="false">IF(COUNTIF($A$2:$A$1201,A370)&gt;1,"DUPLICATE","Unique")</f>
        <v>Unique</v>
      </c>
      <c r="P370" s="2" t="str">
        <f aca="false">IF(L370="","MISSING","OK")</f>
        <v>MISSING</v>
      </c>
      <c r="Q370" s="2" t="str">
        <f aca="false">IF(ISNUMBER(B370),"OK","BAD DATE")</f>
        <v>OK</v>
      </c>
      <c r="R370" s="2" t="str">
        <f aca="false">IF(ROUND(F370,2)=F370,"OK","FIX")</f>
        <v>OK</v>
      </c>
    </row>
    <row r="371" customFormat="false" ht="15" hidden="false" customHeight="false" outlineLevel="0" collapsed="false">
      <c r="A371" s="2" t="s">
        <v>1457</v>
      </c>
      <c r="B371" s="3" t="n">
        <v>45648</v>
      </c>
      <c r="C371" s="2" t="s">
        <v>1458</v>
      </c>
      <c r="D371" s="2" t="s">
        <v>20</v>
      </c>
      <c r="E371" s="2" t="n">
        <v>5</v>
      </c>
      <c r="F371" s="4" t="n">
        <v>375.25</v>
      </c>
      <c r="G371" s="2" t="s">
        <v>1459</v>
      </c>
      <c r="H371" s="2" t="s">
        <v>64</v>
      </c>
      <c r="I371" s="2" t="s">
        <v>93</v>
      </c>
      <c r="J371" s="2" t="s">
        <v>1460</v>
      </c>
      <c r="K371" s="2" t="n">
        <v>9</v>
      </c>
      <c r="L371" s="2" t="s">
        <v>25</v>
      </c>
      <c r="M371" s="2" t="s">
        <v>42</v>
      </c>
      <c r="N371" s="4" t="n">
        <v>1876.25</v>
      </c>
      <c r="O371" s="2" t="str">
        <f aca="false">IF(COUNTIF($A$2:$A$1201,A371)&gt;1,"DUPLICATE","Unique")</f>
        <v>Unique</v>
      </c>
      <c r="P371" s="2" t="str">
        <f aca="false">IF(L371="","MISSING","OK")</f>
        <v>OK</v>
      </c>
      <c r="Q371" s="2" t="str">
        <f aca="false">IF(ISNUMBER(B371),"OK","BAD DATE")</f>
        <v>OK</v>
      </c>
      <c r="R371" s="2" t="str">
        <f aca="false">IF(ROUND(F371,2)=F371,"OK","FIX")</f>
        <v>OK</v>
      </c>
    </row>
    <row r="372" customFormat="false" ht="15" hidden="false" customHeight="false" outlineLevel="0" collapsed="false">
      <c r="A372" s="2" t="s">
        <v>1461</v>
      </c>
      <c r="B372" s="3" t="n">
        <v>45780</v>
      </c>
      <c r="C372" s="2" t="s">
        <v>1462</v>
      </c>
      <c r="D372" s="2" t="s">
        <v>29</v>
      </c>
      <c r="E372" s="2" t="n">
        <v>1</v>
      </c>
      <c r="F372" s="4" t="n">
        <v>312.11</v>
      </c>
      <c r="G372" s="2" t="s">
        <v>1463</v>
      </c>
      <c r="H372" s="2" t="s">
        <v>31</v>
      </c>
      <c r="I372" s="2" t="s">
        <v>39</v>
      </c>
      <c r="J372" s="2" t="s">
        <v>1464</v>
      </c>
      <c r="K372" s="2" t="n">
        <v>4</v>
      </c>
      <c r="L372" s="2" t="s">
        <v>85</v>
      </c>
      <c r="M372" s="2" t="s">
        <v>49</v>
      </c>
      <c r="N372" s="4" t="n">
        <v>312.11</v>
      </c>
      <c r="O372" s="2" t="str">
        <f aca="false">IF(COUNTIF($A$2:$A$1201,A372)&gt;1,"DUPLICATE","Unique")</f>
        <v>Unique</v>
      </c>
      <c r="P372" s="2" t="str">
        <f aca="false">IF(L372="","MISSING","OK")</f>
        <v>OK</v>
      </c>
      <c r="Q372" s="2" t="str">
        <f aca="false">IF(ISNUMBER(B372),"OK","BAD DATE")</f>
        <v>OK</v>
      </c>
      <c r="R372" s="2" t="str">
        <f aca="false">IF(ROUND(F372,2)=F372,"OK","FIX")</f>
        <v>OK</v>
      </c>
    </row>
    <row r="373" customFormat="false" ht="15" hidden="false" customHeight="false" outlineLevel="0" collapsed="false">
      <c r="A373" s="2" t="s">
        <v>1465</v>
      </c>
      <c r="B373" s="3" t="n">
        <v>44931</v>
      </c>
      <c r="C373" s="2" t="s">
        <v>1466</v>
      </c>
      <c r="D373" s="2" t="s">
        <v>29</v>
      </c>
      <c r="E373" s="2" t="n">
        <v>5</v>
      </c>
      <c r="F373" s="4" t="n">
        <v>307.76</v>
      </c>
      <c r="G373" s="2" t="s">
        <v>92</v>
      </c>
      <c r="H373" s="2" t="s">
        <v>64</v>
      </c>
      <c r="I373" s="2" t="s">
        <v>93</v>
      </c>
      <c r="J373" s="2" t="s">
        <v>1467</v>
      </c>
      <c r="K373" s="2" t="n">
        <v>9</v>
      </c>
      <c r="L373" s="2" t="s">
        <v>41</v>
      </c>
      <c r="M373" s="2" t="s">
        <v>80</v>
      </c>
      <c r="N373" s="4" t="n">
        <v>1538.8</v>
      </c>
      <c r="O373" s="2" t="str">
        <f aca="false">IF(COUNTIF($A$2:$A$1201,A373)&gt;1,"DUPLICATE","Unique")</f>
        <v>Unique</v>
      </c>
      <c r="P373" s="2" t="str">
        <f aca="false">IF(L373="","MISSING","OK")</f>
        <v>OK</v>
      </c>
      <c r="Q373" s="2" t="str">
        <f aca="false">IF(ISNUMBER(B373),"OK","BAD DATE")</f>
        <v>OK</v>
      </c>
      <c r="R373" s="2" t="str">
        <f aca="false">IF(ROUND(F373,2)=F373,"OK","FIX")</f>
        <v>OK</v>
      </c>
    </row>
    <row r="374" customFormat="false" ht="15" hidden="false" customHeight="false" outlineLevel="0" collapsed="false">
      <c r="A374" s="2" t="s">
        <v>1468</v>
      </c>
      <c r="B374" s="3" t="n">
        <v>45702</v>
      </c>
      <c r="C374" s="2" t="s">
        <v>1469</v>
      </c>
      <c r="D374" s="2" t="s">
        <v>45</v>
      </c>
      <c r="E374" s="2" t="n">
        <v>3</v>
      </c>
      <c r="F374" s="4" t="n">
        <v>483.53</v>
      </c>
      <c r="G374" s="2" t="s">
        <v>1470</v>
      </c>
      <c r="H374" s="2" t="s">
        <v>69</v>
      </c>
      <c r="I374" s="2" t="s">
        <v>47</v>
      </c>
      <c r="J374" s="2" t="s">
        <v>1471</v>
      </c>
      <c r="K374" s="2" t="n">
        <v>4</v>
      </c>
      <c r="L374" s="2"/>
      <c r="M374" s="2" t="s">
        <v>33</v>
      </c>
      <c r="N374" s="4" t="n">
        <v>1450.59</v>
      </c>
      <c r="O374" s="2" t="str">
        <f aca="false">IF(COUNTIF($A$2:$A$1201,A374)&gt;1,"DUPLICATE","Unique")</f>
        <v>Unique</v>
      </c>
      <c r="P374" s="2" t="str">
        <f aca="false">IF(L374="","MISSING","OK")</f>
        <v>MISSING</v>
      </c>
      <c r="Q374" s="2" t="str">
        <f aca="false">IF(ISNUMBER(B374),"OK","BAD DATE")</f>
        <v>OK</v>
      </c>
      <c r="R374" s="2" t="str">
        <f aca="false">IF(ROUND(F374,2)=F374,"OK","FIX")</f>
        <v>OK</v>
      </c>
    </row>
    <row r="375" customFormat="false" ht="15" hidden="false" customHeight="false" outlineLevel="0" collapsed="false">
      <c r="A375" s="2" t="s">
        <v>1472</v>
      </c>
      <c r="B375" s="3" t="n">
        <v>44928</v>
      </c>
      <c r="C375" s="2" t="s">
        <v>1473</v>
      </c>
      <c r="D375" s="2" t="s">
        <v>62</v>
      </c>
      <c r="E375" s="2" t="n">
        <v>3</v>
      </c>
      <c r="F375" s="4" t="n">
        <v>341.15</v>
      </c>
      <c r="G375" s="2" t="s">
        <v>1474</v>
      </c>
      <c r="H375" s="2" t="s">
        <v>69</v>
      </c>
      <c r="I375" s="2" t="s">
        <v>93</v>
      </c>
      <c r="J375" s="2" t="s">
        <v>1475</v>
      </c>
      <c r="K375" s="2" t="n">
        <v>4</v>
      </c>
      <c r="L375" s="2" t="s">
        <v>41</v>
      </c>
      <c r="M375" s="2" t="s">
        <v>26</v>
      </c>
      <c r="N375" s="4" t="n">
        <v>1023.45</v>
      </c>
      <c r="O375" s="2" t="str">
        <f aca="false">IF(COUNTIF($A$2:$A$1201,A375)&gt;1,"DUPLICATE","Unique")</f>
        <v>Unique</v>
      </c>
      <c r="P375" s="2" t="str">
        <f aca="false">IF(L375="","MISSING","OK")</f>
        <v>OK</v>
      </c>
      <c r="Q375" s="2" t="str">
        <f aca="false">IF(ISNUMBER(B375),"OK","BAD DATE")</f>
        <v>OK</v>
      </c>
      <c r="R375" s="2" t="str">
        <f aca="false">IF(ROUND(F375,2)=F375,"OK","FIX")</f>
        <v>OK</v>
      </c>
    </row>
    <row r="376" customFormat="false" ht="15" hidden="false" customHeight="false" outlineLevel="0" collapsed="false">
      <c r="A376" s="2" t="s">
        <v>1476</v>
      </c>
      <c r="B376" s="3" t="n">
        <v>45551</v>
      </c>
      <c r="C376" s="2" t="s">
        <v>1477</v>
      </c>
      <c r="D376" s="2" t="s">
        <v>20</v>
      </c>
      <c r="E376" s="2" t="n">
        <v>1</v>
      </c>
      <c r="F376" s="4" t="n">
        <v>571.9</v>
      </c>
      <c r="G376" s="2" t="s">
        <v>331</v>
      </c>
      <c r="H376" s="2" t="s">
        <v>64</v>
      </c>
      <c r="I376" s="2" t="s">
        <v>93</v>
      </c>
      <c r="J376" s="2" t="s">
        <v>1478</v>
      </c>
      <c r="K376" s="2" t="n">
        <v>1</v>
      </c>
      <c r="L376" s="2" t="s">
        <v>85</v>
      </c>
      <c r="M376" s="2" t="s">
        <v>26</v>
      </c>
      <c r="N376" s="4" t="n">
        <v>571.9</v>
      </c>
      <c r="O376" s="2" t="str">
        <f aca="false">IF(COUNTIF($A$2:$A$1201,A376)&gt;1,"DUPLICATE","Unique")</f>
        <v>Unique</v>
      </c>
      <c r="P376" s="2" t="str">
        <f aca="false">IF(L376="","MISSING","OK")</f>
        <v>OK</v>
      </c>
      <c r="Q376" s="2" t="str">
        <f aca="false">IF(ISNUMBER(B376),"OK","BAD DATE")</f>
        <v>OK</v>
      </c>
      <c r="R376" s="2" t="str">
        <f aca="false">IF(ROUND(F376,2)=F376,"OK","FIX")</f>
        <v>OK</v>
      </c>
    </row>
    <row r="377" customFormat="false" ht="15" hidden="false" customHeight="false" outlineLevel="0" collapsed="false">
      <c r="A377" s="2" t="s">
        <v>1479</v>
      </c>
      <c r="B377" s="3" t="n">
        <v>45673</v>
      </c>
      <c r="C377" s="2" t="s">
        <v>1480</v>
      </c>
      <c r="D377" s="2" t="s">
        <v>20</v>
      </c>
      <c r="E377" s="2" t="n">
        <v>4</v>
      </c>
      <c r="F377" s="4" t="n">
        <v>95.03</v>
      </c>
      <c r="G377" s="2" t="s">
        <v>1481</v>
      </c>
      <c r="H377" s="2" t="s">
        <v>31</v>
      </c>
      <c r="I377" s="2" t="s">
        <v>23</v>
      </c>
      <c r="J377" s="2" t="s">
        <v>1482</v>
      </c>
      <c r="K377" s="2" t="n">
        <v>8</v>
      </c>
      <c r="L377" s="2" t="s">
        <v>41</v>
      </c>
      <c r="M377" s="2" t="s">
        <v>49</v>
      </c>
      <c r="N377" s="4" t="n">
        <v>380.12</v>
      </c>
      <c r="O377" s="2" t="str">
        <f aca="false">IF(COUNTIF($A$2:$A$1201,A377)&gt;1,"DUPLICATE","Unique")</f>
        <v>Unique</v>
      </c>
      <c r="P377" s="2" t="str">
        <f aca="false">IF(L377="","MISSING","OK")</f>
        <v>OK</v>
      </c>
      <c r="Q377" s="2" t="str">
        <f aca="false">IF(ISNUMBER(B377),"OK","BAD DATE")</f>
        <v>OK</v>
      </c>
      <c r="R377" s="2" t="str">
        <f aca="false">IF(ROUND(F377,2)=F377,"OK","FIX")</f>
        <v>OK</v>
      </c>
    </row>
    <row r="378" customFormat="false" ht="15" hidden="false" customHeight="false" outlineLevel="0" collapsed="false">
      <c r="A378" s="2" t="s">
        <v>1483</v>
      </c>
      <c r="B378" s="3" t="n">
        <v>45162</v>
      </c>
      <c r="C378" s="2" t="s">
        <v>1484</v>
      </c>
      <c r="D378" s="2" t="s">
        <v>20</v>
      </c>
      <c r="E378" s="2" t="n">
        <v>5</v>
      </c>
      <c r="F378" s="4" t="n">
        <v>201.22</v>
      </c>
      <c r="G378" s="2" t="s">
        <v>1485</v>
      </c>
      <c r="H378" s="2" t="s">
        <v>22</v>
      </c>
      <c r="I378" s="2" t="s">
        <v>93</v>
      </c>
      <c r="J378" s="2" t="s">
        <v>1486</v>
      </c>
      <c r="K378" s="2" t="n">
        <v>6</v>
      </c>
      <c r="L378" s="2" t="s">
        <v>41</v>
      </c>
      <c r="M378" s="2" t="s">
        <v>49</v>
      </c>
      <c r="N378" s="4" t="n">
        <v>1006.1</v>
      </c>
      <c r="O378" s="2" t="str">
        <f aca="false">IF(COUNTIF($A$2:$A$1201,A378)&gt;1,"DUPLICATE","Unique")</f>
        <v>Unique</v>
      </c>
      <c r="P378" s="2" t="str">
        <f aca="false">IF(L378="","MISSING","OK")</f>
        <v>OK</v>
      </c>
      <c r="Q378" s="2" t="str">
        <f aca="false">IF(ISNUMBER(B378),"OK","BAD DATE")</f>
        <v>OK</v>
      </c>
      <c r="R378" s="2" t="str">
        <f aca="false">IF(ROUND(F378,2)=F378,"OK","FIX")</f>
        <v>OK</v>
      </c>
    </row>
    <row r="379" customFormat="false" ht="15" hidden="false" customHeight="false" outlineLevel="0" collapsed="false">
      <c r="A379" s="2" t="s">
        <v>1487</v>
      </c>
      <c r="B379" s="3" t="n">
        <v>45495</v>
      </c>
      <c r="C379" s="2" t="s">
        <v>1488</v>
      </c>
      <c r="D379" s="2" t="s">
        <v>20</v>
      </c>
      <c r="E379" s="2" t="n">
        <v>1</v>
      </c>
      <c r="F379" s="4" t="n">
        <v>260.26</v>
      </c>
      <c r="G379" s="2" t="s">
        <v>1233</v>
      </c>
      <c r="H379" s="2" t="s">
        <v>31</v>
      </c>
      <c r="I379" s="2" t="s">
        <v>93</v>
      </c>
      <c r="J379" s="2" t="s">
        <v>1489</v>
      </c>
      <c r="K379" s="2" t="n">
        <v>5</v>
      </c>
      <c r="L379" s="2" t="s">
        <v>85</v>
      </c>
      <c r="M379" s="2" t="s">
        <v>26</v>
      </c>
      <c r="N379" s="4" t="n">
        <v>260.26</v>
      </c>
      <c r="O379" s="2" t="str">
        <f aca="false">IF(COUNTIF($A$2:$A$1201,A379)&gt;1,"DUPLICATE","Unique")</f>
        <v>Unique</v>
      </c>
      <c r="P379" s="2" t="str">
        <f aca="false">IF(L379="","MISSING","OK")</f>
        <v>OK</v>
      </c>
      <c r="Q379" s="2" t="str">
        <f aca="false">IF(ISNUMBER(B379),"OK","BAD DATE")</f>
        <v>OK</v>
      </c>
      <c r="R379" s="2" t="str">
        <f aca="false">IF(ROUND(F379,2)=F379,"OK","FIX")</f>
        <v>OK</v>
      </c>
    </row>
    <row r="380" customFormat="false" ht="15" hidden="false" customHeight="false" outlineLevel="0" collapsed="false">
      <c r="A380" s="2" t="s">
        <v>1490</v>
      </c>
      <c r="B380" s="3" t="n">
        <v>45323</v>
      </c>
      <c r="C380" s="2" t="s">
        <v>1491</v>
      </c>
      <c r="D380" s="2" t="s">
        <v>45</v>
      </c>
      <c r="E380" s="2" t="n">
        <v>5</v>
      </c>
      <c r="F380" s="4" t="n">
        <v>64.5</v>
      </c>
      <c r="G380" s="2" t="s">
        <v>1492</v>
      </c>
      <c r="H380" s="2" t="s">
        <v>38</v>
      </c>
      <c r="I380" s="2" t="s">
        <v>93</v>
      </c>
      <c r="J380" s="2" t="s">
        <v>1493</v>
      </c>
      <c r="K380" s="2" t="n">
        <v>8</v>
      </c>
      <c r="L380" s="2" t="s">
        <v>85</v>
      </c>
      <c r="M380" s="2" t="s">
        <v>26</v>
      </c>
      <c r="N380" s="4" t="n">
        <v>322.5</v>
      </c>
      <c r="O380" s="2" t="str">
        <f aca="false">IF(COUNTIF($A$2:$A$1201,A380)&gt;1,"DUPLICATE","Unique")</f>
        <v>Unique</v>
      </c>
      <c r="P380" s="2" t="str">
        <f aca="false">IF(L380="","MISSING","OK")</f>
        <v>OK</v>
      </c>
      <c r="Q380" s="2" t="str">
        <f aca="false">IF(ISNUMBER(B380),"OK","BAD DATE")</f>
        <v>OK</v>
      </c>
      <c r="R380" s="2" t="str">
        <f aca="false">IF(ROUND(F380,2)=F380,"OK","FIX")</f>
        <v>OK</v>
      </c>
    </row>
    <row r="381" customFormat="false" ht="15" hidden="false" customHeight="false" outlineLevel="0" collapsed="false">
      <c r="A381" s="2" t="s">
        <v>1494</v>
      </c>
      <c r="B381" s="3" t="n">
        <v>45556</v>
      </c>
      <c r="C381" s="2" t="s">
        <v>1495</v>
      </c>
      <c r="D381" s="2" t="s">
        <v>29</v>
      </c>
      <c r="E381" s="2" t="n">
        <v>3</v>
      </c>
      <c r="F381" s="4" t="n">
        <v>297.67</v>
      </c>
      <c r="G381" s="2" t="s">
        <v>743</v>
      </c>
      <c r="H381" s="2" t="s">
        <v>31</v>
      </c>
      <c r="I381" s="2" t="s">
        <v>23</v>
      </c>
      <c r="J381" s="2" t="s">
        <v>1496</v>
      </c>
      <c r="K381" s="2" t="n">
        <v>6</v>
      </c>
      <c r="L381" s="2"/>
      <c r="M381" s="2" t="s">
        <v>80</v>
      </c>
      <c r="N381" s="4" t="n">
        <v>893.01</v>
      </c>
      <c r="O381" s="2" t="str">
        <f aca="false">IF(COUNTIF($A$2:$A$1201,A381)&gt;1,"DUPLICATE","Unique")</f>
        <v>Unique</v>
      </c>
      <c r="P381" s="2" t="str">
        <f aca="false">IF(L381="","MISSING","OK")</f>
        <v>MISSING</v>
      </c>
      <c r="Q381" s="2" t="str">
        <f aca="false">IF(ISNUMBER(B381),"OK","BAD DATE")</f>
        <v>OK</v>
      </c>
      <c r="R381" s="2" t="str">
        <f aca="false">IF(ROUND(F381,2)=F381,"OK","FIX")</f>
        <v>OK</v>
      </c>
    </row>
    <row r="382" customFormat="false" ht="15" hidden="false" customHeight="false" outlineLevel="0" collapsed="false">
      <c r="A382" s="2" t="s">
        <v>1497</v>
      </c>
      <c r="B382" s="3" t="n">
        <v>45402</v>
      </c>
      <c r="C382" s="2" t="s">
        <v>1498</v>
      </c>
      <c r="D382" s="2" t="s">
        <v>52</v>
      </c>
      <c r="E382" s="2" t="n">
        <v>4</v>
      </c>
      <c r="F382" s="4" t="n">
        <v>331.9</v>
      </c>
      <c r="G382" s="2" t="s">
        <v>1085</v>
      </c>
      <c r="H382" s="2" t="s">
        <v>69</v>
      </c>
      <c r="I382" s="2" t="s">
        <v>93</v>
      </c>
      <c r="J382" s="2" t="s">
        <v>1499</v>
      </c>
      <c r="K382" s="2" t="n">
        <v>5</v>
      </c>
      <c r="L382" s="2" t="s">
        <v>25</v>
      </c>
      <c r="M382" s="2" t="s">
        <v>26</v>
      </c>
      <c r="N382" s="4" t="n">
        <v>1327.6</v>
      </c>
      <c r="O382" s="2" t="str">
        <f aca="false">IF(COUNTIF($A$2:$A$1201,A382)&gt;1,"DUPLICATE","Unique")</f>
        <v>Unique</v>
      </c>
      <c r="P382" s="2" t="str">
        <f aca="false">IF(L382="","MISSING","OK")</f>
        <v>OK</v>
      </c>
      <c r="Q382" s="2" t="str">
        <f aca="false">IF(ISNUMBER(B382),"OK","BAD DATE")</f>
        <v>OK</v>
      </c>
      <c r="R382" s="2" t="str">
        <f aca="false">IF(ROUND(F382,2)=F382,"OK","FIX")</f>
        <v>OK</v>
      </c>
    </row>
    <row r="383" customFormat="false" ht="15" hidden="false" customHeight="false" outlineLevel="0" collapsed="false">
      <c r="A383" s="2" t="s">
        <v>1500</v>
      </c>
      <c r="B383" s="3" t="n">
        <v>45084</v>
      </c>
      <c r="C383" s="2" t="s">
        <v>1501</v>
      </c>
      <c r="D383" s="2" t="s">
        <v>45</v>
      </c>
      <c r="E383" s="2" t="n">
        <v>1</v>
      </c>
      <c r="F383" s="4" t="n">
        <v>191.76</v>
      </c>
      <c r="G383" s="2" t="s">
        <v>227</v>
      </c>
      <c r="H383" s="2" t="s">
        <v>38</v>
      </c>
      <c r="I383" s="2" t="s">
        <v>47</v>
      </c>
      <c r="J383" s="2" t="s">
        <v>1502</v>
      </c>
      <c r="K383" s="2" t="n">
        <v>1</v>
      </c>
      <c r="L383" s="2" t="s">
        <v>41</v>
      </c>
      <c r="M383" s="2" t="s">
        <v>26</v>
      </c>
      <c r="N383" s="4" t="n">
        <v>191.76</v>
      </c>
      <c r="O383" s="2" t="str">
        <f aca="false">IF(COUNTIF($A$2:$A$1201,A383)&gt;1,"DUPLICATE","Unique")</f>
        <v>Unique</v>
      </c>
      <c r="P383" s="2" t="str">
        <f aca="false">IF(L383="","MISSING","OK")</f>
        <v>OK</v>
      </c>
      <c r="Q383" s="2" t="str">
        <f aca="false">IF(ISNUMBER(B383),"OK","BAD DATE")</f>
        <v>OK</v>
      </c>
      <c r="R383" s="2" t="str">
        <f aca="false">IF(ROUND(F383,2)=F383,"OK","FIX")</f>
        <v>OK</v>
      </c>
    </row>
    <row r="384" customFormat="false" ht="15" hidden="false" customHeight="false" outlineLevel="0" collapsed="false">
      <c r="A384" s="2" t="s">
        <v>1503</v>
      </c>
      <c r="B384" s="3" t="n">
        <v>45687</v>
      </c>
      <c r="C384" s="2" t="s">
        <v>1504</v>
      </c>
      <c r="D384" s="2" t="s">
        <v>52</v>
      </c>
      <c r="E384" s="2" t="n">
        <v>4</v>
      </c>
      <c r="F384" s="4" t="n">
        <v>263.09</v>
      </c>
      <c r="G384" s="2" t="s">
        <v>1505</v>
      </c>
      <c r="H384" s="2" t="s">
        <v>22</v>
      </c>
      <c r="I384" s="2" t="s">
        <v>23</v>
      </c>
      <c r="J384" s="2" t="s">
        <v>1506</v>
      </c>
      <c r="K384" s="2" t="n">
        <v>8</v>
      </c>
      <c r="L384" s="2" t="s">
        <v>25</v>
      </c>
      <c r="M384" s="2" t="s">
        <v>80</v>
      </c>
      <c r="N384" s="4" t="n">
        <v>1052.36</v>
      </c>
      <c r="O384" s="2" t="str">
        <f aca="false">IF(COUNTIF($A$2:$A$1201,A384)&gt;1,"DUPLICATE","Unique")</f>
        <v>Unique</v>
      </c>
      <c r="P384" s="2" t="str">
        <f aca="false">IF(L384="","MISSING","OK")</f>
        <v>OK</v>
      </c>
      <c r="Q384" s="2" t="str">
        <f aca="false">IF(ISNUMBER(B384),"OK","BAD DATE")</f>
        <v>OK</v>
      </c>
      <c r="R384" s="2" t="str">
        <f aca="false">IF(ROUND(F384,2)=F384,"OK","FIX")</f>
        <v>OK</v>
      </c>
    </row>
    <row r="385" customFormat="false" ht="15" hidden="false" customHeight="false" outlineLevel="0" collapsed="false">
      <c r="A385" s="2" t="s">
        <v>1507</v>
      </c>
      <c r="B385" s="3" t="n">
        <v>44946</v>
      </c>
      <c r="C385" s="2" t="s">
        <v>1508</v>
      </c>
      <c r="D385" s="2" t="s">
        <v>45</v>
      </c>
      <c r="E385" s="2" t="n">
        <v>4</v>
      </c>
      <c r="F385" s="4" t="n">
        <v>393.8</v>
      </c>
      <c r="G385" s="2" t="s">
        <v>411</v>
      </c>
      <c r="H385" s="2" t="s">
        <v>38</v>
      </c>
      <c r="I385" s="2" t="s">
        <v>93</v>
      </c>
      <c r="J385" s="2" t="s">
        <v>1509</v>
      </c>
      <c r="K385" s="2" t="n">
        <v>7</v>
      </c>
      <c r="L385" s="2" t="s">
        <v>25</v>
      </c>
      <c r="M385" s="2" t="s">
        <v>42</v>
      </c>
      <c r="N385" s="4" t="n">
        <v>1575.2</v>
      </c>
      <c r="O385" s="2" t="str">
        <f aca="false">IF(COUNTIF($A$2:$A$1201,A385)&gt;1,"DUPLICATE","Unique")</f>
        <v>Unique</v>
      </c>
      <c r="P385" s="2" t="str">
        <f aca="false">IF(L385="","MISSING","OK")</f>
        <v>OK</v>
      </c>
      <c r="Q385" s="2" t="str">
        <f aca="false">IF(ISNUMBER(B385),"OK","BAD DATE")</f>
        <v>OK</v>
      </c>
      <c r="R385" s="2" t="str">
        <f aca="false">IF(ROUND(F385,2)=F385,"OK","FIX")</f>
        <v>OK</v>
      </c>
    </row>
    <row r="386" customFormat="false" ht="15" hidden="false" customHeight="false" outlineLevel="0" collapsed="false">
      <c r="A386" s="2" t="s">
        <v>1510</v>
      </c>
      <c r="B386" s="3" t="n">
        <v>45620</v>
      </c>
      <c r="C386" s="2" t="s">
        <v>1511</v>
      </c>
      <c r="D386" s="2" t="s">
        <v>45</v>
      </c>
      <c r="E386" s="2" t="n">
        <v>3</v>
      </c>
      <c r="F386" s="4" t="n">
        <v>553.57</v>
      </c>
      <c r="G386" s="2" t="s">
        <v>1512</v>
      </c>
      <c r="H386" s="2" t="s">
        <v>38</v>
      </c>
      <c r="I386" s="2" t="s">
        <v>47</v>
      </c>
      <c r="J386" s="2" t="s">
        <v>1513</v>
      </c>
      <c r="K386" s="2" t="n">
        <v>4</v>
      </c>
      <c r="L386" s="2" t="s">
        <v>41</v>
      </c>
      <c r="M386" s="2" t="s">
        <v>49</v>
      </c>
      <c r="N386" s="4" t="n">
        <v>1660.71</v>
      </c>
      <c r="O386" s="2" t="str">
        <f aca="false">IF(COUNTIF($A$2:$A$1201,A386)&gt;1,"DUPLICATE","Unique")</f>
        <v>Unique</v>
      </c>
      <c r="P386" s="2" t="str">
        <f aca="false">IF(L386="","MISSING","OK")</f>
        <v>OK</v>
      </c>
      <c r="Q386" s="2" t="str">
        <f aca="false">IF(ISNUMBER(B386),"OK","BAD DATE")</f>
        <v>OK</v>
      </c>
      <c r="R386" s="2" t="str">
        <f aca="false">IF(ROUND(F386,2)=F386,"OK","FIX")</f>
        <v>OK</v>
      </c>
    </row>
    <row r="387" customFormat="false" ht="15" hidden="false" customHeight="false" outlineLevel="0" collapsed="false">
      <c r="A387" s="2" t="s">
        <v>1514</v>
      </c>
      <c r="B387" s="3" t="n">
        <v>45230</v>
      </c>
      <c r="C387" s="2" t="s">
        <v>1515</v>
      </c>
      <c r="D387" s="2" t="s">
        <v>45</v>
      </c>
      <c r="E387" s="2" t="n">
        <v>5</v>
      </c>
      <c r="F387" s="4" t="n">
        <v>191.63</v>
      </c>
      <c r="G387" s="2" t="s">
        <v>297</v>
      </c>
      <c r="H387" s="2" t="s">
        <v>64</v>
      </c>
      <c r="I387" s="2" t="s">
        <v>54</v>
      </c>
      <c r="J387" s="2" t="s">
        <v>1516</v>
      </c>
      <c r="K387" s="2" t="n">
        <v>6</v>
      </c>
      <c r="L387" s="2" t="s">
        <v>41</v>
      </c>
      <c r="M387" s="2" t="s">
        <v>49</v>
      </c>
      <c r="N387" s="4" t="n">
        <v>958.15</v>
      </c>
      <c r="O387" s="2" t="str">
        <f aca="false">IF(COUNTIF($A$2:$A$1201,A387)&gt;1,"DUPLICATE","Unique")</f>
        <v>Unique</v>
      </c>
      <c r="P387" s="2" t="str">
        <f aca="false">IF(L387="","MISSING","OK")</f>
        <v>OK</v>
      </c>
      <c r="Q387" s="2" t="str">
        <f aca="false">IF(ISNUMBER(B387),"OK","BAD DATE")</f>
        <v>OK</v>
      </c>
      <c r="R387" s="2" t="str">
        <f aca="false">IF(ROUND(F387,2)=F387,"OK","FIX")</f>
        <v>OK</v>
      </c>
    </row>
    <row r="388" customFormat="false" ht="15" hidden="false" customHeight="false" outlineLevel="0" collapsed="false">
      <c r="A388" s="2" t="s">
        <v>1517</v>
      </c>
      <c r="B388" s="3" t="n">
        <v>45044</v>
      </c>
      <c r="C388" s="2" t="s">
        <v>1518</v>
      </c>
      <c r="D388" s="2" t="s">
        <v>36</v>
      </c>
      <c r="E388" s="2" t="n">
        <v>1</v>
      </c>
      <c r="F388" s="4" t="n">
        <v>93.02</v>
      </c>
      <c r="G388" s="2" t="s">
        <v>1519</v>
      </c>
      <c r="H388" s="2" t="s">
        <v>31</v>
      </c>
      <c r="I388" s="2" t="s">
        <v>47</v>
      </c>
      <c r="J388" s="2" t="s">
        <v>1520</v>
      </c>
      <c r="K388" s="2" t="n">
        <v>4</v>
      </c>
      <c r="L388" s="2"/>
      <c r="M388" s="2" t="s">
        <v>42</v>
      </c>
      <c r="N388" s="4" t="n">
        <v>93.02</v>
      </c>
      <c r="O388" s="2" t="str">
        <f aca="false">IF(COUNTIF($A$2:$A$1201,A388)&gt;1,"DUPLICATE","Unique")</f>
        <v>Unique</v>
      </c>
      <c r="P388" s="2" t="str">
        <f aca="false">IF(L388="","MISSING","OK")</f>
        <v>MISSING</v>
      </c>
      <c r="Q388" s="2" t="str">
        <f aca="false">IF(ISNUMBER(B388),"OK","BAD DATE")</f>
        <v>OK</v>
      </c>
      <c r="R388" s="2" t="str">
        <f aca="false">IF(ROUND(F388,2)=F388,"OK","FIX")</f>
        <v>OK</v>
      </c>
    </row>
    <row r="389" customFormat="false" ht="15" hidden="false" customHeight="false" outlineLevel="0" collapsed="false">
      <c r="A389" s="2" t="s">
        <v>1521</v>
      </c>
      <c r="B389" s="3" t="n">
        <v>45470</v>
      </c>
      <c r="C389" s="2" t="s">
        <v>1522</v>
      </c>
      <c r="D389" s="2" t="s">
        <v>52</v>
      </c>
      <c r="E389" s="2" t="n">
        <v>2</v>
      </c>
      <c r="F389" s="4" t="n">
        <v>39.53</v>
      </c>
      <c r="G389" s="2" t="s">
        <v>73</v>
      </c>
      <c r="H389" s="2" t="s">
        <v>38</v>
      </c>
      <c r="I389" s="2" t="s">
        <v>23</v>
      </c>
      <c r="J389" s="2" t="s">
        <v>1523</v>
      </c>
      <c r="K389" s="2" t="n">
        <v>3</v>
      </c>
      <c r="L389" s="2" t="s">
        <v>85</v>
      </c>
      <c r="M389" s="2" t="s">
        <v>80</v>
      </c>
      <c r="N389" s="4" t="n">
        <v>79.06</v>
      </c>
      <c r="O389" s="2" t="str">
        <f aca="false">IF(COUNTIF($A$2:$A$1201,A389)&gt;1,"DUPLICATE","Unique")</f>
        <v>Unique</v>
      </c>
      <c r="P389" s="2" t="str">
        <f aca="false">IF(L389="","MISSING","OK")</f>
        <v>OK</v>
      </c>
      <c r="Q389" s="2" t="str">
        <f aca="false">IF(ISNUMBER(B389),"OK","BAD DATE")</f>
        <v>OK</v>
      </c>
      <c r="R389" s="2" t="str">
        <f aca="false">IF(ROUND(F389,2)=F389,"OK","FIX")</f>
        <v>OK</v>
      </c>
    </row>
    <row r="390" customFormat="false" ht="15" hidden="false" customHeight="false" outlineLevel="0" collapsed="false">
      <c r="A390" s="2" t="s">
        <v>1524</v>
      </c>
      <c r="B390" s="3" t="n">
        <v>45288</v>
      </c>
      <c r="C390" s="2" t="s">
        <v>1525</v>
      </c>
      <c r="D390" s="2" t="s">
        <v>52</v>
      </c>
      <c r="E390" s="2" t="n">
        <v>3</v>
      </c>
      <c r="F390" s="4" t="n">
        <v>633.97</v>
      </c>
      <c r="G390" s="2" t="s">
        <v>442</v>
      </c>
      <c r="H390" s="2" t="s">
        <v>69</v>
      </c>
      <c r="I390" s="2" t="s">
        <v>93</v>
      </c>
      <c r="J390" s="2" t="s">
        <v>1526</v>
      </c>
      <c r="K390" s="2" t="n">
        <v>7</v>
      </c>
      <c r="L390" s="2" t="s">
        <v>85</v>
      </c>
      <c r="M390" s="2" t="s">
        <v>49</v>
      </c>
      <c r="N390" s="4" t="n">
        <v>1901.91</v>
      </c>
      <c r="O390" s="2" t="str">
        <f aca="false">IF(COUNTIF($A$2:$A$1201,A390)&gt;1,"DUPLICATE","Unique")</f>
        <v>Unique</v>
      </c>
      <c r="P390" s="2" t="str">
        <f aca="false">IF(L390="","MISSING","OK")</f>
        <v>OK</v>
      </c>
      <c r="Q390" s="2" t="str">
        <f aca="false">IF(ISNUMBER(B390),"OK","BAD DATE")</f>
        <v>OK</v>
      </c>
      <c r="R390" s="2" t="str">
        <f aca="false">IF(ROUND(F390,2)=F390,"OK","FIX")</f>
        <v>OK</v>
      </c>
    </row>
    <row r="391" customFormat="false" ht="15" hidden="false" customHeight="false" outlineLevel="0" collapsed="false">
      <c r="A391" s="2" t="s">
        <v>1527</v>
      </c>
      <c r="B391" s="3" t="n">
        <v>45277</v>
      </c>
      <c r="C391" s="2" t="s">
        <v>1528</v>
      </c>
      <c r="D391" s="2" t="s">
        <v>77</v>
      </c>
      <c r="E391" s="2" t="n">
        <v>4</v>
      </c>
      <c r="F391" s="4" t="n">
        <v>697.5</v>
      </c>
      <c r="G391" s="2" t="s">
        <v>1529</v>
      </c>
      <c r="H391" s="2" t="s">
        <v>69</v>
      </c>
      <c r="I391" s="2" t="s">
        <v>23</v>
      </c>
      <c r="J391" s="2" t="s">
        <v>1530</v>
      </c>
      <c r="K391" s="2" t="n">
        <v>7</v>
      </c>
      <c r="L391" s="2" t="s">
        <v>41</v>
      </c>
      <c r="M391" s="2" t="s">
        <v>33</v>
      </c>
      <c r="N391" s="4" t="n">
        <v>2790</v>
      </c>
      <c r="O391" s="2" t="str">
        <f aca="false">IF(COUNTIF($A$2:$A$1201,A391)&gt;1,"DUPLICATE","Unique")</f>
        <v>Unique</v>
      </c>
      <c r="P391" s="2" t="str">
        <f aca="false">IF(L391="","MISSING","OK")</f>
        <v>OK</v>
      </c>
      <c r="Q391" s="2" t="str">
        <f aca="false">IF(ISNUMBER(B391),"OK","BAD DATE")</f>
        <v>OK</v>
      </c>
      <c r="R391" s="2" t="str">
        <f aca="false">IF(ROUND(F391,2)=F391,"OK","FIX")</f>
        <v>OK</v>
      </c>
    </row>
    <row r="392" customFormat="false" ht="15" hidden="false" customHeight="false" outlineLevel="0" collapsed="false">
      <c r="A392" s="2" t="s">
        <v>1531</v>
      </c>
      <c r="B392" s="3" t="n">
        <v>45121</v>
      </c>
      <c r="C392" s="2" t="s">
        <v>1532</v>
      </c>
      <c r="D392" s="2" t="s">
        <v>52</v>
      </c>
      <c r="E392" s="2" t="n">
        <v>5</v>
      </c>
      <c r="F392" s="4" t="n">
        <v>508.69</v>
      </c>
      <c r="G392" s="2" t="s">
        <v>1380</v>
      </c>
      <c r="H392" s="2" t="s">
        <v>69</v>
      </c>
      <c r="I392" s="2" t="s">
        <v>54</v>
      </c>
      <c r="J392" s="2" t="s">
        <v>1533</v>
      </c>
      <c r="K392" s="2" t="n">
        <v>10</v>
      </c>
      <c r="L392" s="2" t="s">
        <v>41</v>
      </c>
      <c r="M392" s="2" t="s">
        <v>80</v>
      </c>
      <c r="N392" s="4" t="n">
        <v>2543.45</v>
      </c>
      <c r="O392" s="2" t="str">
        <f aca="false">IF(COUNTIF($A$2:$A$1201,A392)&gt;1,"DUPLICATE","Unique")</f>
        <v>Unique</v>
      </c>
      <c r="P392" s="2" t="str">
        <f aca="false">IF(L392="","MISSING","OK")</f>
        <v>OK</v>
      </c>
      <c r="Q392" s="2" t="str">
        <f aca="false">IF(ISNUMBER(B392),"OK","BAD DATE")</f>
        <v>OK</v>
      </c>
      <c r="R392" s="2" t="str">
        <f aca="false">IF(ROUND(F392,2)=F392,"OK","FIX")</f>
        <v>OK</v>
      </c>
    </row>
    <row r="393" customFormat="false" ht="15" hidden="false" customHeight="false" outlineLevel="0" collapsed="false">
      <c r="A393" s="2" t="s">
        <v>1534</v>
      </c>
      <c r="B393" s="3" t="n">
        <v>45673</v>
      </c>
      <c r="C393" s="2" t="s">
        <v>1535</v>
      </c>
      <c r="D393" s="2" t="s">
        <v>62</v>
      </c>
      <c r="E393" s="2" t="n">
        <v>2</v>
      </c>
      <c r="F393" s="4" t="n">
        <v>527.46</v>
      </c>
      <c r="G393" s="2" t="s">
        <v>1141</v>
      </c>
      <c r="H393" s="2" t="s">
        <v>22</v>
      </c>
      <c r="I393" s="2" t="s">
        <v>39</v>
      </c>
      <c r="J393" s="2" t="s">
        <v>1536</v>
      </c>
      <c r="K393" s="2" t="n">
        <v>3</v>
      </c>
      <c r="L393" s="2" t="s">
        <v>41</v>
      </c>
      <c r="M393" s="2" t="s">
        <v>33</v>
      </c>
      <c r="N393" s="4" t="n">
        <v>1054.92</v>
      </c>
      <c r="O393" s="2" t="str">
        <f aca="false">IF(COUNTIF($A$2:$A$1201,A393)&gt;1,"DUPLICATE","Unique")</f>
        <v>Unique</v>
      </c>
      <c r="P393" s="2" t="str">
        <f aca="false">IF(L393="","MISSING","OK")</f>
        <v>OK</v>
      </c>
      <c r="Q393" s="2" t="str">
        <f aca="false">IF(ISNUMBER(B393),"OK","BAD DATE")</f>
        <v>OK</v>
      </c>
      <c r="R393" s="2" t="str">
        <f aca="false">IF(ROUND(F393,2)=F393,"OK","FIX")</f>
        <v>OK</v>
      </c>
    </row>
    <row r="394" customFormat="false" ht="15" hidden="false" customHeight="false" outlineLevel="0" collapsed="false">
      <c r="A394" s="2" t="s">
        <v>1537</v>
      </c>
      <c r="B394" s="3" t="n">
        <v>45350</v>
      </c>
      <c r="C394" s="2" t="s">
        <v>1538</v>
      </c>
      <c r="D394" s="2" t="s">
        <v>29</v>
      </c>
      <c r="E394" s="2" t="n">
        <v>1</v>
      </c>
      <c r="F394" s="4" t="n">
        <v>627.2</v>
      </c>
      <c r="G394" s="2" t="s">
        <v>1431</v>
      </c>
      <c r="H394" s="2" t="s">
        <v>31</v>
      </c>
      <c r="I394" s="2" t="s">
        <v>54</v>
      </c>
      <c r="J394" s="2" t="s">
        <v>1539</v>
      </c>
      <c r="K394" s="2" t="n">
        <v>1</v>
      </c>
      <c r="L394" s="2" t="s">
        <v>85</v>
      </c>
      <c r="M394" s="2" t="s">
        <v>42</v>
      </c>
      <c r="N394" s="4" t="n">
        <v>627.2</v>
      </c>
      <c r="O394" s="2" t="str">
        <f aca="false">IF(COUNTIF($A$2:$A$1201,A394)&gt;1,"DUPLICATE","Unique")</f>
        <v>Unique</v>
      </c>
      <c r="P394" s="2" t="str">
        <f aca="false">IF(L394="","MISSING","OK")</f>
        <v>OK</v>
      </c>
      <c r="Q394" s="2" t="str">
        <f aca="false">IF(ISNUMBER(B394),"OK","BAD DATE")</f>
        <v>OK</v>
      </c>
      <c r="R394" s="2" t="str">
        <f aca="false">IF(ROUND(F394,2)=F394,"OK","FIX")</f>
        <v>OK</v>
      </c>
    </row>
    <row r="395" customFormat="false" ht="15" hidden="false" customHeight="false" outlineLevel="0" collapsed="false">
      <c r="A395" s="2" t="s">
        <v>1540</v>
      </c>
      <c r="B395" s="3" t="n">
        <v>45487</v>
      </c>
      <c r="C395" s="2" t="s">
        <v>1541</v>
      </c>
      <c r="D395" s="2" t="s">
        <v>52</v>
      </c>
      <c r="E395" s="2" t="n">
        <v>1</v>
      </c>
      <c r="F395" s="4" t="n">
        <v>75.01</v>
      </c>
      <c r="G395" s="2" t="s">
        <v>1542</v>
      </c>
      <c r="H395" s="2" t="s">
        <v>38</v>
      </c>
      <c r="I395" s="2" t="s">
        <v>47</v>
      </c>
      <c r="J395" s="2" t="s">
        <v>1543</v>
      </c>
      <c r="K395" s="2" t="n">
        <v>3</v>
      </c>
      <c r="L395" s="2"/>
      <c r="M395" s="2" t="s">
        <v>80</v>
      </c>
      <c r="N395" s="4" t="n">
        <v>75.01</v>
      </c>
      <c r="O395" s="2" t="str">
        <f aca="false">IF(COUNTIF($A$2:$A$1201,A395)&gt;1,"DUPLICATE","Unique")</f>
        <v>Unique</v>
      </c>
      <c r="P395" s="2" t="str">
        <f aca="false">IF(L395="","MISSING","OK")</f>
        <v>MISSING</v>
      </c>
      <c r="Q395" s="2" t="str">
        <f aca="false">IF(ISNUMBER(B395),"OK","BAD DATE")</f>
        <v>OK</v>
      </c>
      <c r="R395" s="2" t="str">
        <f aca="false">IF(ROUND(F395,2)=F395,"OK","FIX")</f>
        <v>OK</v>
      </c>
    </row>
    <row r="396" customFormat="false" ht="15" hidden="false" customHeight="false" outlineLevel="0" collapsed="false">
      <c r="A396" s="2" t="s">
        <v>1544</v>
      </c>
      <c r="B396" s="3" t="n">
        <v>45112</v>
      </c>
      <c r="C396" s="2" t="s">
        <v>1545</v>
      </c>
      <c r="D396" s="2" t="s">
        <v>77</v>
      </c>
      <c r="E396" s="2" t="n">
        <v>5</v>
      </c>
      <c r="F396" s="4" t="n">
        <v>529.55</v>
      </c>
      <c r="G396" s="2" t="s">
        <v>1546</v>
      </c>
      <c r="H396" s="2" t="s">
        <v>64</v>
      </c>
      <c r="I396" s="2" t="s">
        <v>23</v>
      </c>
      <c r="J396" s="2" t="s">
        <v>1547</v>
      </c>
      <c r="K396" s="2" t="n">
        <v>10</v>
      </c>
      <c r="L396" s="2"/>
      <c r="M396" s="2" t="s">
        <v>49</v>
      </c>
      <c r="N396" s="4" t="n">
        <v>2647.75</v>
      </c>
      <c r="O396" s="2" t="str">
        <f aca="false">IF(COUNTIF($A$2:$A$1201,A396)&gt;1,"DUPLICATE","Unique")</f>
        <v>Unique</v>
      </c>
      <c r="P396" s="2" t="str">
        <f aca="false">IF(L396="","MISSING","OK")</f>
        <v>MISSING</v>
      </c>
      <c r="Q396" s="2" t="str">
        <f aca="false">IF(ISNUMBER(B396),"OK","BAD DATE")</f>
        <v>OK</v>
      </c>
      <c r="R396" s="2" t="str">
        <f aca="false">IF(ROUND(F396,2)=F396,"OK","FIX")</f>
        <v>OK</v>
      </c>
    </row>
    <row r="397" customFormat="false" ht="15" hidden="false" customHeight="false" outlineLevel="0" collapsed="false">
      <c r="A397" s="2" t="s">
        <v>1548</v>
      </c>
      <c r="B397" s="3" t="n">
        <v>45772</v>
      </c>
      <c r="C397" s="2" t="s">
        <v>1549</v>
      </c>
      <c r="D397" s="2" t="s">
        <v>29</v>
      </c>
      <c r="E397" s="2" t="n">
        <v>3</v>
      </c>
      <c r="F397" s="4" t="n">
        <v>127.41</v>
      </c>
      <c r="G397" s="2" t="s">
        <v>173</v>
      </c>
      <c r="H397" s="2" t="s">
        <v>64</v>
      </c>
      <c r="I397" s="2" t="s">
        <v>54</v>
      </c>
      <c r="J397" s="2" t="s">
        <v>1550</v>
      </c>
      <c r="K397" s="2" t="n">
        <v>7</v>
      </c>
      <c r="L397" s="2" t="s">
        <v>25</v>
      </c>
      <c r="M397" s="2" t="s">
        <v>33</v>
      </c>
      <c r="N397" s="4" t="n">
        <v>382.23</v>
      </c>
      <c r="O397" s="2" t="str">
        <f aca="false">IF(COUNTIF($A$2:$A$1201,A397)&gt;1,"DUPLICATE","Unique")</f>
        <v>Unique</v>
      </c>
      <c r="P397" s="2" t="str">
        <f aca="false">IF(L397="","MISSING","OK")</f>
        <v>OK</v>
      </c>
      <c r="Q397" s="2" t="str">
        <f aca="false">IF(ISNUMBER(B397),"OK","BAD DATE")</f>
        <v>OK</v>
      </c>
      <c r="R397" s="2" t="str">
        <f aca="false">IF(ROUND(F397,2)=F397,"OK","FIX")</f>
        <v>OK</v>
      </c>
    </row>
    <row r="398" customFormat="false" ht="15" hidden="false" customHeight="false" outlineLevel="0" collapsed="false">
      <c r="A398" s="2" t="s">
        <v>1551</v>
      </c>
      <c r="B398" s="3" t="n">
        <v>45261</v>
      </c>
      <c r="C398" s="2" t="s">
        <v>1552</v>
      </c>
      <c r="D398" s="2" t="s">
        <v>36</v>
      </c>
      <c r="E398" s="2" t="n">
        <v>5</v>
      </c>
      <c r="F398" s="4" t="n">
        <v>287.13</v>
      </c>
      <c r="G398" s="2" t="s">
        <v>1553</v>
      </c>
      <c r="H398" s="2" t="s">
        <v>31</v>
      </c>
      <c r="I398" s="2" t="s">
        <v>23</v>
      </c>
      <c r="J398" s="2" t="s">
        <v>1554</v>
      </c>
      <c r="K398" s="2" t="n">
        <v>10</v>
      </c>
      <c r="L398" s="2" t="s">
        <v>25</v>
      </c>
      <c r="M398" s="2" t="s">
        <v>42</v>
      </c>
      <c r="N398" s="4" t="n">
        <v>1435.65</v>
      </c>
      <c r="O398" s="2" t="str">
        <f aca="false">IF(COUNTIF($A$2:$A$1201,A398)&gt;1,"DUPLICATE","Unique")</f>
        <v>Unique</v>
      </c>
      <c r="P398" s="2" t="str">
        <f aca="false">IF(L398="","MISSING","OK")</f>
        <v>OK</v>
      </c>
      <c r="Q398" s="2" t="str">
        <f aca="false">IF(ISNUMBER(B398),"OK","BAD DATE")</f>
        <v>OK</v>
      </c>
      <c r="R398" s="2" t="str">
        <f aca="false">IF(ROUND(F398,2)=F398,"OK","FIX")</f>
        <v>OK</v>
      </c>
    </row>
    <row r="399" customFormat="false" ht="15" hidden="false" customHeight="false" outlineLevel="0" collapsed="false">
      <c r="A399" s="2" t="s">
        <v>1555</v>
      </c>
      <c r="B399" s="3" t="n">
        <v>45197</v>
      </c>
      <c r="C399" s="2" t="s">
        <v>1556</v>
      </c>
      <c r="D399" s="2" t="s">
        <v>20</v>
      </c>
      <c r="E399" s="2" t="n">
        <v>1</v>
      </c>
      <c r="F399" s="4" t="n">
        <v>427.06</v>
      </c>
      <c r="G399" s="2" t="s">
        <v>1557</v>
      </c>
      <c r="H399" s="2" t="s">
        <v>31</v>
      </c>
      <c r="I399" s="2" t="s">
        <v>39</v>
      </c>
      <c r="J399" s="2" t="s">
        <v>1558</v>
      </c>
      <c r="K399" s="2" t="n">
        <v>1</v>
      </c>
      <c r="L399" s="2" t="s">
        <v>85</v>
      </c>
      <c r="M399" s="2" t="s">
        <v>33</v>
      </c>
      <c r="N399" s="4" t="n">
        <v>427.06</v>
      </c>
      <c r="O399" s="2" t="str">
        <f aca="false">IF(COUNTIF($A$2:$A$1201,A399)&gt;1,"DUPLICATE","Unique")</f>
        <v>Unique</v>
      </c>
      <c r="P399" s="2" t="str">
        <f aca="false">IF(L399="","MISSING","OK")</f>
        <v>OK</v>
      </c>
      <c r="Q399" s="2" t="str">
        <f aca="false">IF(ISNUMBER(B399),"OK","BAD DATE")</f>
        <v>OK</v>
      </c>
      <c r="R399" s="2" t="str">
        <f aca="false">IF(ROUND(F399,2)=F399,"OK","FIX")</f>
        <v>OK</v>
      </c>
    </row>
    <row r="400" customFormat="false" ht="15" hidden="false" customHeight="false" outlineLevel="0" collapsed="false">
      <c r="A400" s="2" t="s">
        <v>1559</v>
      </c>
      <c r="B400" s="3" t="n">
        <v>45539</v>
      </c>
      <c r="C400" s="2" t="s">
        <v>1560</v>
      </c>
      <c r="D400" s="2" t="s">
        <v>29</v>
      </c>
      <c r="E400" s="2" t="n">
        <v>5</v>
      </c>
      <c r="F400" s="4" t="n">
        <v>53.93</v>
      </c>
      <c r="G400" s="2" t="s">
        <v>845</v>
      </c>
      <c r="H400" s="2" t="s">
        <v>64</v>
      </c>
      <c r="I400" s="2" t="s">
        <v>23</v>
      </c>
      <c r="J400" s="2" t="s">
        <v>1561</v>
      </c>
      <c r="K400" s="2" t="n">
        <v>7</v>
      </c>
      <c r="L400" s="2" t="s">
        <v>25</v>
      </c>
      <c r="M400" s="2" t="s">
        <v>26</v>
      </c>
      <c r="N400" s="4" t="n">
        <v>269.65</v>
      </c>
      <c r="O400" s="2" t="str">
        <f aca="false">IF(COUNTIF($A$2:$A$1201,A400)&gt;1,"DUPLICATE","Unique")</f>
        <v>Unique</v>
      </c>
      <c r="P400" s="2" t="str">
        <f aca="false">IF(L400="","MISSING","OK")</f>
        <v>OK</v>
      </c>
      <c r="Q400" s="2" t="str">
        <f aca="false">IF(ISNUMBER(B400),"OK","BAD DATE")</f>
        <v>OK</v>
      </c>
      <c r="R400" s="2" t="str">
        <f aca="false">IF(ROUND(F400,2)=F400,"OK","FIX")</f>
        <v>OK</v>
      </c>
    </row>
    <row r="401" customFormat="false" ht="15" hidden="false" customHeight="false" outlineLevel="0" collapsed="false">
      <c r="A401" s="2" t="s">
        <v>1562</v>
      </c>
      <c r="B401" s="3" t="n">
        <v>45298</v>
      </c>
      <c r="C401" s="2" t="s">
        <v>1563</v>
      </c>
      <c r="D401" s="2" t="s">
        <v>36</v>
      </c>
      <c r="E401" s="2" t="n">
        <v>5</v>
      </c>
      <c r="F401" s="4" t="n">
        <v>423.93</v>
      </c>
      <c r="G401" s="2" t="s">
        <v>1564</v>
      </c>
      <c r="H401" s="2" t="s">
        <v>22</v>
      </c>
      <c r="I401" s="2" t="s">
        <v>47</v>
      </c>
      <c r="J401" s="2" t="s">
        <v>1565</v>
      </c>
      <c r="K401" s="2" t="n">
        <v>5</v>
      </c>
      <c r="L401" s="2" t="s">
        <v>41</v>
      </c>
      <c r="M401" s="2" t="s">
        <v>49</v>
      </c>
      <c r="N401" s="4" t="n">
        <v>2119.65</v>
      </c>
      <c r="O401" s="2" t="str">
        <f aca="false">IF(COUNTIF($A$2:$A$1201,A401)&gt;1,"DUPLICATE","Unique")</f>
        <v>Unique</v>
      </c>
      <c r="P401" s="2" t="str">
        <f aca="false">IF(L401="","MISSING","OK")</f>
        <v>OK</v>
      </c>
      <c r="Q401" s="2" t="str">
        <f aca="false">IF(ISNUMBER(B401),"OK","BAD DATE")</f>
        <v>OK</v>
      </c>
      <c r="R401" s="2" t="str">
        <f aca="false">IF(ROUND(F401,2)=F401,"OK","FIX")</f>
        <v>OK</v>
      </c>
    </row>
    <row r="402" customFormat="false" ht="15" hidden="false" customHeight="false" outlineLevel="0" collapsed="false">
      <c r="A402" s="2" t="s">
        <v>1566</v>
      </c>
      <c r="B402" s="3" t="n">
        <v>45563</v>
      </c>
      <c r="C402" s="2" t="s">
        <v>1567</v>
      </c>
      <c r="D402" s="2" t="s">
        <v>77</v>
      </c>
      <c r="E402" s="2" t="n">
        <v>4</v>
      </c>
      <c r="F402" s="4" t="n">
        <v>160.22</v>
      </c>
      <c r="G402" s="2" t="s">
        <v>1568</v>
      </c>
      <c r="H402" s="2" t="s">
        <v>22</v>
      </c>
      <c r="I402" s="2" t="s">
        <v>47</v>
      </c>
      <c r="J402" s="2" t="s">
        <v>1569</v>
      </c>
      <c r="K402" s="2" t="n">
        <v>9</v>
      </c>
      <c r="L402" s="2" t="s">
        <v>85</v>
      </c>
      <c r="M402" s="2" t="s">
        <v>26</v>
      </c>
      <c r="N402" s="4" t="n">
        <v>640.88</v>
      </c>
      <c r="O402" s="2" t="str">
        <f aca="false">IF(COUNTIF($A$2:$A$1201,A402)&gt;1,"DUPLICATE","Unique")</f>
        <v>Unique</v>
      </c>
      <c r="P402" s="2" t="str">
        <f aca="false">IF(L402="","MISSING","OK")</f>
        <v>OK</v>
      </c>
      <c r="Q402" s="2" t="str">
        <f aca="false">IF(ISNUMBER(B402),"OK","BAD DATE")</f>
        <v>OK</v>
      </c>
      <c r="R402" s="2" t="str">
        <f aca="false">IF(ROUND(F402,2)=F402,"OK","FIX")</f>
        <v>OK</v>
      </c>
    </row>
    <row r="403" customFormat="false" ht="15" hidden="false" customHeight="false" outlineLevel="0" collapsed="false">
      <c r="A403" s="2" t="s">
        <v>1570</v>
      </c>
      <c r="B403" s="3" t="n">
        <v>45756</v>
      </c>
      <c r="C403" s="2" t="s">
        <v>1571</v>
      </c>
      <c r="D403" s="2" t="s">
        <v>52</v>
      </c>
      <c r="E403" s="2" t="n">
        <v>1</v>
      </c>
      <c r="F403" s="4" t="n">
        <v>538.68</v>
      </c>
      <c r="G403" s="2" t="s">
        <v>1431</v>
      </c>
      <c r="H403" s="2" t="s">
        <v>22</v>
      </c>
      <c r="I403" s="2" t="s">
        <v>47</v>
      </c>
      <c r="J403" s="2" t="s">
        <v>1572</v>
      </c>
      <c r="K403" s="2" t="n">
        <v>6</v>
      </c>
      <c r="L403" s="2"/>
      <c r="M403" s="2" t="s">
        <v>33</v>
      </c>
      <c r="N403" s="4" t="n">
        <v>538.68</v>
      </c>
      <c r="O403" s="2" t="str">
        <f aca="false">IF(COUNTIF($A$2:$A$1201,A403)&gt;1,"DUPLICATE","Unique")</f>
        <v>Unique</v>
      </c>
      <c r="P403" s="2" t="str">
        <f aca="false">IF(L403="","MISSING","OK")</f>
        <v>MISSING</v>
      </c>
      <c r="Q403" s="2" t="str">
        <f aca="false">IF(ISNUMBER(B403),"OK","BAD DATE")</f>
        <v>OK</v>
      </c>
      <c r="R403" s="2" t="str">
        <f aca="false">IF(ROUND(F403,2)=F403,"OK","FIX")</f>
        <v>OK</v>
      </c>
    </row>
    <row r="404" customFormat="false" ht="15" hidden="false" customHeight="false" outlineLevel="0" collapsed="false">
      <c r="A404" s="2" t="s">
        <v>1573</v>
      </c>
      <c r="B404" s="3" t="n">
        <v>45025</v>
      </c>
      <c r="C404" s="2" t="s">
        <v>1574</v>
      </c>
      <c r="D404" s="2" t="s">
        <v>52</v>
      </c>
      <c r="E404" s="2" t="n">
        <v>5</v>
      </c>
      <c r="F404" s="4" t="n">
        <v>337.38</v>
      </c>
      <c r="G404" s="2" t="s">
        <v>1575</v>
      </c>
      <c r="H404" s="2" t="s">
        <v>64</v>
      </c>
      <c r="I404" s="2" t="s">
        <v>23</v>
      </c>
      <c r="J404" s="2" t="s">
        <v>1576</v>
      </c>
      <c r="K404" s="2" t="n">
        <v>5</v>
      </c>
      <c r="L404" s="2"/>
      <c r="M404" s="2" t="s">
        <v>33</v>
      </c>
      <c r="N404" s="4" t="n">
        <v>1686.9</v>
      </c>
      <c r="O404" s="2" t="str">
        <f aca="false">IF(COUNTIF($A$2:$A$1201,A404)&gt;1,"DUPLICATE","Unique")</f>
        <v>Unique</v>
      </c>
      <c r="P404" s="2" t="str">
        <f aca="false">IF(L404="","MISSING","OK")</f>
        <v>MISSING</v>
      </c>
      <c r="Q404" s="2" t="str">
        <f aca="false">IF(ISNUMBER(B404),"OK","BAD DATE")</f>
        <v>OK</v>
      </c>
      <c r="R404" s="2" t="str">
        <f aca="false">IF(ROUND(F404,2)=F404,"OK","FIX")</f>
        <v>OK</v>
      </c>
    </row>
    <row r="405" customFormat="false" ht="15" hidden="false" customHeight="false" outlineLevel="0" collapsed="false">
      <c r="A405" s="2" t="s">
        <v>1577</v>
      </c>
      <c r="B405" s="3" t="n">
        <v>45606</v>
      </c>
      <c r="C405" s="2" t="s">
        <v>1578</v>
      </c>
      <c r="D405" s="2" t="s">
        <v>36</v>
      </c>
      <c r="E405" s="2" t="n">
        <v>1</v>
      </c>
      <c r="F405" s="4" t="n">
        <v>620.21</v>
      </c>
      <c r="G405" s="2" t="s">
        <v>1125</v>
      </c>
      <c r="H405" s="2" t="s">
        <v>31</v>
      </c>
      <c r="I405" s="2" t="s">
        <v>47</v>
      </c>
      <c r="J405" s="2" t="s">
        <v>1579</v>
      </c>
      <c r="K405" s="2" t="n">
        <v>1</v>
      </c>
      <c r="L405" s="2" t="s">
        <v>41</v>
      </c>
      <c r="M405" s="2" t="s">
        <v>33</v>
      </c>
      <c r="N405" s="4" t="n">
        <v>620.21</v>
      </c>
      <c r="O405" s="2" t="str">
        <f aca="false">IF(COUNTIF($A$2:$A$1201,A405)&gt;1,"DUPLICATE","Unique")</f>
        <v>Unique</v>
      </c>
      <c r="P405" s="2" t="str">
        <f aca="false">IF(L405="","MISSING","OK")</f>
        <v>OK</v>
      </c>
      <c r="Q405" s="2" t="str">
        <f aca="false">IF(ISNUMBER(B405),"OK","BAD DATE")</f>
        <v>OK</v>
      </c>
      <c r="R405" s="2" t="str">
        <f aca="false">IF(ROUND(F405,2)=F405,"OK","FIX")</f>
        <v>OK</v>
      </c>
    </row>
    <row r="406" customFormat="false" ht="15" hidden="false" customHeight="false" outlineLevel="0" collapsed="false">
      <c r="A406" s="2" t="s">
        <v>1580</v>
      </c>
      <c r="B406" s="3" t="n">
        <v>44994</v>
      </c>
      <c r="C406" s="2" t="s">
        <v>1581</v>
      </c>
      <c r="D406" s="2" t="s">
        <v>20</v>
      </c>
      <c r="E406" s="2" t="n">
        <v>2</v>
      </c>
      <c r="F406" s="4" t="n">
        <v>99.1</v>
      </c>
      <c r="G406" s="2" t="s">
        <v>309</v>
      </c>
      <c r="H406" s="2" t="s">
        <v>69</v>
      </c>
      <c r="I406" s="2" t="s">
        <v>54</v>
      </c>
      <c r="J406" s="2" t="s">
        <v>1582</v>
      </c>
      <c r="K406" s="2" t="n">
        <v>6</v>
      </c>
      <c r="L406" s="2"/>
      <c r="M406" s="2" t="s">
        <v>26</v>
      </c>
      <c r="N406" s="4" t="n">
        <v>198.2</v>
      </c>
      <c r="O406" s="2" t="str">
        <f aca="false">IF(COUNTIF($A$2:$A$1201,A406)&gt;1,"DUPLICATE","Unique")</f>
        <v>Unique</v>
      </c>
      <c r="P406" s="2" t="str">
        <f aca="false">IF(L406="","MISSING","OK")</f>
        <v>MISSING</v>
      </c>
      <c r="Q406" s="2" t="str">
        <f aca="false">IF(ISNUMBER(B406),"OK","BAD DATE")</f>
        <v>OK</v>
      </c>
      <c r="R406" s="2" t="str">
        <f aca="false">IF(ROUND(F406,2)=F406,"OK","FIX")</f>
        <v>OK</v>
      </c>
    </row>
    <row r="407" customFormat="false" ht="15" hidden="false" customHeight="false" outlineLevel="0" collapsed="false">
      <c r="A407" s="2" t="s">
        <v>1583</v>
      </c>
      <c r="B407" s="3" t="n">
        <v>45683</v>
      </c>
      <c r="C407" s="2" t="s">
        <v>1584</v>
      </c>
      <c r="D407" s="2" t="s">
        <v>20</v>
      </c>
      <c r="E407" s="2" t="n">
        <v>4</v>
      </c>
      <c r="F407" s="4" t="n">
        <v>451.97</v>
      </c>
      <c r="G407" s="2" t="s">
        <v>1448</v>
      </c>
      <c r="H407" s="2" t="s">
        <v>31</v>
      </c>
      <c r="I407" s="2" t="s">
        <v>39</v>
      </c>
      <c r="J407" s="2" t="s">
        <v>1585</v>
      </c>
      <c r="K407" s="2" t="n">
        <v>7</v>
      </c>
      <c r="L407" s="2" t="s">
        <v>85</v>
      </c>
      <c r="M407" s="2" t="s">
        <v>42</v>
      </c>
      <c r="N407" s="4" t="n">
        <v>1807.88</v>
      </c>
      <c r="O407" s="2" t="str">
        <f aca="false">IF(COUNTIF($A$2:$A$1201,A407)&gt;1,"DUPLICATE","Unique")</f>
        <v>Unique</v>
      </c>
      <c r="P407" s="2" t="str">
        <f aca="false">IF(L407="","MISSING","OK")</f>
        <v>OK</v>
      </c>
      <c r="Q407" s="2" t="str">
        <f aca="false">IF(ISNUMBER(B407),"OK","BAD DATE")</f>
        <v>OK</v>
      </c>
      <c r="R407" s="2" t="str">
        <f aca="false">IF(ROUND(F407,2)=F407,"OK","FIX")</f>
        <v>OK</v>
      </c>
    </row>
    <row r="408" customFormat="false" ht="15" hidden="false" customHeight="false" outlineLevel="0" collapsed="false">
      <c r="A408" s="2" t="s">
        <v>1586</v>
      </c>
      <c r="B408" s="3" t="n">
        <v>45270</v>
      </c>
      <c r="C408" s="2" t="s">
        <v>1587</v>
      </c>
      <c r="D408" s="2" t="s">
        <v>36</v>
      </c>
      <c r="E408" s="2" t="n">
        <v>4</v>
      </c>
      <c r="F408" s="4" t="n">
        <v>66.1</v>
      </c>
      <c r="G408" s="2" t="s">
        <v>767</v>
      </c>
      <c r="H408" s="2" t="s">
        <v>69</v>
      </c>
      <c r="I408" s="2" t="s">
        <v>47</v>
      </c>
      <c r="J408" s="2" t="s">
        <v>1588</v>
      </c>
      <c r="K408" s="2" t="n">
        <v>9</v>
      </c>
      <c r="L408" s="2" t="s">
        <v>85</v>
      </c>
      <c r="M408" s="2" t="s">
        <v>80</v>
      </c>
      <c r="N408" s="4" t="n">
        <v>264.4</v>
      </c>
      <c r="O408" s="2" t="str">
        <f aca="false">IF(COUNTIF($A$2:$A$1201,A408)&gt;1,"DUPLICATE","Unique")</f>
        <v>Unique</v>
      </c>
      <c r="P408" s="2" t="str">
        <f aca="false">IF(L408="","MISSING","OK")</f>
        <v>OK</v>
      </c>
      <c r="Q408" s="2" t="str">
        <f aca="false">IF(ISNUMBER(B408),"OK","BAD DATE")</f>
        <v>OK</v>
      </c>
      <c r="R408" s="2" t="str">
        <f aca="false">IF(ROUND(F408,2)=F408,"OK","FIX")</f>
        <v>OK</v>
      </c>
    </row>
    <row r="409" customFormat="false" ht="15" hidden="false" customHeight="false" outlineLevel="0" collapsed="false">
      <c r="A409" s="2" t="s">
        <v>1589</v>
      </c>
      <c r="B409" s="3" t="n">
        <v>45151</v>
      </c>
      <c r="C409" s="2" t="s">
        <v>1590</v>
      </c>
      <c r="D409" s="2" t="s">
        <v>36</v>
      </c>
      <c r="E409" s="2" t="n">
        <v>4</v>
      </c>
      <c r="F409" s="4" t="n">
        <v>547.32</v>
      </c>
      <c r="G409" s="2" t="s">
        <v>1058</v>
      </c>
      <c r="H409" s="2" t="s">
        <v>69</v>
      </c>
      <c r="I409" s="2" t="s">
        <v>47</v>
      </c>
      <c r="J409" s="2" t="s">
        <v>1591</v>
      </c>
      <c r="K409" s="2" t="n">
        <v>8</v>
      </c>
      <c r="L409" s="2" t="s">
        <v>41</v>
      </c>
      <c r="M409" s="2" t="s">
        <v>26</v>
      </c>
      <c r="N409" s="4" t="n">
        <v>2189.28</v>
      </c>
      <c r="O409" s="2" t="str">
        <f aca="false">IF(COUNTIF($A$2:$A$1201,A409)&gt;1,"DUPLICATE","Unique")</f>
        <v>Unique</v>
      </c>
      <c r="P409" s="2" t="str">
        <f aca="false">IF(L409="","MISSING","OK")</f>
        <v>OK</v>
      </c>
      <c r="Q409" s="2" t="str">
        <f aca="false">IF(ISNUMBER(B409),"OK","BAD DATE")</f>
        <v>OK</v>
      </c>
      <c r="R409" s="2" t="str">
        <f aca="false">IF(ROUND(F409,2)=F409,"OK","FIX")</f>
        <v>OK</v>
      </c>
    </row>
    <row r="410" customFormat="false" ht="15" hidden="false" customHeight="false" outlineLevel="0" collapsed="false">
      <c r="A410" s="2" t="s">
        <v>1592</v>
      </c>
      <c r="B410" s="3" t="n">
        <v>45658</v>
      </c>
      <c r="C410" s="2" t="s">
        <v>1593</v>
      </c>
      <c r="D410" s="2" t="s">
        <v>52</v>
      </c>
      <c r="E410" s="2" t="n">
        <v>3</v>
      </c>
      <c r="F410" s="4" t="n">
        <v>412.53</v>
      </c>
      <c r="G410" s="2" t="s">
        <v>1594</v>
      </c>
      <c r="H410" s="2" t="s">
        <v>31</v>
      </c>
      <c r="I410" s="2" t="s">
        <v>93</v>
      </c>
      <c r="J410" s="2" t="s">
        <v>1595</v>
      </c>
      <c r="K410" s="2" t="n">
        <v>6</v>
      </c>
      <c r="L410" s="2" t="s">
        <v>85</v>
      </c>
      <c r="M410" s="2" t="s">
        <v>80</v>
      </c>
      <c r="N410" s="4" t="n">
        <v>1237.59</v>
      </c>
      <c r="O410" s="2" t="str">
        <f aca="false">IF(COUNTIF($A$2:$A$1201,A410)&gt;1,"DUPLICATE","Unique")</f>
        <v>Unique</v>
      </c>
      <c r="P410" s="2" t="str">
        <f aca="false">IF(L410="","MISSING","OK")</f>
        <v>OK</v>
      </c>
      <c r="Q410" s="2" t="str">
        <f aca="false">IF(ISNUMBER(B410),"OK","BAD DATE")</f>
        <v>OK</v>
      </c>
      <c r="R410" s="2" t="str">
        <f aca="false">IF(ROUND(F410,2)=F410,"OK","FIX")</f>
        <v>OK</v>
      </c>
    </row>
    <row r="411" customFormat="false" ht="15" hidden="false" customHeight="false" outlineLevel="0" collapsed="false">
      <c r="A411" s="2" t="s">
        <v>1596</v>
      </c>
      <c r="B411" s="3" t="n">
        <v>45105</v>
      </c>
      <c r="C411" s="2" t="s">
        <v>1597</v>
      </c>
      <c r="D411" s="2" t="s">
        <v>77</v>
      </c>
      <c r="E411" s="2" t="n">
        <v>5</v>
      </c>
      <c r="F411" s="4" t="n">
        <v>84.13</v>
      </c>
      <c r="G411" s="2" t="s">
        <v>1598</v>
      </c>
      <c r="H411" s="2" t="s">
        <v>31</v>
      </c>
      <c r="I411" s="2" t="s">
        <v>54</v>
      </c>
      <c r="J411" s="2" t="s">
        <v>1599</v>
      </c>
      <c r="K411" s="2" t="n">
        <v>9</v>
      </c>
      <c r="L411" s="2" t="s">
        <v>25</v>
      </c>
      <c r="M411" s="2" t="s">
        <v>80</v>
      </c>
      <c r="N411" s="4" t="n">
        <v>420.65</v>
      </c>
      <c r="O411" s="2" t="str">
        <f aca="false">IF(COUNTIF($A$2:$A$1201,A411)&gt;1,"DUPLICATE","Unique")</f>
        <v>Unique</v>
      </c>
      <c r="P411" s="2" t="str">
        <f aca="false">IF(L411="","MISSING","OK")</f>
        <v>OK</v>
      </c>
      <c r="Q411" s="2" t="str">
        <f aca="false">IF(ISNUMBER(B411),"OK","BAD DATE")</f>
        <v>OK</v>
      </c>
      <c r="R411" s="2" t="str">
        <f aca="false">IF(ROUND(F411,2)=F411,"OK","FIX")</f>
        <v>OK</v>
      </c>
    </row>
    <row r="412" customFormat="false" ht="15" hidden="false" customHeight="false" outlineLevel="0" collapsed="false">
      <c r="A412" s="2" t="s">
        <v>1600</v>
      </c>
      <c r="B412" s="3" t="n">
        <v>45309</v>
      </c>
      <c r="C412" s="2" t="s">
        <v>1601</v>
      </c>
      <c r="D412" s="2" t="s">
        <v>36</v>
      </c>
      <c r="E412" s="2" t="n">
        <v>2</v>
      </c>
      <c r="F412" s="4" t="n">
        <v>518.23</v>
      </c>
      <c r="G412" s="2" t="s">
        <v>1602</v>
      </c>
      <c r="H412" s="2" t="s">
        <v>22</v>
      </c>
      <c r="I412" s="2" t="s">
        <v>23</v>
      </c>
      <c r="J412" s="2" t="s">
        <v>1603</v>
      </c>
      <c r="K412" s="2" t="n">
        <v>5</v>
      </c>
      <c r="L412" s="2"/>
      <c r="M412" s="2" t="s">
        <v>42</v>
      </c>
      <c r="N412" s="4" t="n">
        <v>1036.46</v>
      </c>
      <c r="O412" s="2" t="str">
        <f aca="false">IF(COUNTIF($A$2:$A$1201,A412)&gt;1,"DUPLICATE","Unique")</f>
        <v>Unique</v>
      </c>
      <c r="P412" s="2" t="str">
        <f aca="false">IF(L412="","MISSING","OK")</f>
        <v>MISSING</v>
      </c>
      <c r="Q412" s="2" t="str">
        <f aca="false">IF(ISNUMBER(B412),"OK","BAD DATE")</f>
        <v>OK</v>
      </c>
      <c r="R412" s="2" t="str">
        <f aca="false">IF(ROUND(F412,2)=F412,"OK","FIX")</f>
        <v>OK</v>
      </c>
    </row>
    <row r="413" customFormat="false" ht="15" hidden="false" customHeight="false" outlineLevel="0" collapsed="false">
      <c r="A413" s="2" t="s">
        <v>1604</v>
      </c>
      <c r="B413" s="3" t="n">
        <v>45462</v>
      </c>
      <c r="C413" s="2" t="s">
        <v>1605</v>
      </c>
      <c r="D413" s="2" t="s">
        <v>77</v>
      </c>
      <c r="E413" s="2" t="n">
        <v>2</v>
      </c>
      <c r="F413" s="4" t="n">
        <v>39.51</v>
      </c>
      <c r="G413" s="2" t="s">
        <v>634</v>
      </c>
      <c r="H413" s="2" t="s">
        <v>31</v>
      </c>
      <c r="I413" s="2" t="s">
        <v>23</v>
      </c>
      <c r="J413" s="2" t="s">
        <v>1606</v>
      </c>
      <c r="K413" s="2" t="n">
        <v>5</v>
      </c>
      <c r="L413" s="2"/>
      <c r="M413" s="2" t="s">
        <v>49</v>
      </c>
      <c r="N413" s="4" t="n">
        <v>79.02</v>
      </c>
      <c r="O413" s="2" t="str">
        <f aca="false">IF(COUNTIF($A$2:$A$1201,A413)&gt;1,"DUPLICATE","Unique")</f>
        <v>Unique</v>
      </c>
      <c r="P413" s="2" t="str">
        <f aca="false">IF(L413="","MISSING","OK")</f>
        <v>MISSING</v>
      </c>
      <c r="Q413" s="2" t="str">
        <f aca="false">IF(ISNUMBER(B413),"OK","BAD DATE")</f>
        <v>OK</v>
      </c>
      <c r="R413" s="2" t="str">
        <f aca="false">IF(ROUND(F413,2)=F413,"OK","FIX")</f>
        <v>OK</v>
      </c>
    </row>
    <row r="414" customFormat="false" ht="15" hidden="false" customHeight="false" outlineLevel="0" collapsed="false">
      <c r="A414" s="2" t="s">
        <v>1607</v>
      </c>
      <c r="B414" s="3" t="n">
        <v>45758</v>
      </c>
      <c r="C414" s="2" t="s">
        <v>1608</v>
      </c>
      <c r="D414" s="2" t="s">
        <v>36</v>
      </c>
      <c r="E414" s="2" t="n">
        <v>5</v>
      </c>
      <c r="F414" s="4" t="n">
        <v>133.01</v>
      </c>
      <c r="G414" s="2" t="s">
        <v>1609</v>
      </c>
      <c r="H414" s="2" t="s">
        <v>38</v>
      </c>
      <c r="I414" s="2" t="s">
        <v>47</v>
      </c>
      <c r="J414" s="2" t="s">
        <v>1610</v>
      </c>
      <c r="K414" s="2" t="n">
        <v>10</v>
      </c>
      <c r="L414" s="2"/>
      <c r="M414" s="2" t="s">
        <v>49</v>
      </c>
      <c r="N414" s="4" t="n">
        <v>665.05</v>
      </c>
      <c r="O414" s="2" t="str">
        <f aca="false">IF(COUNTIF($A$2:$A$1201,A414)&gt;1,"DUPLICATE","Unique")</f>
        <v>Unique</v>
      </c>
      <c r="P414" s="2" t="str">
        <f aca="false">IF(L414="","MISSING","OK")</f>
        <v>MISSING</v>
      </c>
      <c r="Q414" s="2" t="str">
        <f aca="false">IF(ISNUMBER(B414),"OK","BAD DATE")</f>
        <v>OK</v>
      </c>
      <c r="R414" s="2" t="str">
        <f aca="false">IF(ROUND(F414,2)=F414,"OK","FIX")</f>
        <v>OK</v>
      </c>
    </row>
    <row r="415" customFormat="false" ht="15" hidden="false" customHeight="false" outlineLevel="0" collapsed="false">
      <c r="A415" s="2" t="s">
        <v>1611</v>
      </c>
      <c r="B415" s="3" t="n">
        <v>45207</v>
      </c>
      <c r="C415" s="2" t="s">
        <v>1612</v>
      </c>
      <c r="D415" s="2" t="s">
        <v>36</v>
      </c>
      <c r="E415" s="2" t="n">
        <v>1</v>
      </c>
      <c r="F415" s="4" t="n">
        <v>118.8</v>
      </c>
      <c r="G415" s="2" t="s">
        <v>1613</v>
      </c>
      <c r="H415" s="2" t="s">
        <v>31</v>
      </c>
      <c r="I415" s="2" t="s">
        <v>54</v>
      </c>
      <c r="J415" s="2" t="s">
        <v>1614</v>
      </c>
      <c r="K415" s="2" t="n">
        <v>6</v>
      </c>
      <c r="L415" s="2" t="s">
        <v>25</v>
      </c>
      <c r="M415" s="2" t="s">
        <v>42</v>
      </c>
      <c r="N415" s="4" t="n">
        <v>118.8</v>
      </c>
      <c r="O415" s="2" t="str">
        <f aca="false">IF(COUNTIF($A$2:$A$1201,A415)&gt;1,"DUPLICATE","Unique")</f>
        <v>Unique</v>
      </c>
      <c r="P415" s="2" t="str">
        <f aca="false">IF(L415="","MISSING","OK")</f>
        <v>OK</v>
      </c>
      <c r="Q415" s="2" t="str">
        <f aca="false">IF(ISNUMBER(B415),"OK","BAD DATE")</f>
        <v>OK</v>
      </c>
      <c r="R415" s="2" t="str">
        <f aca="false">IF(ROUND(F415,2)=F415,"OK","FIX")</f>
        <v>OK</v>
      </c>
    </row>
    <row r="416" customFormat="false" ht="15" hidden="false" customHeight="false" outlineLevel="0" collapsed="false">
      <c r="A416" s="2" t="s">
        <v>1615</v>
      </c>
      <c r="B416" s="3" t="n">
        <v>45781</v>
      </c>
      <c r="C416" s="2" t="s">
        <v>1616</v>
      </c>
      <c r="D416" s="2" t="s">
        <v>77</v>
      </c>
      <c r="E416" s="2" t="n">
        <v>2</v>
      </c>
      <c r="F416" s="4" t="n">
        <v>139.57</v>
      </c>
      <c r="G416" s="2" t="s">
        <v>1617</v>
      </c>
      <c r="H416" s="2" t="s">
        <v>69</v>
      </c>
      <c r="I416" s="2" t="s">
        <v>54</v>
      </c>
      <c r="J416" s="2" t="s">
        <v>1618</v>
      </c>
      <c r="K416" s="2" t="n">
        <v>4</v>
      </c>
      <c r="L416" s="2" t="s">
        <v>85</v>
      </c>
      <c r="M416" s="2" t="s">
        <v>49</v>
      </c>
      <c r="N416" s="4" t="n">
        <v>279.14</v>
      </c>
      <c r="O416" s="2" t="str">
        <f aca="false">IF(COUNTIF($A$2:$A$1201,A416)&gt;1,"DUPLICATE","Unique")</f>
        <v>Unique</v>
      </c>
      <c r="P416" s="2" t="str">
        <f aca="false">IF(L416="","MISSING","OK")</f>
        <v>OK</v>
      </c>
      <c r="Q416" s="2" t="str">
        <f aca="false">IF(ISNUMBER(B416),"OK","BAD DATE")</f>
        <v>OK</v>
      </c>
      <c r="R416" s="2" t="str">
        <f aca="false">IF(ROUND(F416,2)=F416,"OK","FIX")</f>
        <v>OK</v>
      </c>
    </row>
    <row r="417" customFormat="false" ht="15" hidden="false" customHeight="false" outlineLevel="0" collapsed="false">
      <c r="A417" s="2" t="s">
        <v>1619</v>
      </c>
      <c r="B417" s="3" t="n">
        <v>45753</v>
      </c>
      <c r="C417" s="2" t="s">
        <v>1620</v>
      </c>
      <c r="D417" s="2" t="s">
        <v>45</v>
      </c>
      <c r="E417" s="2" t="n">
        <v>1</v>
      </c>
      <c r="F417" s="4" t="n">
        <v>184.15</v>
      </c>
      <c r="G417" s="2" t="s">
        <v>1078</v>
      </c>
      <c r="H417" s="2" t="s">
        <v>64</v>
      </c>
      <c r="I417" s="2" t="s">
        <v>23</v>
      </c>
      <c r="J417" s="2" t="s">
        <v>1621</v>
      </c>
      <c r="K417" s="2" t="n">
        <v>5</v>
      </c>
      <c r="L417" s="2" t="s">
        <v>41</v>
      </c>
      <c r="M417" s="2" t="s">
        <v>49</v>
      </c>
      <c r="N417" s="4" t="n">
        <v>184.15</v>
      </c>
      <c r="O417" s="2" t="str">
        <f aca="false">IF(COUNTIF($A$2:$A$1201,A417)&gt;1,"DUPLICATE","Unique")</f>
        <v>Unique</v>
      </c>
      <c r="P417" s="2" t="str">
        <f aca="false">IF(L417="","MISSING","OK")</f>
        <v>OK</v>
      </c>
      <c r="Q417" s="2" t="str">
        <f aca="false">IF(ISNUMBER(B417),"OK","BAD DATE")</f>
        <v>OK</v>
      </c>
      <c r="R417" s="2" t="str">
        <f aca="false">IF(ROUND(F417,2)=F417,"OK","FIX")</f>
        <v>OK</v>
      </c>
    </row>
    <row r="418" customFormat="false" ht="15" hidden="false" customHeight="false" outlineLevel="0" collapsed="false">
      <c r="A418" s="2" t="s">
        <v>1622</v>
      </c>
      <c r="B418" s="3" t="n">
        <v>45125</v>
      </c>
      <c r="C418" s="2" t="s">
        <v>1623</v>
      </c>
      <c r="D418" s="2" t="s">
        <v>62</v>
      </c>
      <c r="E418" s="2" t="n">
        <v>2</v>
      </c>
      <c r="F418" s="4" t="n">
        <v>644.05</v>
      </c>
      <c r="G418" s="2" t="s">
        <v>1624</v>
      </c>
      <c r="H418" s="2" t="s">
        <v>64</v>
      </c>
      <c r="I418" s="2" t="s">
        <v>39</v>
      </c>
      <c r="J418" s="2" t="s">
        <v>1625</v>
      </c>
      <c r="K418" s="2" t="n">
        <v>5</v>
      </c>
      <c r="L418" s="2" t="s">
        <v>85</v>
      </c>
      <c r="M418" s="2" t="s">
        <v>33</v>
      </c>
      <c r="N418" s="4" t="n">
        <v>1288.1</v>
      </c>
      <c r="O418" s="2" t="str">
        <f aca="false">IF(COUNTIF($A$2:$A$1201,A418)&gt;1,"DUPLICATE","Unique")</f>
        <v>Unique</v>
      </c>
      <c r="P418" s="2" t="str">
        <f aca="false">IF(L418="","MISSING","OK")</f>
        <v>OK</v>
      </c>
      <c r="Q418" s="2" t="str">
        <f aca="false">IF(ISNUMBER(B418),"OK","BAD DATE")</f>
        <v>OK</v>
      </c>
      <c r="R418" s="2" t="str">
        <f aca="false">IF(ROUND(F418,2)=F418,"OK","FIX")</f>
        <v>OK</v>
      </c>
    </row>
    <row r="419" customFormat="false" ht="15" hidden="false" customHeight="false" outlineLevel="0" collapsed="false">
      <c r="A419" s="2" t="s">
        <v>1626</v>
      </c>
      <c r="B419" s="3" t="n">
        <v>45223</v>
      </c>
      <c r="C419" s="2" t="s">
        <v>1627</v>
      </c>
      <c r="D419" s="2" t="s">
        <v>62</v>
      </c>
      <c r="E419" s="2" t="n">
        <v>5</v>
      </c>
      <c r="F419" s="4" t="n">
        <v>55.41</v>
      </c>
      <c r="G419" s="2" t="s">
        <v>1628</v>
      </c>
      <c r="H419" s="2" t="s">
        <v>31</v>
      </c>
      <c r="I419" s="2" t="s">
        <v>39</v>
      </c>
      <c r="J419" s="2" t="s">
        <v>1629</v>
      </c>
      <c r="K419" s="2" t="n">
        <v>5</v>
      </c>
      <c r="L419" s="2"/>
      <c r="M419" s="2" t="s">
        <v>80</v>
      </c>
      <c r="N419" s="4" t="n">
        <v>277.05</v>
      </c>
      <c r="O419" s="2" t="str">
        <f aca="false">IF(COUNTIF($A$2:$A$1201,A419)&gt;1,"DUPLICATE","Unique")</f>
        <v>Unique</v>
      </c>
      <c r="P419" s="2" t="str">
        <f aca="false">IF(L419="","MISSING","OK")</f>
        <v>MISSING</v>
      </c>
      <c r="Q419" s="2" t="str">
        <f aca="false">IF(ISNUMBER(B419),"OK","BAD DATE")</f>
        <v>OK</v>
      </c>
      <c r="R419" s="2" t="str">
        <f aca="false">IF(ROUND(F419,2)=F419,"OK","FIX")</f>
        <v>OK</v>
      </c>
    </row>
    <row r="420" customFormat="false" ht="15" hidden="false" customHeight="false" outlineLevel="0" collapsed="false">
      <c r="A420" s="2" t="s">
        <v>1630</v>
      </c>
      <c r="B420" s="3" t="n">
        <v>44937</v>
      </c>
      <c r="C420" s="2" t="s">
        <v>1631</v>
      </c>
      <c r="D420" s="2" t="s">
        <v>52</v>
      </c>
      <c r="E420" s="2" t="n">
        <v>1</v>
      </c>
      <c r="F420" s="4" t="n">
        <v>310.93</v>
      </c>
      <c r="G420" s="2" t="s">
        <v>1632</v>
      </c>
      <c r="H420" s="2" t="s">
        <v>31</v>
      </c>
      <c r="I420" s="2" t="s">
        <v>39</v>
      </c>
      <c r="J420" s="2" t="s">
        <v>1633</v>
      </c>
      <c r="K420" s="2" t="n">
        <v>3</v>
      </c>
      <c r="L420" s="2"/>
      <c r="M420" s="2" t="s">
        <v>49</v>
      </c>
      <c r="N420" s="4" t="n">
        <v>310.93</v>
      </c>
      <c r="O420" s="2" t="str">
        <f aca="false">IF(COUNTIF($A$2:$A$1201,A420)&gt;1,"DUPLICATE","Unique")</f>
        <v>Unique</v>
      </c>
      <c r="P420" s="2" t="str">
        <f aca="false">IF(L420="","MISSING","OK")</f>
        <v>MISSING</v>
      </c>
      <c r="Q420" s="2" t="str">
        <f aca="false">IF(ISNUMBER(B420),"OK","BAD DATE")</f>
        <v>OK</v>
      </c>
      <c r="R420" s="2" t="str">
        <f aca="false">IF(ROUND(F420,2)=F420,"OK","FIX")</f>
        <v>OK</v>
      </c>
    </row>
    <row r="421" customFormat="false" ht="15" hidden="false" customHeight="false" outlineLevel="0" collapsed="false">
      <c r="A421" s="2" t="s">
        <v>1634</v>
      </c>
      <c r="B421" s="3" t="n">
        <v>45399</v>
      </c>
      <c r="C421" s="2" t="s">
        <v>1635</v>
      </c>
      <c r="D421" s="2" t="s">
        <v>36</v>
      </c>
      <c r="E421" s="2" t="n">
        <v>2</v>
      </c>
      <c r="F421" s="4" t="n">
        <v>216.66</v>
      </c>
      <c r="G421" s="2" t="s">
        <v>1380</v>
      </c>
      <c r="H421" s="2" t="s">
        <v>22</v>
      </c>
      <c r="I421" s="2" t="s">
        <v>93</v>
      </c>
      <c r="J421" s="2" t="s">
        <v>1636</v>
      </c>
      <c r="K421" s="2" t="n">
        <v>6</v>
      </c>
      <c r="L421" s="2" t="s">
        <v>41</v>
      </c>
      <c r="M421" s="2" t="s">
        <v>26</v>
      </c>
      <c r="N421" s="4" t="n">
        <v>433.32</v>
      </c>
      <c r="O421" s="2" t="str">
        <f aca="false">IF(COUNTIF($A$2:$A$1201,A421)&gt;1,"DUPLICATE","Unique")</f>
        <v>Unique</v>
      </c>
      <c r="P421" s="2" t="str">
        <f aca="false">IF(L421="","MISSING","OK")</f>
        <v>OK</v>
      </c>
      <c r="Q421" s="2" t="str">
        <f aca="false">IF(ISNUMBER(B421),"OK","BAD DATE")</f>
        <v>OK</v>
      </c>
      <c r="R421" s="2" t="str">
        <f aca="false">IF(ROUND(F421,2)=F421,"OK","FIX")</f>
        <v>OK</v>
      </c>
    </row>
    <row r="422" customFormat="false" ht="15" hidden="false" customHeight="false" outlineLevel="0" collapsed="false">
      <c r="A422" s="2" t="s">
        <v>1637</v>
      </c>
      <c r="B422" s="3" t="n">
        <v>45625</v>
      </c>
      <c r="C422" s="2" t="s">
        <v>1638</v>
      </c>
      <c r="D422" s="2" t="s">
        <v>29</v>
      </c>
      <c r="E422" s="2" t="n">
        <v>1</v>
      </c>
      <c r="F422" s="4" t="n">
        <v>452.7</v>
      </c>
      <c r="G422" s="2" t="s">
        <v>1639</v>
      </c>
      <c r="H422" s="2" t="s">
        <v>22</v>
      </c>
      <c r="I422" s="2" t="s">
        <v>23</v>
      </c>
      <c r="J422" s="2" t="s">
        <v>1640</v>
      </c>
      <c r="K422" s="2" t="n">
        <v>5</v>
      </c>
      <c r="L422" s="2" t="s">
        <v>41</v>
      </c>
      <c r="M422" s="2" t="s">
        <v>26</v>
      </c>
      <c r="N422" s="4" t="n">
        <v>452.7</v>
      </c>
      <c r="O422" s="2" t="str">
        <f aca="false">IF(COUNTIF($A$2:$A$1201,A422)&gt;1,"DUPLICATE","Unique")</f>
        <v>Unique</v>
      </c>
      <c r="P422" s="2" t="str">
        <f aca="false">IF(L422="","MISSING","OK")</f>
        <v>OK</v>
      </c>
      <c r="Q422" s="2" t="str">
        <f aca="false">IF(ISNUMBER(B422),"OK","BAD DATE")</f>
        <v>OK</v>
      </c>
      <c r="R422" s="2" t="str">
        <f aca="false">IF(ROUND(F422,2)=F422,"OK","FIX")</f>
        <v>OK</v>
      </c>
    </row>
    <row r="423" customFormat="false" ht="15" hidden="false" customHeight="false" outlineLevel="0" collapsed="false">
      <c r="A423" s="2" t="s">
        <v>1641</v>
      </c>
      <c r="B423" s="3" t="n">
        <v>45214</v>
      </c>
      <c r="C423" s="2" t="s">
        <v>1642</v>
      </c>
      <c r="D423" s="2" t="s">
        <v>45</v>
      </c>
      <c r="E423" s="2" t="n">
        <v>2</v>
      </c>
      <c r="F423" s="4" t="n">
        <v>288.21</v>
      </c>
      <c r="G423" s="2" t="s">
        <v>1643</v>
      </c>
      <c r="H423" s="2" t="s">
        <v>22</v>
      </c>
      <c r="I423" s="2" t="s">
        <v>39</v>
      </c>
      <c r="J423" s="2" t="s">
        <v>1644</v>
      </c>
      <c r="K423" s="2" t="n">
        <v>5</v>
      </c>
      <c r="L423" s="2"/>
      <c r="M423" s="2" t="s">
        <v>42</v>
      </c>
      <c r="N423" s="4" t="n">
        <v>576.42</v>
      </c>
      <c r="O423" s="2" t="str">
        <f aca="false">IF(COUNTIF($A$2:$A$1201,A423)&gt;1,"DUPLICATE","Unique")</f>
        <v>Unique</v>
      </c>
      <c r="P423" s="2" t="str">
        <f aca="false">IF(L423="","MISSING","OK")</f>
        <v>MISSING</v>
      </c>
      <c r="Q423" s="2" t="str">
        <f aca="false">IF(ISNUMBER(B423),"OK","BAD DATE")</f>
        <v>OK</v>
      </c>
      <c r="R423" s="2" t="str">
        <f aca="false">IF(ROUND(F423,2)=F423,"OK","FIX")</f>
        <v>OK</v>
      </c>
    </row>
    <row r="424" customFormat="false" ht="15" hidden="false" customHeight="false" outlineLevel="0" collapsed="false">
      <c r="A424" s="2" t="s">
        <v>1645</v>
      </c>
      <c r="B424" s="3" t="n">
        <v>45082</v>
      </c>
      <c r="C424" s="2" t="s">
        <v>1646</v>
      </c>
      <c r="D424" s="2" t="s">
        <v>29</v>
      </c>
      <c r="E424" s="2" t="n">
        <v>4</v>
      </c>
      <c r="F424" s="4" t="n">
        <v>206.6</v>
      </c>
      <c r="G424" s="2" t="s">
        <v>109</v>
      </c>
      <c r="H424" s="2" t="s">
        <v>64</v>
      </c>
      <c r="I424" s="2" t="s">
        <v>47</v>
      </c>
      <c r="J424" s="2" t="s">
        <v>1647</v>
      </c>
      <c r="K424" s="2" t="n">
        <v>6</v>
      </c>
      <c r="L424" s="2" t="s">
        <v>85</v>
      </c>
      <c r="M424" s="2" t="s">
        <v>33</v>
      </c>
      <c r="N424" s="4" t="n">
        <v>826.4</v>
      </c>
      <c r="O424" s="2" t="str">
        <f aca="false">IF(COUNTIF($A$2:$A$1201,A424)&gt;1,"DUPLICATE","Unique")</f>
        <v>Unique</v>
      </c>
      <c r="P424" s="2" t="str">
        <f aca="false">IF(L424="","MISSING","OK")</f>
        <v>OK</v>
      </c>
      <c r="Q424" s="2" t="str">
        <f aca="false">IF(ISNUMBER(B424),"OK","BAD DATE")</f>
        <v>OK</v>
      </c>
      <c r="R424" s="2" t="str">
        <f aca="false">IF(ROUND(F424,2)=F424,"OK","FIX")</f>
        <v>OK</v>
      </c>
    </row>
    <row r="425" customFormat="false" ht="15" hidden="false" customHeight="false" outlineLevel="0" collapsed="false">
      <c r="A425" s="2" t="s">
        <v>1648</v>
      </c>
      <c r="B425" s="3" t="n">
        <v>45493</v>
      </c>
      <c r="C425" s="2" t="s">
        <v>1649</v>
      </c>
      <c r="D425" s="2" t="s">
        <v>52</v>
      </c>
      <c r="E425" s="2" t="n">
        <v>4</v>
      </c>
      <c r="F425" s="4" t="n">
        <v>685.2</v>
      </c>
      <c r="G425" s="2" t="s">
        <v>1129</v>
      </c>
      <c r="H425" s="2" t="s">
        <v>64</v>
      </c>
      <c r="I425" s="2" t="s">
        <v>39</v>
      </c>
      <c r="J425" s="2" t="s">
        <v>1650</v>
      </c>
      <c r="K425" s="2" t="n">
        <v>6</v>
      </c>
      <c r="L425" s="2" t="s">
        <v>85</v>
      </c>
      <c r="M425" s="2" t="s">
        <v>80</v>
      </c>
      <c r="N425" s="4" t="n">
        <v>2740.8</v>
      </c>
      <c r="O425" s="2" t="str">
        <f aca="false">IF(COUNTIF($A$2:$A$1201,A425)&gt;1,"DUPLICATE","Unique")</f>
        <v>Unique</v>
      </c>
      <c r="P425" s="2" t="str">
        <f aca="false">IF(L425="","MISSING","OK")</f>
        <v>OK</v>
      </c>
      <c r="Q425" s="2" t="str">
        <f aca="false">IF(ISNUMBER(B425),"OK","BAD DATE")</f>
        <v>OK</v>
      </c>
      <c r="R425" s="2" t="str">
        <f aca="false">IF(ROUND(F425,2)=F425,"OK","FIX")</f>
        <v>OK</v>
      </c>
    </row>
    <row r="426" customFormat="false" ht="15" hidden="false" customHeight="false" outlineLevel="0" collapsed="false">
      <c r="A426" s="2" t="s">
        <v>1651</v>
      </c>
      <c r="B426" s="3" t="n">
        <v>45028</v>
      </c>
      <c r="C426" s="2" t="s">
        <v>1652</v>
      </c>
      <c r="D426" s="2" t="s">
        <v>45</v>
      </c>
      <c r="E426" s="2" t="n">
        <v>5</v>
      </c>
      <c r="F426" s="4" t="n">
        <v>22.94</v>
      </c>
      <c r="G426" s="2" t="s">
        <v>1264</v>
      </c>
      <c r="H426" s="2" t="s">
        <v>69</v>
      </c>
      <c r="I426" s="2" t="s">
        <v>93</v>
      </c>
      <c r="J426" s="2" t="s">
        <v>1653</v>
      </c>
      <c r="K426" s="2" t="n">
        <v>10</v>
      </c>
      <c r="L426" s="2"/>
      <c r="M426" s="2" t="s">
        <v>42</v>
      </c>
      <c r="N426" s="4" t="n">
        <v>114.7</v>
      </c>
      <c r="O426" s="2" t="str">
        <f aca="false">IF(COUNTIF($A$2:$A$1201,A426)&gt;1,"DUPLICATE","Unique")</f>
        <v>Unique</v>
      </c>
      <c r="P426" s="2" t="str">
        <f aca="false">IF(L426="","MISSING","OK")</f>
        <v>MISSING</v>
      </c>
      <c r="Q426" s="2" t="str">
        <f aca="false">IF(ISNUMBER(B426),"OK","BAD DATE")</f>
        <v>OK</v>
      </c>
      <c r="R426" s="2" t="str">
        <f aca="false">IF(ROUND(F426,2)=F426,"OK","FIX")</f>
        <v>OK</v>
      </c>
    </row>
    <row r="427" customFormat="false" ht="15" hidden="false" customHeight="false" outlineLevel="0" collapsed="false">
      <c r="A427" s="2" t="s">
        <v>1654</v>
      </c>
      <c r="B427" s="3" t="n">
        <v>44994</v>
      </c>
      <c r="C427" s="2" t="s">
        <v>1655</v>
      </c>
      <c r="D427" s="2" t="s">
        <v>62</v>
      </c>
      <c r="E427" s="2" t="n">
        <v>2</v>
      </c>
      <c r="F427" s="4" t="n">
        <v>301.88</v>
      </c>
      <c r="G427" s="2" t="s">
        <v>1656</v>
      </c>
      <c r="H427" s="2" t="s">
        <v>64</v>
      </c>
      <c r="I427" s="2" t="s">
        <v>47</v>
      </c>
      <c r="J427" s="2" t="s">
        <v>1657</v>
      </c>
      <c r="K427" s="2" t="n">
        <v>5</v>
      </c>
      <c r="L427" s="2" t="s">
        <v>85</v>
      </c>
      <c r="M427" s="2" t="s">
        <v>42</v>
      </c>
      <c r="N427" s="4" t="n">
        <v>603.76</v>
      </c>
      <c r="O427" s="2" t="str">
        <f aca="false">IF(COUNTIF($A$2:$A$1201,A427)&gt;1,"DUPLICATE","Unique")</f>
        <v>Unique</v>
      </c>
      <c r="P427" s="2" t="str">
        <f aca="false">IF(L427="","MISSING","OK")</f>
        <v>OK</v>
      </c>
      <c r="Q427" s="2" t="str">
        <f aca="false">IF(ISNUMBER(B427),"OK","BAD DATE")</f>
        <v>OK</v>
      </c>
      <c r="R427" s="2" t="str">
        <f aca="false">IF(ROUND(F427,2)=F427,"OK","FIX")</f>
        <v>OK</v>
      </c>
    </row>
    <row r="428" customFormat="false" ht="15" hidden="false" customHeight="false" outlineLevel="0" collapsed="false">
      <c r="A428" s="2" t="s">
        <v>1658</v>
      </c>
      <c r="B428" s="3" t="n">
        <v>45732</v>
      </c>
      <c r="C428" s="2" t="s">
        <v>1659</v>
      </c>
      <c r="D428" s="2" t="s">
        <v>20</v>
      </c>
      <c r="E428" s="2" t="n">
        <v>5</v>
      </c>
      <c r="F428" s="4" t="n">
        <v>57.45</v>
      </c>
      <c r="G428" s="2" t="s">
        <v>1660</v>
      </c>
      <c r="H428" s="2" t="s">
        <v>69</v>
      </c>
      <c r="I428" s="2" t="s">
        <v>39</v>
      </c>
      <c r="J428" s="2" t="s">
        <v>1661</v>
      </c>
      <c r="K428" s="2" t="n">
        <v>10</v>
      </c>
      <c r="L428" s="2"/>
      <c r="M428" s="2" t="s">
        <v>49</v>
      </c>
      <c r="N428" s="4" t="n">
        <v>287.25</v>
      </c>
      <c r="O428" s="2" t="str">
        <f aca="false">IF(COUNTIF($A$2:$A$1201,A428)&gt;1,"DUPLICATE","Unique")</f>
        <v>Unique</v>
      </c>
      <c r="P428" s="2" t="str">
        <f aca="false">IF(L428="","MISSING","OK")</f>
        <v>MISSING</v>
      </c>
      <c r="Q428" s="2" t="str">
        <f aca="false">IF(ISNUMBER(B428),"OK","BAD DATE")</f>
        <v>OK</v>
      </c>
      <c r="R428" s="2" t="str">
        <f aca="false">IF(ROUND(F428,2)=F428,"OK","FIX")</f>
        <v>OK</v>
      </c>
    </row>
    <row r="429" customFormat="false" ht="15" hidden="false" customHeight="false" outlineLevel="0" collapsed="false">
      <c r="A429" s="2" t="s">
        <v>1662</v>
      </c>
      <c r="B429" s="3" t="n">
        <v>45644</v>
      </c>
      <c r="C429" s="2" t="s">
        <v>1663</v>
      </c>
      <c r="D429" s="2" t="s">
        <v>77</v>
      </c>
      <c r="E429" s="2" t="n">
        <v>1</v>
      </c>
      <c r="F429" s="4" t="n">
        <v>161.24</v>
      </c>
      <c r="G429" s="2" t="s">
        <v>1664</v>
      </c>
      <c r="H429" s="2" t="s">
        <v>38</v>
      </c>
      <c r="I429" s="2" t="s">
        <v>93</v>
      </c>
      <c r="J429" s="2" t="s">
        <v>1665</v>
      </c>
      <c r="K429" s="2" t="n">
        <v>3</v>
      </c>
      <c r="L429" s="2" t="s">
        <v>85</v>
      </c>
      <c r="M429" s="2" t="s">
        <v>26</v>
      </c>
      <c r="N429" s="4" t="n">
        <v>161.24</v>
      </c>
      <c r="O429" s="2" t="str">
        <f aca="false">IF(COUNTIF($A$2:$A$1201,A429)&gt;1,"DUPLICATE","Unique")</f>
        <v>Unique</v>
      </c>
      <c r="P429" s="2" t="str">
        <f aca="false">IF(L429="","MISSING","OK")</f>
        <v>OK</v>
      </c>
      <c r="Q429" s="2" t="str">
        <f aca="false">IF(ISNUMBER(B429),"OK","BAD DATE")</f>
        <v>OK</v>
      </c>
      <c r="R429" s="2" t="str">
        <f aca="false">IF(ROUND(F429,2)=F429,"OK","FIX")</f>
        <v>OK</v>
      </c>
    </row>
    <row r="430" customFormat="false" ht="15" hidden="false" customHeight="false" outlineLevel="0" collapsed="false">
      <c r="A430" s="2" t="s">
        <v>1666</v>
      </c>
      <c r="B430" s="3" t="n">
        <v>45622</v>
      </c>
      <c r="C430" s="2" t="s">
        <v>1667</v>
      </c>
      <c r="D430" s="2" t="s">
        <v>45</v>
      </c>
      <c r="E430" s="2" t="n">
        <v>4</v>
      </c>
      <c r="F430" s="4" t="n">
        <v>262.58</v>
      </c>
      <c r="G430" s="2" t="s">
        <v>165</v>
      </c>
      <c r="H430" s="2" t="s">
        <v>31</v>
      </c>
      <c r="I430" s="2" t="s">
        <v>39</v>
      </c>
      <c r="J430" s="2" t="s">
        <v>1668</v>
      </c>
      <c r="K430" s="2" t="n">
        <v>8</v>
      </c>
      <c r="L430" s="2" t="s">
        <v>85</v>
      </c>
      <c r="M430" s="2" t="s">
        <v>42</v>
      </c>
      <c r="N430" s="4" t="n">
        <v>1050.32</v>
      </c>
      <c r="O430" s="2" t="str">
        <f aca="false">IF(COUNTIF($A$2:$A$1201,A430)&gt;1,"DUPLICATE","Unique")</f>
        <v>Unique</v>
      </c>
      <c r="P430" s="2" t="str">
        <f aca="false">IF(L430="","MISSING","OK")</f>
        <v>OK</v>
      </c>
      <c r="Q430" s="2" t="str">
        <f aca="false">IF(ISNUMBER(B430),"OK","BAD DATE")</f>
        <v>OK</v>
      </c>
      <c r="R430" s="2" t="str">
        <f aca="false">IF(ROUND(F430,2)=F430,"OK","FIX")</f>
        <v>OK</v>
      </c>
    </row>
    <row r="431" customFormat="false" ht="15" hidden="false" customHeight="false" outlineLevel="0" collapsed="false">
      <c r="A431" s="2" t="s">
        <v>1669</v>
      </c>
      <c r="B431" s="3" t="n">
        <v>45645</v>
      </c>
      <c r="C431" s="2" t="s">
        <v>1670</v>
      </c>
      <c r="D431" s="2" t="s">
        <v>52</v>
      </c>
      <c r="E431" s="2" t="n">
        <v>4</v>
      </c>
      <c r="F431" s="4" t="n">
        <v>515.19</v>
      </c>
      <c r="G431" s="2" t="s">
        <v>470</v>
      </c>
      <c r="H431" s="2" t="s">
        <v>38</v>
      </c>
      <c r="I431" s="2" t="s">
        <v>93</v>
      </c>
      <c r="J431" s="2" t="s">
        <v>1671</v>
      </c>
      <c r="K431" s="2" t="n">
        <v>9</v>
      </c>
      <c r="L431" s="2" t="s">
        <v>25</v>
      </c>
      <c r="M431" s="2" t="s">
        <v>49</v>
      </c>
      <c r="N431" s="4" t="n">
        <v>2060.76</v>
      </c>
      <c r="O431" s="2" t="str">
        <f aca="false">IF(COUNTIF($A$2:$A$1201,A431)&gt;1,"DUPLICATE","Unique")</f>
        <v>Unique</v>
      </c>
      <c r="P431" s="2" t="str">
        <f aca="false">IF(L431="","MISSING","OK")</f>
        <v>OK</v>
      </c>
      <c r="Q431" s="2" t="str">
        <f aca="false">IF(ISNUMBER(B431),"OK","BAD DATE")</f>
        <v>OK</v>
      </c>
      <c r="R431" s="2" t="str">
        <f aca="false">IF(ROUND(F431,2)=F431,"OK","FIX")</f>
        <v>OK</v>
      </c>
    </row>
    <row r="432" customFormat="false" ht="15" hidden="false" customHeight="false" outlineLevel="0" collapsed="false">
      <c r="A432" s="2" t="s">
        <v>1672</v>
      </c>
      <c r="B432" s="3" t="n">
        <v>45084</v>
      </c>
      <c r="C432" s="2" t="s">
        <v>1673</v>
      </c>
      <c r="D432" s="2" t="s">
        <v>29</v>
      </c>
      <c r="E432" s="2" t="n">
        <v>1</v>
      </c>
      <c r="F432" s="4" t="n">
        <v>450.07</v>
      </c>
      <c r="G432" s="2" t="s">
        <v>1674</v>
      </c>
      <c r="H432" s="2" t="s">
        <v>64</v>
      </c>
      <c r="I432" s="2" t="s">
        <v>23</v>
      </c>
      <c r="J432" s="2" t="s">
        <v>1675</v>
      </c>
      <c r="K432" s="2" t="n">
        <v>6</v>
      </c>
      <c r="L432" s="2" t="s">
        <v>41</v>
      </c>
      <c r="M432" s="2" t="s">
        <v>80</v>
      </c>
      <c r="N432" s="4" t="n">
        <v>450.07</v>
      </c>
      <c r="O432" s="2" t="str">
        <f aca="false">IF(COUNTIF($A$2:$A$1201,A432)&gt;1,"DUPLICATE","Unique")</f>
        <v>Unique</v>
      </c>
      <c r="P432" s="2" t="str">
        <f aca="false">IF(L432="","MISSING","OK")</f>
        <v>OK</v>
      </c>
      <c r="Q432" s="2" t="str">
        <f aca="false">IF(ISNUMBER(B432),"OK","BAD DATE")</f>
        <v>OK</v>
      </c>
      <c r="R432" s="2" t="str">
        <f aca="false">IF(ROUND(F432,2)=F432,"OK","FIX")</f>
        <v>OK</v>
      </c>
    </row>
    <row r="433" customFormat="false" ht="15" hidden="false" customHeight="false" outlineLevel="0" collapsed="false">
      <c r="A433" s="2" t="s">
        <v>1676</v>
      </c>
      <c r="B433" s="3" t="n">
        <v>45571</v>
      </c>
      <c r="C433" s="2" t="s">
        <v>1677</v>
      </c>
      <c r="D433" s="2" t="s">
        <v>52</v>
      </c>
      <c r="E433" s="2" t="n">
        <v>1</v>
      </c>
      <c r="F433" s="4" t="n">
        <v>52.54</v>
      </c>
      <c r="G433" s="2" t="s">
        <v>656</v>
      </c>
      <c r="H433" s="2" t="s">
        <v>22</v>
      </c>
      <c r="I433" s="2" t="s">
        <v>39</v>
      </c>
      <c r="J433" s="2" t="s">
        <v>1678</v>
      </c>
      <c r="K433" s="2" t="n">
        <v>6</v>
      </c>
      <c r="L433" s="2" t="s">
        <v>85</v>
      </c>
      <c r="M433" s="2" t="s">
        <v>49</v>
      </c>
      <c r="N433" s="4" t="n">
        <v>52.54</v>
      </c>
      <c r="O433" s="2" t="str">
        <f aca="false">IF(COUNTIF($A$2:$A$1201,A433)&gt;1,"DUPLICATE","Unique")</f>
        <v>Unique</v>
      </c>
      <c r="P433" s="2" t="str">
        <f aca="false">IF(L433="","MISSING","OK")</f>
        <v>OK</v>
      </c>
      <c r="Q433" s="2" t="str">
        <f aca="false">IF(ISNUMBER(B433),"OK","BAD DATE")</f>
        <v>OK</v>
      </c>
      <c r="R433" s="2" t="str">
        <f aca="false">IF(ROUND(F433,2)=F433,"OK","FIX")</f>
        <v>OK</v>
      </c>
    </row>
    <row r="434" customFormat="false" ht="15" hidden="false" customHeight="false" outlineLevel="0" collapsed="false">
      <c r="A434" s="2" t="s">
        <v>1679</v>
      </c>
      <c r="B434" s="3" t="n">
        <v>45173</v>
      </c>
      <c r="C434" s="2" t="s">
        <v>1680</v>
      </c>
      <c r="D434" s="2" t="s">
        <v>36</v>
      </c>
      <c r="E434" s="2" t="n">
        <v>2</v>
      </c>
      <c r="F434" s="4" t="n">
        <v>424.32</v>
      </c>
      <c r="G434" s="2" t="s">
        <v>1681</v>
      </c>
      <c r="H434" s="2" t="s">
        <v>38</v>
      </c>
      <c r="I434" s="2" t="s">
        <v>47</v>
      </c>
      <c r="J434" s="2" t="s">
        <v>1682</v>
      </c>
      <c r="K434" s="2" t="n">
        <v>6</v>
      </c>
      <c r="L434" s="2"/>
      <c r="M434" s="2" t="s">
        <v>33</v>
      </c>
      <c r="N434" s="4" t="n">
        <v>848.64</v>
      </c>
      <c r="O434" s="2" t="str">
        <f aca="false">IF(COUNTIF($A$2:$A$1201,A434)&gt;1,"DUPLICATE","Unique")</f>
        <v>Unique</v>
      </c>
      <c r="P434" s="2" t="str">
        <f aca="false">IF(L434="","MISSING","OK")</f>
        <v>MISSING</v>
      </c>
      <c r="Q434" s="2" t="str">
        <f aca="false">IF(ISNUMBER(B434),"OK","BAD DATE")</f>
        <v>OK</v>
      </c>
      <c r="R434" s="2" t="str">
        <f aca="false">IF(ROUND(F434,2)=F434,"OK","FIX")</f>
        <v>OK</v>
      </c>
    </row>
    <row r="435" customFormat="false" ht="15" hidden="false" customHeight="false" outlineLevel="0" collapsed="false">
      <c r="A435" s="2" t="s">
        <v>1683</v>
      </c>
      <c r="B435" s="3" t="n">
        <v>45164</v>
      </c>
      <c r="C435" s="2" t="s">
        <v>1684</v>
      </c>
      <c r="D435" s="2" t="s">
        <v>20</v>
      </c>
      <c r="E435" s="2" t="n">
        <v>3</v>
      </c>
      <c r="F435" s="4" t="n">
        <v>631.64</v>
      </c>
      <c r="G435" s="2" t="s">
        <v>1000</v>
      </c>
      <c r="H435" s="2" t="s">
        <v>38</v>
      </c>
      <c r="I435" s="2" t="s">
        <v>47</v>
      </c>
      <c r="J435" s="2" t="s">
        <v>1685</v>
      </c>
      <c r="K435" s="2" t="n">
        <v>3</v>
      </c>
      <c r="L435" s="2" t="s">
        <v>41</v>
      </c>
      <c r="M435" s="2" t="s">
        <v>49</v>
      </c>
      <c r="N435" s="4" t="n">
        <v>1894.92</v>
      </c>
      <c r="O435" s="2" t="str">
        <f aca="false">IF(COUNTIF($A$2:$A$1201,A435)&gt;1,"DUPLICATE","Unique")</f>
        <v>Unique</v>
      </c>
      <c r="P435" s="2" t="str">
        <f aca="false">IF(L435="","MISSING","OK")</f>
        <v>OK</v>
      </c>
      <c r="Q435" s="2" t="str">
        <f aca="false">IF(ISNUMBER(B435),"OK","BAD DATE")</f>
        <v>OK</v>
      </c>
      <c r="R435" s="2" t="str">
        <f aca="false">IF(ROUND(F435,2)=F435,"OK","FIX")</f>
        <v>OK</v>
      </c>
    </row>
    <row r="436" customFormat="false" ht="15" hidden="false" customHeight="false" outlineLevel="0" collapsed="false">
      <c r="A436" s="2" t="s">
        <v>1686</v>
      </c>
      <c r="B436" s="3" t="n">
        <v>45221</v>
      </c>
      <c r="C436" s="2" t="s">
        <v>1687</v>
      </c>
      <c r="D436" s="2" t="s">
        <v>52</v>
      </c>
      <c r="E436" s="2" t="n">
        <v>5</v>
      </c>
      <c r="F436" s="4" t="n">
        <v>327.68</v>
      </c>
      <c r="G436" s="2" t="s">
        <v>320</v>
      </c>
      <c r="H436" s="2" t="s">
        <v>38</v>
      </c>
      <c r="I436" s="2" t="s">
        <v>47</v>
      </c>
      <c r="J436" s="2" t="s">
        <v>1688</v>
      </c>
      <c r="K436" s="2" t="n">
        <v>6</v>
      </c>
      <c r="L436" s="2"/>
      <c r="M436" s="2" t="s">
        <v>49</v>
      </c>
      <c r="N436" s="4" t="n">
        <v>1638.4</v>
      </c>
      <c r="O436" s="2" t="str">
        <f aca="false">IF(COUNTIF($A$2:$A$1201,A436)&gt;1,"DUPLICATE","Unique")</f>
        <v>Unique</v>
      </c>
      <c r="P436" s="2" t="str">
        <f aca="false">IF(L436="","MISSING","OK")</f>
        <v>MISSING</v>
      </c>
      <c r="Q436" s="2" t="str">
        <f aca="false">IF(ISNUMBER(B436),"OK","BAD DATE")</f>
        <v>OK</v>
      </c>
      <c r="R436" s="2" t="str">
        <f aca="false">IF(ROUND(F436,2)=F436,"OK","FIX")</f>
        <v>OK</v>
      </c>
    </row>
    <row r="437" customFormat="false" ht="15" hidden="false" customHeight="false" outlineLevel="0" collapsed="false">
      <c r="A437" s="2" t="s">
        <v>1689</v>
      </c>
      <c r="B437" s="3" t="n">
        <v>45073</v>
      </c>
      <c r="C437" s="2" t="s">
        <v>1690</v>
      </c>
      <c r="D437" s="2" t="s">
        <v>52</v>
      </c>
      <c r="E437" s="2" t="n">
        <v>1</v>
      </c>
      <c r="F437" s="4" t="n">
        <v>414.47</v>
      </c>
      <c r="G437" s="2" t="s">
        <v>1260</v>
      </c>
      <c r="H437" s="2" t="s">
        <v>22</v>
      </c>
      <c r="I437" s="2" t="s">
        <v>47</v>
      </c>
      <c r="J437" s="2" t="s">
        <v>1691</v>
      </c>
      <c r="K437" s="2" t="n">
        <v>3</v>
      </c>
      <c r="L437" s="2" t="s">
        <v>41</v>
      </c>
      <c r="M437" s="2" t="s">
        <v>26</v>
      </c>
      <c r="N437" s="4" t="n">
        <v>414.47</v>
      </c>
      <c r="O437" s="2" t="str">
        <f aca="false">IF(COUNTIF($A$2:$A$1201,A437)&gt;1,"DUPLICATE","Unique")</f>
        <v>Unique</v>
      </c>
      <c r="P437" s="2" t="str">
        <f aca="false">IF(L437="","MISSING","OK")</f>
        <v>OK</v>
      </c>
      <c r="Q437" s="2" t="str">
        <f aca="false">IF(ISNUMBER(B437),"OK","BAD DATE")</f>
        <v>OK</v>
      </c>
      <c r="R437" s="2" t="str">
        <f aca="false">IF(ROUND(F437,2)=F437,"OK","FIX")</f>
        <v>OK</v>
      </c>
    </row>
    <row r="438" customFormat="false" ht="15" hidden="false" customHeight="false" outlineLevel="0" collapsed="false">
      <c r="A438" s="2" t="s">
        <v>1692</v>
      </c>
      <c r="B438" s="3" t="n">
        <v>44968</v>
      </c>
      <c r="C438" s="2" t="s">
        <v>1693</v>
      </c>
      <c r="D438" s="2" t="s">
        <v>62</v>
      </c>
      <c r="E438" s="2" t="n">
        <v>4</v>
      </c>
      <c r="F438" s="4" t="n">
        <v>221.33</v>
      </c>
      <c r="G438" s="2" t="s">
        <v>656</v>
      </c>
      <c r="H438" s="2" t="s">
        <v>31</v>
      </c>
      <c r="I438" s="2" t="s">
        <v>93</v>
      </c>
      <c r="J438" s="2" t="s">
        <v>1694</v>
      </c>
      <c r="K438" s="2" t="n">
        <v>5</v>
      </c>
      <c r="L438" s="2"/>
      <c r="M438" s="2" t="s">
        <v>80</v>
      </c>
      <c r="N438" s="4" t="n">
        <v>885.32</v>
      </c>
      <c r="O438" s="2" t="str">
        <f aca="false">IF(COUNTIF($A$2:$A$1201,A438)&gt;1,"DUPLICATE","Unique")</f>
        <v>Unique</v>
      </c>
      <c r="P438" s="2" t="str">
        <f aca="false">IF(L438="","MISSING","OK")</f>
        <v>MISSING</v>
      </c>
      <c r="Q438" s="2" t="str">
        <f aca="false">IF(ISNUMBER(B438),"OK","BAD DATE")</f>
        <v>OK</v>
      </c>
      <c r="R438" s="2" t="str">
        <f aca="false">IF(ROUND(F438,2)=F438,"OK","FIX")</f>
        <v>OK</v>
      </c>
    </row>
    <row r="439" customFormat="false" ht="15" hidden="false" customHeight="false" outlineLevel="0" collapsed="false">
      <c r="A439" s="2" t="s">
        <v>1695</v>
      </c>
      <c r="B439" s="3" t="n">
        <v>45400</v>
      </c>
      <c r="C439" s="2" t="s">
        <v>1696</v>
      </c>
      <c r="D439" s="2" t="s">
        <v>29</v>
      </c>
      <c r="E439" s="2" t="n">
        <v>1</v>
      </c>
      <c r="F439" s="4" t="n">
        <v>512.39</v>
      </c>
      <c r="G439" s="2" t="s">
        <v>1697</v>
      </c>
      <c r="H439" s="2" t="s">
        <v>31</v>
      </c>
      <c r="I439" s="2" t="s">
        <v>54</v>
      </c>
      <c r="J439" s="2" t="s">
        <v>1698</v>
      </c>
      <c r="K439" s="2" t="n">
        <v>2</v>
      </c>
      <c r="L439" s="2" t="s">
        <v>41</v>
      </c>
      <c r="M439" s="2" t="s">
        <v>26</v>
      </c>
      <c r="N439" s="4" t="n">
        <v>512.39</v>
      </c>
      <c r="O439" s="2" t="str">
        <f aca="false">IF(COUNTIF($A$2:$A$1201,A439)&gt;1,"DUPLICATE","Unique")</f>
        <v>Unique</v>
      </c>
      <c r="P439" s="2" t="str">
        <f aca="false">IF(L439="","MISSING","OK")</f>
        <v>OK</v>
      </c>
      <c r="Q439" s="2" t="str">
        <f aca="false">IF(ISNUMBER(B439),"OK","BAD DATE")</f>
        <v>OK</v>
      </c>
      <c r="R439" s="2" t="str">
        <f aca="false">IF(ROUND(F439,2)=F439,"OK","FIX")</f>
        <v>OK</v>
      </c>
    </row>
    <row r="440" customFormat="false" ht="15" hidden="false" customHeight="false" outlineLevel="0" collapsed="false">
      <c r="A440" s="2" t="s">
        <v>1699</v>
      </c>
      <c r="B440" s="3" t="n">
        <v>45660</v>
      </c>
      <c r="C440" s="2" t="s">
        <v>1700</v>
      </c>
      <c r="D440" s="2" t="s">
        <v>36</v>
      </c>
      <c r="E440" s="2" t="n">
        <v>3</v>
      </c>
      <c r="F440" s="4" t="n">
        <v>459.34</v>
      </c>
      <c r="G440" s="2" t="s">
        <v>1701</v>
      </c>
      <c r="H440" s="2" t="s">
        <v>64</v>
      </c>
      <c r="I440" s="2" t="s">
        <v>93</v>
      </c>
      <c r="J440" s="2" t="s">
        <v>1702</v>
      </c>
      <c r="K440" s="2" t="n">
        <v>3</v>
      </c>
      <c r="L440" s="2" t="s">
        <v>25</v>
      </c>
      <c r="M440" s="2" t="s">
        <v>26</v>
      </c>
      <c r="N440" s="4" t="n">
        <v>1378.02</v>
      </c>
      <c r="O440" s="2" t="str">
        <f aca="false">IF(COUNTIF($A$2:$A$1201,A440)&gt;1,"DUPLICATE","Unique")</f>
        <v>Unique</v>
      </c>
      <c r="P440" s="2" t="str">
        <f aca="false">IF(L440="","MISSING","OK")</f>
        <v>OK</v>
      </c>
      <c r="Q440" s="2" t="str">
        <f aca="false">IF(ISNUMBER(B440),"OK","BAD DATE")</f>
        <v>OK</v>
      </c>
      <c r="R440" s="2" t="str">
        <f aca="false">IF(ROUND(F440,2)=F440,"OK","FIX")</f>
        <v>OK</v>
      </c>
    </row>
    <row r="441" customFormat="false" ht="15" hidden="false" customHeight="false" outlineLevel="0" collapsed="false">
      <c r="A441" s="2" t="s">
        <v>1703</v>
      </c>
      <c r="B441" s="3" t="n">
        <v>45543</v>
      </c>
      <c r="C441" s="2" t="s">
        <v>1704</v>
      </c>
      <c r="D441" s="2" t="s">
        <v>36</v>
      </c>
      <c r="E441" s="2" t="n">
        <v>1</v>
      </c>
      <c r="F441" s="4" t="n">
        <v>146.32</v>
      </c>
      <c r="G441" s="2" t="s">
        <v>1705</v>
      </c>
      <c r="H441" s="2" t="s">
        <v>31</v>
      </c>
      <c r="I441" s="2" t="s">
        <v>23</v>
      </c>
      <c r="J441" s="2" t="s">
        <v>1706</v>
      </c>
      <c r="K441" s="2" t="n">
        <v>4</v>
      </c>
      <c r="L441" s="2" t="s">
        <v>85</v>
      </c>
      <c r="M441" s="2" t="s">
        <v>49</v>
      </c>
      <c r="N441" s="4" t="n">
        <v>146.32</v>
      </c>
      <c r="O441" s="2" t="str">
        <f aca="false">IF(COUNTIF($A$2:$A$1201,A441)&gt;1,"DUPLICATE","Unique")</f>
        <v>Unique</v>
      </c>
      <c r="P441" s="2" t="str">
        <f aca="false">IF(L441="","MISSING","OK")</f>
        <v>OK</v>
      </c>
      <c r="Q441" s="2" t="str">
        <f aca="false">IF(ISNUMBER(B441),"OK","BAD DATE")</f>
        <v>OK</v>
      </c>
      <c r="R441" s="2" t="str">
        <f aca="false">IF(ROUND(F441,2)=F441,"OK","FIX")</f>
        <v>OK</v>
      </c>
    </row>
    <row r="442" customFormat="false" ht="15" hidden="false" customHeight="false" outlineLevel="0" collapsed="false">
      <c r="A442" s="2" t="s">
        <v>1707</v>
      </c>
      <c r="B442" s="3" t="n">
        <v>45601</v>
      </c>
      <c r="C442" s="2" t="s">
        <v>1708</v>
      </c>
      <c r="D442" s="2" t="s">
        <v>77</v>
      </c>
      <c r="E442" s="2" t="n">
        <v>4</v>
      </c>
      <c r="F442" s="4" t="n">
        <v>83.6</v>
      </c>
      <c r="G442" s="2" t="s">
        <v>1248</v>
      </c>
      <c r="H442" s="2" t="s">
        <v>22</v>
      </c>
      <c r="I442" s="2" t="s">
        <v>93</v>
      </c>
      <c r="J442" s="2" t="s">
        <v>1709</v>
      </c>
      <c r="K442" s="2" t="n">
        <v>4</v>
      </c>
      <c r="L442" s="2" t="s">
        <v>25</v>
      </c>
      <c r="M442" s="2" t="s">
        <v>49</v>
      </c>
      <c r="N442" s="4" t="n">
        <v>334.4</v>
      </c>
      <c r="O442" s="2" t="str">
        <f aca="false">IF(COUNTIF($A$2:$A$1201,A442)&gt;1,"DUPLICATE","Unique")</f>
        <v>Unique</v>
      </c>
      <c r="P442" s="2" t="str">
        <f aca="false">IF(L442="","MISSING","OK")</f>
        <v>OK</v>
      </c>
      <c r="Q442" s="2" t="str">
        <f aca="false">IF(ISNUMBER(B442),"OK","BAD DATE")</f>
        <v>OK</v>
      </c>
      <c r="R442" s="2" t="str">
        <f aca="false">IF(ROUND(F442,2)=F442,"OK","FIX")</f>
        <v>OK</v>
      </c>
    </row>
    <row r="443" customFormat="false" ht="15" hidden="false" customHeight="false" outlineLevel="0" collapsed="false">
      <c r="A443" s="2" t="s">
        <v>1710</v>
      </c>
      <c r="B443" s="3" t="n">
        <v>45273</v>
      </c>
      <c r="C443" s="2" t="s">
        <v>1711</v>
      </c>
      <c r="D443" s="2" t="s">
        <v>52</v>
      </c>
      <c r="E443" s="2" t="n">
        <v>2</v>
      </c>
      <c r="F443" s="4" t="n">
        <v>328.54</v>
      </c>
      <c r="G443" s="2" t="s">
        <v>1712</v>
      </c>
      <c r="H443" s="2" t="s">
        <v>64</v>
      </c>
      <c r="I443" s="2" t="s">
        <v>47</v>
      </c>
      <c r="J443" s="2" t="s">
        <v>1713</v>
      </c>
      <c r="K443" s="2" t="n">
        <v>6</v>
      </c>
      <c r="L443" s="2" t="s">
        <v>41</v>
      </c>
      <c r="M443" s="2" t="s">
        <v>42</v>
      </c>
      <c r="N443" s="4" t="n">
        <v>657.08</v>
      </c>
      <c r="O443" s="2" t="str">
        <f aca="false">IF(COUNTIF($A$2:$A$1201,A443)&gt;1,"DUPLICATE","Unique")</f>
        <v>Unique</v>
      </c>
      <c r="P443" s="2" t="str">
        <f aca="false">IF(L443="","MISSING","OK")</f>
        <v>OK</v>
      </c>
      <c r="Q443" s="2" t="str">
        <f aca="false">IF(ISNUMBER(B443),"OK","BAD DATE")</f>
        <v>OK</v>
      </c>
      <c r="R443" s="2" t="str">
        <f aca="false">IF(ROUND(F443,2)=F443,"OK","FIX")</f>
        <v>OK</v>
      </c>
    </row>
    <row r="444" customFormat="false" ht="15" hidden="false" customHeight="false" outlineLevel="0" collapsed="false">
      <c r="A444" s="2" t="s">
        <v>1714</v>
      </c>
      <c r="B444" s="3" t="n">
        <v>45418</v>
      </c>
      <c r="C444" s="2" t="s">
        <v>1715</v>
      </c>
      <c r="D444" s="2" t="s">
        <v>45</v>
      </c>
      <c r="E444" s="2" t="n">
        <v>5</v>
      </c>
      <c r="F444" s="4" t="n">
        <v>314.94</v>
      </c>
      <c r="G444" s="2" t="s">
        <v>1716</v>
      </c>
      <c r="H444" s="2" t="s">
        <v>69</v>
      </c>
      <c r="I444" s="2" t="s">
        <v>93</v>
      </c>
      <c r="J444" s="2" t="s">
        <v>1717</v>
      </c>
      <c r="K444" s="2" t="n">
        <v>8</v>
      </c>
      <c r="L444" s="2" t="s">
        <v>25</v>
      </c>
      <c r="M444" s="2" t="s">
        <v>26</v>
      </c>
      <c r="N444" s="4" t="n">
        <v>1574.7</v>
      </c>
      <c r="O444" s="2" t="str">
        <f aca="false">IF(COUNTIF($A$2:$A$1201,A444)&gt;1,"DUPLICATE","Unique")</f>
        <v>Unique</v>
      </c>
      <c r="P444" s="2" t="str">
        <f aca="false">IF(L444="","MISSING","OK")</f>
        <v>OK</v>
      </c>
      <c r="Q444" s="2" t="str">
        <f aca="false">IF(ISNUMBER(B444),"OK","BAD DATE")</f>
        <v>OK</v>
      </c>
      <c r="R444" s="2" t="str">
        <f aca="false">IF(ROUND(F444,2)=F444,"OK","FIX")</f>
        <v>OK</v>
      </c>
    </row>
    <row r="445" customFormat="false" ht="15" hidden="false" customHeight="false" outlineLevel="0" collapsed="false">
      <c r="A445" s="2" t="s">
        <v>1718</v>
      </c>
      <c r="B445" s="3" t="n">
        <v>45426</v>
      </c>
      <c r="C445" s="2" t="s">
        <v>1719</v>
      </c>
      <c r="D445" s="2" t="s">
        <v>45</v>
      </c>
      <c r="E445" s="2" t="n">
        <v>2</v>
      </c>
      <c r="F445" s="4" t="n">
        <v>69.64</v>
      </c>
      <c r="G445" s="2" t="s">
        <v>293</v>
      </c>
      <c r="H445" s="2" t="s">
        <v>69</v>
      </c>
      <c r="I445" s="2" t="s">
        <v>47</v>
      </c>
      <c r="J445" s="2" t="s">
        <v>1720</v>
      </c>
      <c r="K445" s="2" t="n">
        <v>6</v>
      </c>
      <c r="L445" s="2"/>
      <c r="M445" s="2" t="s">
        <v>49</v>
      </c>
      <c r="N445" s="4" t="n">
        <v>139.28</v>
      </c>
      <c r="O445" s="2" t="str">
        <f aca="false">IF(COUNTIF($A$2:$A$1201,A445)&gt;1,"DUPLICATE","Unique")</f>
        <v>Unique</v>
      </c>
      <c r="P445" s="2" t="str">
        <f aca="false">IF(L445="","MISSING","OK")</f>
        <v>MISSING</v>
      </c>
      <c r="Q445" s="2" t="str">
        <f aca="false">IF(ISNUMBER(B445),"OK","BAD DATE")</f>
        <v>OK</v>
      </c>
      <c r="R445" s="2" t="str">
        <f aca="false">IF(ROUND(F445,2)=F445,"OK","FIX")</f>
        <v>OK</v>
      </c>
    </row>
    <row r="446" customFormat="false" ht="15" hidden="false" customHeight="false" outlineLevel="0" collapsed="false">
      <c r="A446" s="2" t="s">
        <v>1721</v>
      </c>
      <c r="B446" s="3" t="n">
        <v>45451</v>
      </c>
      <c r="C446" s="2" t="s">
        <v>1722</v>
      </c>
      <c r="D446" s="2" t="s">
        <v>52</v>
      </c>
      <c r="E446" s="2" t="n">
        <v>1</v>
      </c>
      <c r="F446" s="4" t="n">
        <v>135.17</v>
      </c>
      <c r="G446" s="2" t="s">
        <v>1723</v>
      </c>
      <c r="H446" s="2" t="s">
        <v>31</v>
      </c>
      <c r="I446" s="2" t="s">
        <v>23</v>
      </c>
      <c r="J446" s="2" t="s">
        <v>1724</v>
      </c>
      <c r="K446" s="2" t="n">
        <v>6</v>
      </c>
      <c r="L446" s="2" t="s">
        <v>41</v>
      </c>
      <c r="M446" s="2" t="s">
        <v>26</v>
      </c>
      <c r="N446" s="4" t="n">
        <v>135.17</v>
      </c>
      <c r="O446" s="2" t="str">
        <f aca="false">IF(COUNTIF($A$2:$A$1201,A446)&gt;1,"DUPLICATE","Unique")</f>
        <v>Unique</v>
      </c>
      <c r="P446" s="2" t="str">
        <f aca="false">IF(L446="","MISSING","OK")</f>
        <v>OK</v>
      </c>
      <c r="Q446" s="2" t="str">
        <f aca="false">IF(ISNUMBER(B446),"OK","BAD DATE")</f>
        <v>OK</v>
      </c>
      <c r="R446" s="2" t="str">
        <f aca="false">IF(ROUND(F446,2)=F446,"OK","FIX")</f>
        <v>OK</v>
      </c>
    </row>
    <row r="447" customFormat="false" ht="15" hidden="false" customHeight="false" outlineLevel="0" collapsed="false">
      <c r="A447" s="2" t="s">
        <v>1725</v>
      </c>
      <c r="B447" s="3" t="n">
        <v>45374</v>
      </c>
      <c r="C447" s="2" t="s">
        <v>1726</v>
      </c>
      <c r="D447" s="2" t="s">
        <v>29</v>
      </c>
      <c r="E447" s="2" t="n">
        <v>1</v>
      </c>
      <c r="F447" s="4" t="n">
        <v>487.21</v>
      </c>
      <c r="G447" s="2" t="s">
        <v>1727</v>
      </c>
      <c r="H447" s="2" t="s">
        <v>69</v>
      </c>
      <c r="I447" s="2" t="s">
        <v>54</v>
      </c>
      <c r="J447" s="2" t="s">
        <v>1728</v>
      </c>
      <c r="K447" s="2" t="n">
        <v>3</v>
      </c>
      <c r="L447" s="2" t="s">
        <v>25</v>
      </c>
      <c r="M447" s="2" t="s">
        <v>33</v>
      </c>
      <c r="N447" s="4" t="n">
        <v>487.21</v>
      </c>
      <c r="O447" s="2" t="str">
        <f aca="false">IF(COUNTIF($A$2:$A$1201,A447)&gt;1,"DUPLICATE","Unique")</f>
        <v>Unique</v>
      </c>
      <c r="P447" s="2" t="str">
        <f aca="false">IF(L447="","MISSING","OK")</f>
        <v>OK</v>
      </c>
      <c r="Q447" s="2" t="str">
        <f aca="false">IF(ISNUMBER(B447),"OK","BAD DATE")</f>
        <v>OK</v>
      </c>
      <c r="R447" s="2" t="str">
        <f aca="false">IF(ROUND(F447,2)=F447,"OK","FIX")</f>
        <v>OK</v>
      </c>
    </row>
    <row r="448" customFormat="false" ht="15" hidden="false" customHeight="false" outlineLevel="0" collapsed="false">
      <c r="A448" s="2" t="s">
        <v>1729</v>
      </c>
      <c r="B448" s="3" t="n">
        <v>45217</v>
      </c>
      <c r="C448" s="2" t="s">
        <v>1730</v>
      </c>
      <c r="D448" s="2" t="s">
        <v>62</v>
      </c>
      <c r="E448" s="2" t="n">
        <v>5</v>
      </c>
      <c r="F448" s="4" t="n">
        <v>509.58</v>
      </c>
      <c r="G448" s="2" t="s">
        <v>1731</v>
      </c>
      <c r="H448" s="2" t="s">
        <v>31</v>
      </c>
      <c r="I448" s="2" t="s">
        <v>54</v>
      </c>
      <c r="J448" s="2" t="s">
        <v>1732</v>
      </c>
      <c r="K448" s="2" t="n">
        <v>6</v>
      </c>
      <c r="L448" s="2" t="s">
        <v>41</v>
      </c>
      <c r="M448" s="2" t="s">
        <v>26</v>
      </c>
      <c r="N448" s="4" t="n">
        <v>2547.9</v>
      </c>
      <c r="O448" s="2" t="str">
        <f aca="false">IF(COUNTIF($A$2:$A$1201,A448)&gt;1,"DUPLICATE","Unique")</f>
        <v>Unique</v>
      </c>
      <c r="P448" s="2" t="str">
        <f aca="false">IF(L448="","MISSING","OK")</f>
        <v>OK</v>
      </c>
      <c r="Q448" s="2" t="str">
        <f aca="false">IF(ISNUMBER(B448),"OK","BAD DATE")</f>
        <v>OK</v>
      </c>
      <c r="R448" s="2" t="str">
        <f aca="false">IF(ROUND(F448,2)=F448,"OK","FIX")</f>
        <v>OK</v>
      </c>
    </row>
    <row r="449" customFormat="false" ht="15" hidden="false" customHeight="false" outlineLevel="0" collapsed="false">
      <c r="A449" s="2" t="s">
        <v>1733</v>
      </c>
      <c r="B449" s="3" t="n">
        <v>45389</v>
      </c>
      <c r="C449" s="2" t="s">
        <v>1734</v>
      </c>
      <c r="D449" s="2" t="s">
        <v>52</v>
      </c>
      <c r="E449" s="2" t="n">
        <v>2</v>
      </c>
      <c r="F449" s="4" t="n">
        <v>416.81</v>
      </c>
      <c r="G449" s="2" t="s">
        <v>1735</v>
      </c>
      <c r="H449" s="2" t="s">
        <v>69</v>
      </c>
      <c r="I449" s="2" t="s">
        <v>47</v>
      </c>
      <c r="J449" s="2" t="s">
        <v>1736</v>
      </c>
      <c r="K449" s="2" t="n">
        <v>2</v>
      </c>
      <c r="L449" s="2"/>
      <c r="M449" s="2" t="s">
        <v>49</v>
      </c>
      <c r="N449" s="4" t="n">
        <v>833.62</v>
      </c>
      <c r="O449" s="2" t="str">
        <f aca="false">IF(COUNTIF($A$2:$A$1201,A449)&gt;1,"DUPLICATE","Unique")</f>
        <v>Unique</v>
      </c>
      <c r="P449" s="2" t="str">
        <f aca="false">IF(L449="","MISSING","OK")</f>
        <v>MISSING</v>
      </c>
      <c r="Q449" s="2" t="str">
        <f aca="false">IF(ISNUMBER(B449),"OK","BAD DATE")</f>
        <v>OK</v>
      </c>
      <c r="R449" s="2" t="str">
        <f aca="false">IF(ROUND(F449,2)=F449,"OK","FIX")</f>
        <v>OK</v>
      </c>
    </row>
    <row r="450" customFormat="false" ht="15" hidden="false" customHeight="false" outlineLevel="0" collapsed="false">
      <c r="A450" s="2" t="s">
        <v>1737</v>
      </c>
      <c r="B450" s="3" t="n">
        <v>45173</v>
      </c>
      <c r="C450" s="2" t="s">
        <v>1738</v>
      </c>
      <c r="D450" s="2" t="s">
        <v>62</v>
      </c>
      <c r="E450" s="2" t="n">
        <v>2</v>
      </c>
      <c r="F450" s="4" t="n">
        <v>160</v>
      </c>
      <c r="G450" s="2" t="s">
        <v>1739</v>
      </c>
      <c r="H450" s="2" t="s">
        <v>69</v>
      </c>
      <c r="I450" s="2" t="s">
        <v>93</v>
      </c>
      <c r="J450" s="2" t="s">
        <v>1740</v>
      </c>
      <c r="K450" s="2" t="n">
        <v>4</v>
      </c>
      <c r="L450" s="2" t="s">
        <v>25</v>
      </c>
      <c r="M450" s="2" t="s">
        <v>26</v>
      </c>
      <c r="N450" s="4" t="n">
        <v>320</v>
      </c>
      <c r="O450" s="2" t="str">
        <f aca="false">IF(COUNTIF($A$2:$A$1201,A450)&gt;1,"DUPLICATE","Unique")</f>
        <v>Unique</v>
      </c>
      <c r="P450" s="2" t="str">
        <f aca="false">IF(L450="","MISSING","OK")</f>
        <v>OK</v>
      </c>
      <c r="Q450" s="2" t="str">
        <f aca="false">IF(ISNUMBER(B450),"OK","BAD DATE")</f>
        <v>OK</v>
      </c>
      <c r="R450" s="2" t="str">
        <f aca="false">IF(ROUND(F450,2)=F450,"OK","FIX")</f>
        <v>OK</v>
      </c>
    </row>
    <row r="451" customFormat="false" ht="15" hidden="false" customHeight="false" outlineLevel="0" collapsed="false">
      <c r="A451" s="2" t="s">
        <v>1741</v>
      </c>
      <c r="B451" s="3" t="n">
        <v>45530</v>
      </c>
      <c r="C451" s="2" t="s">
        <v>1742</v>
      </c>
      <c r="D451" s="2" t="s">
        <v>36</v>
      </c>
      <c r="E451" s="2" t="n">
        <v>3</v>
      </c>
      <c r="F451" s="4" t="n">
        <v>253.05</v>
      </c>
      <c r="G451" s="2" t="s">
        <v>1743</v>
      </c>
      <c r="H451" s="2" t="s">
        <v>31</v>
      </c>
      <c r="I451" s="2" t="s">
        <v>93</v>
      </c>
      <c r="J451" s="2" t="s">
        <v>1744</v>
      </c>
      <c r="K451" s="2" t="n">
        <v>3</v>
      </c>
      <c r="L451" s="2"/>
      <c r="M451" s="2" t="s">
        <v>26</v>
      </c>
      <c r="N451" s="4" t="n">
        <v>759.15</v>
      </c>
      <c r="O451" s="2" t="str">
        <f aca="false">IF(COUNTIF($A$2:$A$1201,A451)&gt;1,"DUPLICATE","Unique")</f>
        <v>Unique</v>
      </c>
      <c r="P451" s="2" t="str">
        <f aca="false">IF(L451="","MISSING","OK")</f>
        <v>MISSING</v>
      </c>
      <c r="Q451" s="2" t="str">
        <f aca="false">IF(ISNUMBER(B451),"OK","BAD DATE")</f>
        <v>OK</v>
      </c>
      <c r="R451" s="2" t="str">
        <f aca="false">IF(ROUND(F451,2)=F451,"OK","FIX")</f>
        <v>OK</v>
      </c>
    </row>
    <row r="452" customFormat="false" ht="15" hidden="false" customHeight="false" outlineLevel="0" collapsed="false">
      <c r="A452" s="2" t="s">
        <v>1745</v>
      </c>
      <c r="B452" s="3" t="n">
        <v>45306</v>
      </c>
      <c r="C452" s="2" t="s">
        <v>1746</v>
      </c>
      <c r="D452" s="2" t="s">
        <v>20</v>
      </c>
      <c r="E452" s="2" t="n">
        <v>5</v>
      </c>
      <c r="F452" s="4" t="n">
        <v>615.1</v>
      </c>
      <c r="G452" s="2" t="s">
        <v>1747</v>
      </c>
      <c r="H452" s="2" t="s">
        <v>64</v>
      </c>
      <c r="I452" s="2" t="s">
        <v>47</v>
      </c>
      <c r="J452" s="2" t="s">
        <v>1748</v>
      </c>
      <c r="K452" s="2" t="n">
        <v>10</v>
      </c>
      <c r="L452" s="2" t="s">
        <v>85</v>
      </c>
      <c r="M452" s="2" t="s">
        <v>26</v>
      </c>
      <c r="N452" s="4" t="n">
        <v>3075.5</v>
      </c>
      <c r="O452" s="2" t="str">
        <f aca="false">IF(COUNTIF($A$2:$A$1201,A452)&gt;1,"DUPLICATE","Unique")</f>
        <v>Unique</v>
      </c>
      <c r="P452" s="2" t="str">
        <f aca="false">IF(L452="","MISSING","OK")</f>
        <v>OK</v>
      </c>
      <c r="Q452" s="2" t="str">
        <f aca="false">IF(ISNUMBER(B452),"OK","BAD DATE")</f>
        <v>OK</v>
      </c>
      <c r="R452" s="2" t="str">
        <f aca="false">IF(ROUND(F452,2)=F452,"OK","FIX")</f>
        <v>OK</v>
      </c>
    </row>
    <row r="453" customFormat="false" ht="15" hidden="false" customHeight="false" outlineLevel="0" collapsed="false">
      <c r="A453" s="2" t="s">
        <v>1749</v>
      </c>
      <c r="B453" s="3" t="n">
        <v>45017</v>
      </c>
      <c r="C453" s="2" t="s">
        <v>1750</v>
      </c>
      <c r="D453" s="2" t="s">
        <v>20</v>
      </c>
      <c r="E453" s="2" t="n">
        <v>1</v>
      </c>
      <c r="F453" s="4" t="n">
        <v>183.18</v>
      </c>
      <c r="G453" s="2" t="s">
        <v>454</v>
      </c>
      <c r="H453" s="2" t="s">
        <v>22</v>
      </c>
      <c r="I453" s="2" t="s">
        <v>39</v>
      </c>
      <c r="J453" s="2" t="s">
        <v>1751</v>
      </c>
      <c r="K453" s="2" t="n">
        <v>6</v>
      </c>
      <c r="L453" s="2" t="s">
        <v>25</v>
      </c>
      <c r="M453" s="2" t="s">
        <v>42</v>
      </c>
      <c r="N453" s="4" t="n">
        <v>183.18</v>
      </c>
      <c r="O453" s="2" t="str">
        <f aca="false">IF(COUNTIF($A$2:$A$1201,A453)&gt;1,"DUPLICATE","Unique")</f>
        <v>Unique</v>
      </c>
      <c r="P453" s="2" t="str">
        <f aca="false">IF(L453="","MISSING","OK")</f>
        <v>OK</v>
      </c>
      <c r="Q453" s="2" t="str">
        <f aca="false">IF(ISNUMBER(B453),"OK","BAD DATE")</f>
        <v>OK</v>
      </c>
      <c r="R453" s="2" t="str">
        <f aca="false">IF(ROUND(F453,2)=F453,"OK","FIX")</f>
        <v>OK</v>
      </c>
    </row>
    <row r="454" customFormat="false" ht="15" hidden="false" customHeight="false" outlineLevel="0" collapsed="false">
      <c r="A454" s="2" t="s">
        <v>1752</v>
      </c>
      <c r="B454" s="3" t="n">
        <v>45130</v>
      </c>
      <c r="C454" s="2" t="s">
        <v>1753</v>
      </c>
      <c r="D454" s="2" t="s">
        <v>52</v>
      </c>
      <c r="E454" s="2" t="n">
        <v>1</v>
      </c>
      <c r="F454" s="4" t="n">
        <v>75.78</v>
      </c>
      <c r="G454" s="2" t="s">
        <v>1754</v>
      </c>
      <c r="H454" s="2" t="s">
        <v>69</v>
      </c>
      <c r="I454" s="2" t="s">
        <v>93</v>
      </c>
      <c r="J454" s="2" t="s">
        <v>1755</v>
      </c>
      <c r="K454" s="2" t="n">
        <v>5</v>
      </c>
      <c r="L454" s="2" t="s">
        <v>25</v>
      </c>
      <c r="M454" s="2" t="s">
        <v>80</v>
      </c>
      <c r="N454" s="4" t="n">
        <v>75.78</v>
      </c>
      <c r="O454" s="2" t="str">
        <f aca="false">IF(COUNTIF($A$2:$A$1201,A454)&gt;1,"DUPLICATE","Unique")</f>
        <v>Unique</v>
      </c>
      <c r="P454" s="2" t="str">
        <f aca="false">IF(L454="","MISSING","OK")</f>
        <v>OK</v>
      </c>
      <c r="Q454" s="2" t="str">
        <f aca="false">IF(ISNUMBER(B454),"OK","BAD DATE")</f>
        <v>OK</v>
      </c>
      <c r="R454" s="2" t="str">
        <f aca="false">IF(ROUND(F454,2)=F454,"OK","FIX")</f>
        <v>OK</v>
      </c>
    </row>
    <row r="455" customFormat="false" ht="15" hidden="false" customHeight="false" outlineLevel="0" collapsed="false">
      <c r="A455" s="2" t="s">
        <v>1756</v>
      </c>
      <c r="B455" s="3" t="n">
        <v>45779</v>
      </c>
      <c r="C455" s="2" t="s">
        <v>1757</v>
      </c>
      <c r="D455" s="2" t="s">
        <v>36</v>
      </c>
      <c r="E455" s="2" t="n">
        <v>1</v>
      </c>
      <c r="F455" s="4" t="n">
        <v>675.57</v>
      </c>
      <c r="G455" s="2" t="s">
        <v>1758</v>
      </c>
      <c r="H455" s="2" t="s">
        <v>69</v>
      </c>
      <c r="I455" s="2" t="s">
        <v>23</v>
      </c>
      <c r="J455" s="2" t="s">
        <v>1759</v>
      </c>
      <c r="K455" s="2" t="n">
        <v>1</v>
      </c>
      <c r="L455" s="2" t="s">
        <v>85</v>
      </c>
      <c r="M455" s="2" t="s">
        <v>49</v>
      </c>
      <c r="N455" s="4" t="n">
        <v>675.57</v>
      </c>
      <c r="O455" s="2" t="str">
        <f aca="false">IF(COUNTIF($A$2:$A$1201,A455)&gt;1,"DUPLICATE","Unique")</f>
        <v>Unique</v>
      </c>
      <c r="P455" s="2" t="str">
        <f aca="false">IF(L455="","MISSING","OK")</f>
        <v>OK</v>
      </c>
      <c r="Q455" s="2" t="str">
        <f aca="false">IF(ISNUMBER(B455),"OK","BAD DATE")</f>
        <v>OK</v>
      </c>
      <c r="R455" s="2" t="str">
        <f aca="false">IF(ROUND(F455,2)=F455,"OK","FIX")</f>
        <v>OK</v>
      </c>
    </row>
    <row r="456" customFormat="false" ht="15" hidden="false" customHeight="false" outlineLevel="0" collapsed="false">
      <c r="A456" s="2" t="s">
        <v>1760</v>
      </c>
      <c r="B456" s="3" t="n">
        <v>45623</v>
      </c>
      <c r="C456" s="2" t="s">
        <v>1761</v>
      </c>
      <c r="D456" s="2" t="s">
        <v>62</v>
      </c>
      <c r="E456" s="2" t="n">
        <v>1</v>
      </c>
      <c r="F456" s="4" t="n">
        <v>109.29</v>
      </c>
      <c r="G456" s="2" t="s">
        <v>1762</v>
      </c>
      <c r="H456" s="2" t="s">
        <v>22</v>
      </c>
      <c r="I456" s="2" t="s">
        <v>39</v>
      </c>
      <c r="J456" s="2" t="s">
        <v>1763</v>
      </c>
      <c r="K456" s="2" t="n">
        <v>5</v>
      </c>
      <c r="L456" s="2" t="s">
        <v>41</v>
      </c>
      <c r="M456" s="2" t="s">
        <v>80</v>
      </c>
      <c r="N456" s="4" t="n">
        <v>109.29</v>
      </c>
      <c r="O456" s="2" t="str">
        <f aca="false">IF(COUNTIF($A$2:$A$1201,A456)&gt;1,"DUPLICATE","Unique")</f>
        <v>Unique</v>
      </c>
      <c r="P456" s="2" t="str">
        <f aca="false">IF(L456="","MISSING","OK")</f>
        <v>OK</v>
      </c>
      <c r="Q456" s="2" t="str">
        <f aca="false">IF(ISNUMBER(B456),"OK","BAD DATE")</f>
        <v>OK</v>
      </c>
      <c r="R456" s="2" t="str">
        <f aca="false">IF(ROUND(F456,2)=F456,"OK","FIX")</f>
        <v>OK</v>
      </c>
    </row>
    <row r="457" customFormat="false" ht="15" hidden="false" customHeight="false" outlineLevel="0" collapsed="false">
      <c r="A457" s="2" t="s">
        <v>1764</v>
      </c>
      <c r="B457" s="3" t="n">
        <v>45377</v>
      </c>
      <c r="C457" s="2" t="s">
        <v>1765</v>
      </c>
      <c r="D457" s="2" t="s">
        <v>29</v>
      </c>
      <c r="E457" s="2" t="n">
        <v>1</v>
      </c>
      <c r="F457" s="4" t="n">
        <v>639.83</v>
      </c>
      <c r="G457" s="2" t="s">
        <v>1766</v>
      </c>
      <c r="H457" s="2" t="s">
        <v>22</v>
      </c>
      <c r="I457" s="2" t="s">
        <v>93</v>
      </c>
      <c r="J457" s="2" t="s">
        <v>1767</v>
      </c>
      <c r="K457" s="2" t="n">
        <v>2</v>
      </c>
      <c r="L457" s="2" t="s">
        <v>25</v>
      </c>
      <c r="M457" s="2" t="s">
        <v>33</v>
      </c>
      <c r="N457" s="4" t="n">
        <v>639.83</v>
      </c>
      <c r="O457" s="2" t="str">
        <f aca="false">IF(COUNTIF($A$2:$A$1201,A457)&gt;1,"DUPLICATE","Unique")</f>
        <v>Unique</v>
      </c>
      <c r="P457" s="2" t="str">
        <f aca="false">IF(L457="","MISSING","OK")</f>
        <v>OK</v>
      </c>
      <c r="Q457" s="2" t="str">
        <f aca="false">IF(ISNUMBER(B457),"OK","BAD DATE")</f>
        <v>OK</v>
      </c>
      <c r="R457" s="2" t="str">
        <f aca="false">IF(ROUND(F457,2)=F457,"OK","FIX")</f>
        <v>OK</v>
      </c>
    </row>
    <row r="458" customFormat="false" ht="15" hidden="false" customHeight="false" outlineLevel="0" collapsed="false">
      <c r="A458" s="2" t="s">
        <v>1768</v>
      </c>
      <c r="B458" s="3" t="n">
        <v>45103</v>
      </c>
      <c r="C458" s="2" t="s">
        <v>1769</v>
      </c>
      <c r="D458" s="2" t="s">
        <v>77</v>
      </c>
      <c r="E458" s="2" t="n">
        <v>5</v>
      </c>
      <c r="F458" s="4" t="n">
        <v>62.81</v>
      </c>
      <c r="G458" s="2" t="s">
        <v>1368</v>
      </c>
      <c r="H458" s="2" t="s">
        <v>38</v>
      </c>
      <c r="I458" s="2" t="s">
        <v>23</v>
      </c>
      <c r="J458" s="2" t="s">
        <v>1770</v>
      </c>
      <c r="K458" s="2" t="n">
        <v>9</v>
      </c>
      <c r="L458" s="2" t="s">
        <v>25</v>
      </c>
      <c r="M458" s="2" t="s">
        <v>49</v>
      </c>
      <c r="N458" s="4" t="n">
        <v>314.05</v>
      </c>
      <c r="O458" s="2" t="str">
        <f aca="false">IF(COUNTIF($A$2:$A$1201,A458)&gt;1,"DUPLICATE","Unique")</f>
        <v>Unique</v>
      </c>
      <c r="P458" s="2" t="str">
        <f aca="false">IF(L458="","MISSING","OK")</f>
        <v>OK</v>
      </c>
      <c r="Q458" s="2" t="str">
        <f aca="false">IF(ISNUMBER(B458),"OK","BAD DATE")</f>
        <v>OK</v>
      </c>
      <c r="R458" s="2" t="str">
        <f aca="false">IF(ROUND(F458,2)=F458,"OK","FIX")</f>
        <v>OK</v>
      </c>
    </row>
    <row r="459" customFormat="false" ht="15" hidden="false" customHeight="false" outlineLevel="0" collapsed="false">
      <c r="A459" s="2" t="s">
        <v>1771</v>
      </c>
      <c r="B459" s="3" t="n">
        <v>45802</v>
      </c>
      <c r="C459" s="2" t="s">
        <v>1772</v>
      </c>
      <c r="D459" s="2" t="s">
        <v>77</v>
      </c>
      <c r="E459" s="2" t="n">
        <v>4</v>
      </c>
      <c r="F459" s="4" t="n">
        <v>615.83</v>
      </c>
      <c r="G459" s="2" t="s">
        <v>1773</v>
      </c>
      <c r="H459" s="2" t="s">
        <v>31</v>
      </c>
      <c r="I459" s="2" t="s">
        <v>47</v>
      </c>
      <c r="J459" s="2" t="s">
        <v>1774</v>
      </c>
      <c r="K459" s="2" t="n">
        <v>4</v>
      </c>
      <c r="L459" s="2" t="s">
        <v>85</v>
      </c>
      <c r="M459" s="2" t="s">
        <v>26</v>
      </c>
      <c r="N459" s="4" t="n">
        <v>2463.32</v>
      </c>
      <c r="O459" s="2" t="str">
        <f aca="false">IF(COUNTIF($A$2:$A$1201,A459)&gt;1,"DUPLICATE","Unique")</f>
        <v>Unique</v>
      </c>
      <c r="P459" s="2" t="str">
        <f aca="false">IF(L459="","MISSING","OK")</f>
        <v>OK</v>
      </c>
      <c r="Q459" s="2" t="str">
        <f aca="false">IF(ISNUMBER(B459),"OK","BAD DATE")</f>
        <v>OK</v>
      </c>
      <c r="R459" s="2" t="str">
        <f aca="false">IF(ROUND(F459,2)=F459,"OK","FIX")</f>
        <v>OK</v>
      </c>
    </row>
    <row r="460" customFormat="false" ht="15" hidden="false" customHeight="false" outlineLevel="0" collapsed="false">
      <c r="A460" s="2" t="s">
        <v>1775</v>
      </c>
      <c r="B460" s="3" t="n">
        <v>45475</v>
      </c>
      <c r="C460" s="2" t="s">
        <v>1776</v>
      </c>
      <c r="D460" s="2" t="s">
        <v>20</v>
      </c>
      <c r="E460" s="2" t="n">
        <v>4</v>
      </c>
      <c r="F460" s="4" t="n">
        <v>510.58</v>
      </c>
      <c r="G460" s="2" t="s">
        <v>403</v>
      </c>
      <c r="H460" s="2" t="s">
        <v>38</v>
      </c>
      <c r="I460" s="2" t="s">
        <v>47</v>
      </c>
      <c r="J460" s="2" t="s">
        <v>1777</v>
      </c>
      <c r="K460" s="2" t="n">
        <v>7</v>
      </c>
      <c r="L460" s="2" t="s">
        <v>85</v>
      </c>
      <c r="M460" s="2" t="s">
        <v>42</v>
      </c>
      <c r="N460" s="4" t="n">
        <v>2042.32</v>
      </c>
      <c r="O460" s="2" t="str">
        <f aca="false">IF(COUNTIF($A$2:$A$1201,A460)&gt;1,"DUPLICATE","Unique")</f>
        <v>Unique</v>
      </c>
      <c r="P460" s="2" t="str">
        <f aca="false">IF(L460="","MISSING","OK")</f>
        <v>OK</v>
      </c>
      <c r="Q460" s="2" t="str">
        <f aca="false">IF(ISNUMBER(B460),"OK","BAD DATE")</f>
        <v>OK</v>
      </c>
      <c r="R460" s="2" t="str">
        <f aca="false">IF(ROUND(F460,2)=F460,"OK","FIX")</f>
        <v>OK</v>
      </c>
    </row>
    <row r="461" customFormat="false" ht="15" hidden="false" customHeight="false" outlineLevel="0" collapsed="false">
      <c r="A461" s="2" t="s">
        <v>1778</v>
      </c>
      <c r="B461" s="3" t="n">
        <v>45497</v>
      </c>
      <c r="C461" s="2" t="s">
        <v>1779</v>
      </c>
      <c r="D461" s="2" t="s">
        <v>77</v>
      </c>
      <c r="E461" s="2" t="n">
        <v>1</v>
      </c>
      <c r="F461" s="4" t="n">
        <v>334.39</v>
      </c>
      <c r="G461" s="2" t="s">
        <v>1674</v>
      </c>
      <c r="H461" s="2" t="s">
        <v>38</v>
      </c>
      <c r="I461" s="2" t="s">
        <v>47</v>
      </c>
      <c r="J461" s="2" t="s">
        <v>1780</v>
      </c>
      <c r="K461" s="2" t="n">
        <v>2</v>
      </c>
      <c r="L461" s="2"/>
      <c r="M461" s="2" t="s">
        <v>26</v>
      </c>
      <c r="N461" s="4" t="n">
        <v>334.39</v>
      </c>
      <c r="O461" s="2" t="str">
        <f aca="false">IF(COUNTIF($A$2:$A$1201,A461)&gt;1,"DUPLICATE","Unique")</f>
        <v>Unique</v>
      </c>
      <c r="P461" s="2" t="str">
        <f aca="false">IF(L461="","MISSING","OK")</f>
        <v>MISSING</v>
      </c>
      <c r="Q461" s="2" t="str">
        <f aca="false">IF(ISNUMBER(B461),"OK","BAD DATE")</f>
        <v>OK</v>
      </c>
      <c r="R461" s="2" t="str">
        <f aca="false">IF(ROUND(F461,2)=F461,"OK","FIX")</f>
        <v>OK</v>
      </c>
    </row>
    <row r="462" customFormat="false" ht="15" hidden="false" customHeight="false" outlineLevel="0" collapsed="false">
      <c r="A462" s="2" t="s">
        <v>1781</v>
      </c>
      <c r="B462" s="3" t="n">
        <v>45571</v>
      </c>
      <c r="C462" s="2" t="s">
        <v>1782</v>
      </c>
      <c r="D462" s="2" t="s">
        <v>62</v>
      </c>
      <c r="E462" s="2" t="n">
        <v>1</v>
      </c>
      <c r="F462" s="4" t="n">
        <v>144.25</v>
      </c>
      <c r="G462" s="2" t="s">
        <v>1783</v>
      </c>
      <c r="H462" s="2" t="s">
        <v>69</v>
      </c>
      <c r="I462" s="2" t="s">
        <v>47</v>
      </c>
      <c r="J462" s="2" t="s">
        <v>1784</v>
      </c>
      <c r="K462" s="2" t="n">
        <v>2</v>
      </c>
      <c r="L462" s="2" t="s">
        <v>85</v>
      </c>
      <c r="M462" s="2" t="s">
        <v>33</v>
      </c>
      <c r="N462" s="4" t="n">
        <v>144.25</v>
      </c>
      <c r="O462" s="2" t="str">
        <f aca="false">IF(COUNTIF($A$2:$A$1201,A462)&gt;1,"DUPLICATE","Unique")</f>
        <v>Unique</v>
      </c>
      <c r="P462" s="2" t="str">
        <f aca="false">IF(L462="","MISSING","OK")</f>
        <v>OK</v>
      </c>
      <c r="Q462" s="2" t="str">
        <f aca="false">IF(ISNUMBER(B462),"OK","BAD DATE")</f>
        <v>OK</v>
      </c>
      <c r="R462" s="2" t="str">
        <f aca="false">IF(ROUND(F462,2)=F462,"OK","FIX")</f>
        <v>OK</v>
      </c>
    </row>
    <row r="463" customFormat="false" ht="15" hidden="false" customHeight="false" outlineLevel="0" collapsed="false">
      <c r="A463" s="2" t="s">
        <v>1785</v>
      </c>
      <c r="B463" s="3" t="n">
        <v>45451</v>
      </c>
      <c r="C463" s="2" t="s">
        <v>1786</v>
      </c>
      <c r="D463" s="2" t="s">
        <v>36</v>
      </c>
      <c r="E463" s="2" t="n">
        <v>1</v>
      </c>
      <c r="F463" s="4" t="n">
        <v>401.82</v>
      </c>
      <c r="G463" s="2" t="s">
        <v>976</v>
      </c>
      <c r="H463" s="2" t="s">
        <v>38</v>
      </c>
      <c r="I463" s="2" t="s">
        <v>23</v>
      </c>
      <c r="J463" s="2" t="s">
        <v>1787</v>
      </c>
      <c r="K463" s="2" t="n">
        <v>5</v>
      </c>
      <c r="L463" s="2" t="s">
        <v>41</v>
      </c>
      <c r="M463" s="2" t="s">
        <v>80</v>
      </c>
      <c r="N463" s="4" t="n">
        <v>401.82</v>
      </c>
      <c r="O463" s="2" t="str">
        <f aca="false">IF(COUNTIF($A$2:$A$1201,A463)&gt;1,"DUPLICATE","Unique")</f>
        <v>Unique</v>
      </c>
      <c r="P463" s="2" t="str">
        <f aca="false">IF(L463="","MISSING","OK")</f>
        <v>OK</v>
      </c>
      <c r="Q463" s="2" t="str">
        <f aca="false">IF(ISNUMBER(B463),"OK","BAD DATE")</f>
        <v>OK</v>
      </c>
      <c r="R463" s="2" t="str">
        <f aca="false">IF(ROUND(F463,2)=F463,"OK","FIX")</f>
        <v>OK</v>
      </c>
    </row>
    <row r="464" customFormat="false" ht="15" hidden="false" customHeight="false" outlineLevel="0" collapsed="false">
      <c r="A464" s="2" t="s">
        <v>1788</v>
      </c>
      <c r="B464" s="3" t="n">
        <v>45747</v>
      </c>
      <c r="C464" s="2" t="s">
        <v>1789</v>
      </c>
      <c r="D464" s="2" t="s">
        <v>29</v>
      </c>
      <c r="E464" s="2" t="n">
        <v>1</v>
      </c>
      <c r="F464" s="4" t="n">
        <v>252.68</v>
      </c>
      <c r="G464" s="2" t="s">
        <v>1790</v>
      </c>
      <c r="H464" s="2" t="s">
        <v>31</v>
      </c>
      <c r="I464" s="2" t="s">
        <v>39</v>
      </c>
      <c r="J464" s="2" t="s">
        <v>1791</v>
      </c>
      <c r="K464" s="2" t="n">
        <v>1</v>
      </c>
      <c r="L464" s="2"/>
      <c r="M464" s="2" t="s">
        <v>33</v>
      </c>
      <c r="N464" s="4" t="n">
        <v>252.68</v>
      </c>
      <c r="O464" s="2" t="str">
        <f aca="false">IF(COUNTIF($A$2:$A$1201,A464)&gt;1,"DUPLICATE","Unique")</f>
        <v>Unique</v>
      </c>
      <c r="P464" s="2" t="str">
        <f aca="false">IF(L464="","MISSING","OK")</f>
        <v>MISSING</v>
      </c>
      <c r="Q464" s="2" t="str">
        <f aca="false">IF(ISNUMBER(B464),"OK","BAD DATE")</f>
        <v>OK</v>
      </c>
      <c r="R464" s="2" t="str">
        <f aca="false">IF(ROUND(F464,2)=F464,"OK","FIX")</f>
        <v>OK</v>
      </c>
    </row>
    <row r="465" customFormat="false" ht="15" hidden="false" customHeight="false" outlineLevel="0" collapsed="false">
      <c r="A465" s="2" t="s">
        <v>1792</v>
      </c>
      <c r="B465" s="3" t="n">
        <v>45072</v>
      </c>
      <c r="C465" s="2" t="s">
        <v>1793</v>
      </c>
      <c r="D465" s="2" t="s">
        <v>62</v>
      </c>
      <c r="E465" s="2" t="n">
        <v>5</v>
      </c>
      <c r="F465" s="4" t="n">
        <v>662.78</v>
      </c>
      <c r="G465" s="2" t="s">
        <v>1794</v>
      </c>
      <c r="H465" s="2" t="s">
        <v>22</v>
      </c>
      <c r="I465" s="2" t="s">
        <v>23</v>
      </c>
      <c r="J465" s="2" t="s">
        <v>1795</v>
      </c>
      <c r="K465" s="2" t="n">
        <v>9</v>
      </c>
      <c r="L465" s="2" t="s">
        <v>25</v>
      </c>
      <c r="M465" s="2" t="s">
        <v>26</v>
      </c>
      <c r="N465" s="4" t="n">
        <v>3313.9</v>
      </c>
      <c r="O465" s="2" t="str">
        <f aca="false">IF(COUNTIF($A$2:$A$1201,A465)&gt;1,"DUPLICATE","Unique")</f>
        <v>Unique</v>
      </c>
      <c r="P465" s="2" t="str">
        <f aca="false">IF(L465="","MISSING","OK")</f>
        <v>OK</v>
      </c>
      <c r="Q465" s="2" t="str">
        <f aca="false">IF(ISNUMBER(B465),"OK","BAD DATE")</f>
        <v>OK</v>
      </c>
      <c r="R465" s="2" t="str">
        <f aca="false">IF(ROUND(F465,2)=F465,"OK","FIX")</f>
        <v>OK</v>
      </c>
    </row>
    <row r="466" customFormat="false" ht="15" hidden="false" customHeight="false" outlineLevel="0" collapsed="false">
      <c r="A466" s="2" t="s">
        <v>1796</v>
      </c>
      <c r="B466" s="3" t="n">
        <v>44999</v>
      </c>
      <c r="C466" s="2" t="s">
        <v>1797</v>
      </c>
      <c r="D466" s="2" t="s">
        <v>36</v>
      </c>
      <c r="E466" s="2" t="n">
        <v>4</v>
      </c>
      <c r="F466" s="4" t="n">
        <v>434.42</v>
      </c>
      <c r="G466" s="2" t="s">
        <v>1798</v>
      </c>
      <c r="H466" s="2" t="s">
        <v>31</v>
      </c>
      <c r="I466" s="2" t="s">
        <v>39</v>
      </c>
      <c r="J466" s="2" t="s">
        <v>1799</v>
      </c>
      <c r="K466" s="2" t="n">
        <v>6</v>
      </c>
      <c r="L466" s="2" t="s">
        <v>41</v>
      </c>
      <c r="M466" s="2" t="s">
        <v>80</v>
      </c>
      <c r="N466" s="4" t="n">
        <v>1737.68</v>
      </c>
      <c r="O466" s="2" t="str">
        <f aca="false">IF(COUNTIF($A$2:$A$1201,A466)&gt;1,"DUPLICATE","Unique")</f>
        <v>Unique</v>
      </c>
      <c r="P466" s="2" t="str">
        <f aca="false">IF(L466="","MISSING","OK")</f>
        <v>OK</v>
      </c>
      <c r="Q466" s="2" t="str">
        <f aca="false">IF(ISNUMBER(B466),"OK","BAD DATE")</f>
        <v>OK</v>
      </c>
      <c r="R466" s="2" t="str">
        <f aca="false">IF(ROUND(F466,2)=F466,"OK","FIX")</f>
        <v>OK</v>
      </c>
    </row>
    <row r="467" customFormat="false" ht="15" hidden="false" customHeight="false" outlineLevel="0" collapsed="false">
      <c r="A467" s="2" t="s">
        <v>1800</v>
      </c>
      <c r="B467" s="3" t="n">
        <v>45348</v>
      </c>
      <c r="C467" s="2" t="s">
        <v>1801</v>
      </c>
      <c r="D467" s="2" t="s">
        <v>52</v>
      </c>
      <c r="E467" s="2" t="n">
        <v>5</v>
      </c>
      <c r="F467" s="4" t="n">
        <v>513.49</v>
      </c>
      <c r="G467" s="2" t="s">
        <v>1802</v>
      </c>
      <c r="H467" s="2" t="s">
        <v>64</v>
      </c>
      <c r="I467" s="2" t="s">
        <v>39</v>
      </c>
      <c r="J467" s="2" t="s">
        <v>1803</v>
      </c>
      <c r="K467" s="2" t="n">
        <v>8</v>
      </c>
      <c r="L467" s="2"/>
      <c r="M467" s="2" t="s">
        <v>80</v>
      </c>
      <c r="N467" s="4" t="n">
        <v>2567.45</v>
      </c>
      <c r="O467" s="2" t="str">
        <f aca="false">IF(COUNTIF($A$2:$A$1201,A467)&gt;1,"DUPLICATE","Unique")</f>
        <v>Unique</v>
      </c>
      <c r="P467" s="2" t="str">
        <f aca="false">IF(L467="","MISSING","OK")</f>
        <v>MISSING</v>
      </c>
      <c r="Q467" s="2" t="str">
        <f aca="false">IF(ISNUMBER(B467),"OK","BAD DATE")</f>
        <v>OK</v>
      </c>
      <c r="R467" s="2" t="str">
        <f aca="false">IF(ROUND(F467,2)=F467,"OK","FIX")</f>
        <v>OK</v>
      </c>
    </row>
    <row r="468" customFormat="false" ht="15" hidden="false" customHeight="false" outlineLevel="0" collapsed="false">
      <c r="A468" s="2" t="s">
        <v>1804</v>
      </c>
      <c r="B468" s="3" t="n">
        <v>45125</v>
      </c>
      <c r="C468" s="2" t="s">
        <v>1805</v>
      </c>
      <c r="D468" s="2" t="s">
        <v>29</v>
      </c>
      <c r="E468" s="2" t="n">
        <v>1</v>
      </c>
      <c r="F468" s="4" t="n">
        <v>432.47</v>
      </c>
      <c r="G468" s="2" t="s">
        <v>165</v>
      </c>
      <c r="H468" s="2" t="s">
        <v>69</v>
      </c>
      <c r="I468" s="2" t="s">
        <v>54</v>
      </c>
      <c r="J468" s="2" t="s">
        <v>1806</v>
      </c>
      <c r="K468" s="2" t="n">
        <v>4</v>
      </c>
      <c r="L468" s="2" t="s">
        <v>41</v>
      </c>
      <c r="M468" s="2" t="s">
        <v>33</v>
      </c>
      <c r="N468" s="4" t="n">
        <v>432.47</v>
      </c>
      <c r="O468" s="2" t="str">
        <f aca="false">IF(COUNTIF($A$2:$A$1201,A468)&gt;1,"DUPLICATE","Unique")</f>
        <v>Unique</v>
      </c>
      <c r="P468" s="2" t="str">
        <f aca="false">IF(L468="","MISSING","OK")</f>
        <v>OK</v>
      </c>
      <c r="Q468" s="2" t="str">
        <f aca="false">IF(ISNUMBER(B468),"OK","BAD DATE")</f>
        <v>OK</v>
      </c>
      <c r="R468" s="2" t="str">
        <f aca="false">IF(ROUND(F468,2)=F468,"OK","FIX")</f>
        <v>OK</v>
      </c>
    </row>
    <row r="469" customFormat="false" ht="15" hidden="false" customHeight="false" outlineLevel="0" collapsed="false">
      <c r="A469" s="2" t="s">
        <v>1807</v>
      </c>
      <c r="B469" s="3" t="n">
        <v>45534</v>
      </c>
      <c r="C469" s="2" t="s">
        <v>1808</v>
      </c>
      <c r="D469" s="2" t="s">
        <v>77</v>
      </c>
      <c r="E469" s="2" t="n">
        <v>1</v>
      </c>
      <c r="F469" s="4" t="n">
        <v>45.94</v>
      </c>
      <c r="G469" s="2" t="s">
        <v>767</v>
      </c>
      <c r="H469" s="2" t="s">
        <v>69</v>
      </c>
      <c r="I469" s="2" t="s">
        <v>39</v>
      </c>
      <c r="J469" s="2" t="s">
        <v>1809</v>
      </c>
      <c r="K469" s="2" t="n">
        <v>2</v>
      </c>
      <c r="L469" s="2" t="s">
        <v>85</v>
      </c>
      <c r="M469" s="2" t="s">
        <v>42</v>
      </c>
      <c r="N469" s="4" t="n">
        <v>45.94</v>
      </c>
      <c r="O469" s="2" t="str">
        <f aca="false">IF(COUNTIF($A$2:$A$1201,A469)&gt;1,"DUPLICATE","Unique")</f>
        <v>Unique</v>
      </c>
      <c r="P469" s="2" t="str">
        <f aca="false">IF(L469="","MISSING","OK")</f>
        <v>OK</v>
      </c>
      <c r="Q469" s="2" t="str">
        <f aca="false">IF(ISNUMBER(B469),"OK","BAD DATE")</f>
        <v>OK</v>
      </c>
      <c r="R469" s="2" t="str">
        <f aca="false">IF(ROUND(F469,2)=F469,"OK","FIX")</f>
        <v>OK</v>
      </c>
    </row>
    <row r="470" customFormat="false" ht="15" hidden="false" customHeight="false" outlineLevel="0" collapsed="false">
      <c r="A470" s="2" t="s">
        <v>1810</v>
      </c>
      <c r="B470" s="3" t="n">
        <v>45829</v>
      </c>
      <c r="C470" s="2" t="s">
        <v>1811</v>
      </c>
      <c r="D470" s="2" t="s">
        <v>29</v>
      </c>
      <c r="E470" s="2" t="n">
        <v>1</v>
      </c>
      <c r="F470" s="4" t="n">
        <v>418.36</v>
      </c>
      <c r="G470" s="2" t="s">
        <v>1812</v>
      </c>
      <c r="H470" s="2" t="s">
        <v>38</v>
      </c>
      <c r="I470" s="2" t="s">
        <v>54</v>
      </c>
      <c r="J470" s="2" t="s">
        <v>1813</v>
      </c>
      <c r="K470" s="2" t="n">
        <v>5</v>
      </c>
      <c r="L470" s="2" t="s">
        <v>41</v>
      </c>
      <c r="M470" s="2" t="s">
        <v>42</v>
      </c>
      <c r="N470" s="4" t="n">
        <v>418.36</v>
      </c>
      <c r="O470" s="2" t="str">
        <f aca="false">IF(COUNTIF($A$2:$A$1201,A470)&gt;1,"DUPLICATE","Unique")</f>
        <v>Unique</v>
      </c>
      <c r="P470" s="2" t="str">
        <f aca="false">IF(L470="","MISSING","OK")</f>
        <v>OK</v>
      </c>
      <c r="Q470" s="2" t="str">
        <f aca="false">IF(ISNUMBER(B470),"OK","BAD DATE")</f>
        <v>OK</v>
      </c>
      <c r="R470" s="2" t="str">
        <f aca="false">IF(ROUND(F470,2)=F470,"OK","FIX")</f>
        <v>OK</v>
      </c>
    </row>
    <row r="471" customFormat="false" ht="15" hidden="false" customHeight="false" outlineLevel="0" collapsed="false">
      <c r="A471" s="2" t="s">
        <v>1814</v>
      </c>
      <c r="B471" s="3" t="n">
        <v>45256</v>
      </c>
      <c r="C471" s="2" t="s">
        <v>1815</v>
      </c>
      <c r="D471" s="2" t="s">
        <v>45</v>
      </c>
      <c r="E471" s="2" t="n">
        <v>5</v>
      </c>
      <c r="F471" s="4" t="n">
        <v>676.98</v>
      </c>
      <c r="G471" s="2" t="s">
        <v>622</v>
      </c>
      <c r="H471" s="2" t="s">
        <v>69</v>
      </c>
      <c r="I471" s="2" t="s">
        <v>39</v>
      </c>
      <c r="J471" s="2" t="s">
        <v>1816</v>
      </c>
      <c r="K471" s="2" t="n">
        <v>5</v>
      </c>
      <c r="L471" s="2"/>
      <c r="M471" s="2" t="s">
        <v>49</v>
      </c>
      <c r="N471" s="4" t="n">
        <v>3384.9</v>
      </c>
      <c r="O471" s="2" t="str">
        <f aca="false">IF(COUNTIF($A$2:$A$1201,A471)&gt;1,"DUPLICATE","Unique")</f>
        <v>Unique</v>
      </c>
      <c r="P471" s="2" t="str">
        <f aca="false">IF(L471="","MISSING","OK")</f>
        <v>MISSING</v>
      </c>
      <c r="Q471" s="2" t="str">
        <f aca="false">IF(ISNUMBER(B471),"OK","BAD DATE")</f>
        <v>OK</v>
      </c>
      <c r="R471" s="2" t="str">
        <f aca="false">IF(ROUND(F471,2)=F471,"OK","FIX")</f>
        <v>OK</v>
      </c>
    </row>
    <row r="472" customFormat="false" ht="15" hidden="false" customHeight="false" outlineLevel="0" collapsed="false">
      <c r="A472" s="2" t="s">
        <v>1817</v>
      </c>
      <c r="B472" s="3" t="n">
        <v>45198</v>
      </c>
      <c r="C472" s="2" t="s">
        <v>1818</v>
      </c>
      <c r="D472" s="2" t="s">
        <v>36</v>
      </c>
      <c r="E472" s="2" t="n">
        <v>4</v>
      </c>
      <c r="F472" s="4" t="n">
        <v>263.62</v>
      </c>
      <c r="G472" s="2" t="s">
        <v>1819</v>
      </c>
      <c r="H472" s="2" t="s">
        <v>69</v>
      </c>
      <c r="I472" s="2" t="s">
        <v>23</v>
      </c>
      <c r="J472" s="2" t="s">
        <v>1820</v>
      </c>
      <c r="K472" s="2" t="n">
        <v>5</v>
      </c>
      <c r="L472" s="2" t="s">
        <v>25</v>
      </c>
      <c r="M472" s="2" t="s">
        <v>42</v>
      </c>
      <c r="N472" s="4" t="n">
        <v>1054.48</v>
      </c>
      <c r="O472" s="2" t="str">
        <f aca="false">IF(COUNTIF($A$2:$A$1201,A472)&gt;1,"DUPLICATE","Unique")</f>
        <v>Unique</v>
      </c>
      <c r="P472" s="2" t="str">
        <f aca="false">IF(L472="","MISSING","OK")</f>
        <v>OK</v>
      </c>
      <c r="Q472" s="2" t="str">
        <f aca="false">IF(ISNUMBER(B472),"OK","BAD DATE")</f>
        <v>OK</v>
      </c>
      <c r="R472" s="2" t="str">
        <f aca="false">IF(ROUND(F472,2)=F472,"OK","FIX")</f>
        <v>OK</v>
      </c>
    </row>
    <row r="473" customFormat="false" ht="15" hidden="false" customHeight="false" outlineLevel="0" collapsed="false">
      <c r="A473" s="2" t="s">
        <v>1821</v>
      </c>
      <c r="B473" s="3" t="n">
        <v>45766</v>
      </c>
      <c r="C473" s="2" t="s">
        <v>1822</v>
      </c>
      <c r="D473" s="2" t="s">
        <v>77</v>
      </c>
      <c r="E473" s="2" t="n">
        <v>5</v>
      </c>
      <c r="F473" s="4" t="n">
        <v>551.27</v>
      </c>
      <c r="G473" s="2" t="s">
        <v>1823</v>
      </c>
      <c r="H473" s="2" t="s">
        <v>31</v>
      </c>
      <c r="I473" s="2" t="s">
        <v>39</v>
      </c>
      <c r="J473" s="2" t="s">
        <v>1824</v>
      </c>
      <c r="K473" s="2" t="n">
        <v>7</v>
      </c>
      <c r="L473" s="2" t="s">
        <v>41</v>
      </c>
      <c r="M473" s="2" t="s">
        <v>33</v>
      </c>
      <c r="N473" s="4" t="n">
        <v>2756.35</v>
      </c>
      <c r="O473" s="2" t="str">
        <f aca="false">IF(COUNTIF($A$2:$A$1201,A473)&gt;1,"DUPLICATE","Unique")</f>
        <v>Unique</v>
      </c>
      <c r="P473" s="2" t="str">
        <f aca="false">IF(L473="","MISSING","OK")</f>
        <v>OK</v>
      </c>
      <c r="Q473" s="2" t="str">
        <f aca="false">IF(ISNUMBER(B473),"OK","BAD DATE")</f>
        <v>OK</v>
      </c>
      <c r="R473" s="2" t="str">
        <f aca="false">IF(ROUND(F473,2)=F473,"OK","FIX")</f>
        <v>OK</v>
      </c>
    </row>
    <row r="474" customFormat="false" ht="15" hidden="false" customHeight="false" outlineLevel="0" collapsed="false">
      <c r="A474" s="2" t="s">
        <v>1825</v>
      </c>
      <c r="B474" s="3" t="n">
        <v>44932</v>
      </c>
      <c r="C474" s="2" t="s">
        <v>1826</v>
      </c>
      <c r="D474" s="2" t="s">
        <v>45</v>
      </c>
      <c r="E474" s="2" t="n">
        <v>3</v>
      </c>
      <c r="F474" s="4" t="n">
        <v>508.12</v>
      </c>
      <c r="G474" s="2" t="s">
        <v>1827</v>
      </c>
      <c r="H474" s="2" t="s">
        <v>38</v>
      </c>
      <c r="I474" s="2" t="s">
        <v>39</v>
      </c>
      <c r="J474" s="2" t="s">
        <v>1828</v>
      </c>
      <c r="K474" s="2" t="n">
        <v>8</v>
      </c>
      <c r="L474" s="2" t="s">
        <v>41</v>
      </c>
      <c r="M474" s="2" t="s">
        <v>33</v>
      </c>
      <c r="N474" s="4" t="n">
        <v>1524.36</v>
      </c>
      <c r="O474" s="2" t="str">
        <f aca="false">IF(COUNTIF($A$2:$A$1201,A474)&gt;1,"DUPLICATE","Unique")</f>
        <v>Unique</v>
      </c>
      <c r="P474" s="2" t="str">
        <f aca="false">IF(L474="","MISSING","OK")</f>
        <v>OK</v>
      </c>
      <c r="Q474" s="2" t="str">
        <f aca="false">IF(ISNUMBER(B474),"OK","BAD DATE")</f>
        <v>OK</v>
      </c>
      <c r="R474" s="2" t="str">
        <f aca="false">IF(ROUND(F474,2)=F474,"OK","FIX")</f>
        <v>OK</v>
      </c>
    </row>
    <row r="475" customFormat="false" ht="15" hidden="false" customHeight="false" outlineLevel="0" collapsed="false">
      <c r="A475" s="2" t="s">
        <v>1829</v>
      </c>
      <c r="B475" s="3" t="n">
        <v>45713</v>
      </c>
      <c r="C475" s="2" t="s">
        <v>1830</v>
      </c>
      <c r="D475" s="2" t="s">
        <v>45</v>
      </c>
      <c r="E475" s="2" t="n">
        <v>2</v>
      </c>
      <c r="F475" s="4" t="n">
        <v>14.93</v>
      </c>
      <c r="G475" s="2" t="s">
        <v>1831</v>
      </c>
      <c r="H475" s="2" t="s">
        <v>31</v>
      </c>
      <c r="I475" s="2" t="s">
        <v>23</v>
      </c>
      <c r="J475" s="2" t="s">
        <v>1832</v>
      </c>
      <c r="K475" s="2" t="n">
        <v>4</v>
      </c>
      <c r="L475" s="2"/>
      <c r="M475" s="2" t="s">
        <v>49</v>
      </c>
      <c r="N475" s="4" t="n">
        <v>29.86</v>
      </c>
      <c r="O475" s="2" t="str">
        <f aca="false">IF(COUNTIF($A$2:$A$1201,A475)&gt;1,"DUPLICATE","Unique")</f>
        <v>Unique</v>
      </c>
      <c r="P475" s="2" t="str">
        <f aca="false">IF(L475="","MISSING","OK")</f>
        <v>MISSING</v>
      </c>
      <c r="Q475" s="2" t="str">
        <f aca="false">IF(ISNUMBER(B475),"OK","BAD DATE")</f>
        <v>OK</v>
      </c>
      <c r="R475" s="2" t="str">
        <f aca="false">IF(ROUND(F475,2)=F475,"OK","FIX")</f>
        <v>OK</v>
      </c>
    </row>
    <row r="476" customFormat="false" ht="15" hidden="false" customHeight="false" outlineLevel="0" collapsed="false">
      <c r="A476" s="2" t="s">
        <v>1833</v>
      </c>
      <c r="B476" s="3" t="n">
        <v>45245</v>
      </c>
      <c r="C476" s="2" t="s">
        <v>1834</v>
      </c>
      <c r="D476" s="2" t="s">
        <v>52</v>
      </c>
      <c r="E476" s="2" t="n">
        <v>3</v>
      </c>
      <c r="F476" s="4" t="n">
        <v>229.34</v>
      </c>
      <c r="G476" s="2" t="s">
        <v>1344</v>
      </c>
      <c r="H476" s="2" t="s">
        <v>38</v>
      </c>
      <c r="I476" s="2" t="s">
        <v>23</v>
      </c>
      <c r="J476" s="2" t="s">
        <v>1835</v>
      </c>
      <c r="K476" s="2" t="n">
        <v>6</v>
      </c>
      <c r="L476" s="2" t="s">
        <v>25</v>
      </c>
      <c r="M476" s="2" t="s">
        <v>33</v>
      </c>
      <c r="N476" s="4" t="n">
        <v>688.02</v>
      </c>
      <c r="O476" s="2" t="str">
        <f aca="false">IF(COUNTIF($A$2:$A$1201,A476)&gt;1,"DUPLICATE","Unique")</f>
        <v>Unique</v>
      </c>
      <c r="P476" s="2" t="str">
        <f aca="false">IF(L476="","MISSING","OK")</f>
        <v>OK</v>
      </c>
      <c r="Q476" s="2" t="str">
        <f aca="false">IF(ISNUMBER(B476),"OK","BAD DATE")</f>
        <v>OK</v>
      </c>
      <c r="R476" s="2" t="str">
        <f aca="false">IF(ROUND(F476,2)=F476,"OK","FIX")</f>
        <v>OK</v>
      </c>
    </row>
    <row r="477" customFormat="false" ht="15" hidden="false" customHeight="false" outlineLevel="0" collapsed="false">
      <c r="A477" s="2" t="s">
        <v>1836</v>
      </c>
      <c r="B477" s="3" t="n">
        <v>45766</v>
      </c>
      <c r="C477" s="2" t="s">
        <v>1837</v>
      </c>
      <c r="D477" s="2" t="s">
        <v>36</v>
      </c>
      <c r="E477" s="2" t="n">
        <v>2</v>
      </c>
      <c r="F477" s="4" t="n">
        <v>438.62</v>
      </c>
      <c r="G477" s="2" t="s">
        <v>1838</v>
      </c>
      <c r="H477" s="2" t="s">
        <v>69</v>
      </c>
      <c r="I477" s="2" t="s">
        <v>39</v>
      </c>
      <c r="J477" s="2" t="s">
        <v>1839</v>
      </c>
      <c r="K477" s="2" t="n">
        <v>3</v>
      </c>
      <c r="L477" s="2" t="s">
        <v>25</v>
      </c>
      <c r="M477" s="2" t="s">
        <v>49</v>
      </c>
      <c r="N477" s="4" t="n">
        <v>877.24</v>
      </c>
      <c r="O477" s="2" t="str">
        <f aca="false">IF(COUNTIF($A$2:$A$1201,A477)&gt;1,"DUPLICATE","Unique")</f>
        <v>Unique</v>
      </c>
      <c r="P477" s="2" t="str">
        <f aca="false">IF(L477="","MISSING","OK")</f>
        <v>OK</v>
      </c>
      <c r="Q477" s="2" t="str">
        <f aca="false">IF(ISNUMBER(B477),"OK","BAD DATE")</f>
        <v>OK</v>
      </c>
      <c r="R477" s="2" t="str">
        <f aca="false">IF(ROUND(F477,2)=F477,"OK","FIX")</f>
        <v>OK</v>
      </c>
    </row>
    <row r="478" customFormat="false" ht="15" hidden="false" customHeight="false" outlineLevel="0" collapsed="false">
      <c r="A478" s="2" t="s">
        <v>1840</v>
      </c>
      <c r="B478" s="3" t="n">
        <v>45306</v>
      </c>
      <c r="C478" s="2" t="s">
        <v>1841</v>
      </c>
      <c r="D478" s="2" t="s">
        <v>29</v>
      </c>
      <c r="E478" s="2" t="n">
        <v>2</v>
      </c>
      <c r="F478" s="4" t="n">
        <v>513.59</v>
      </c>
      <c r="G478" s="2" t="s">
        <v>1842</v>
      </c>
      <c r="H478" s="2" t="s">
        <v>31</v>
      </c>
      <c r="I478" s="2" t="s">
        <v>47</v>
      </c>
      <c r="J478" s="2" t="s">
        <v>1843</v>
      </c>
      <c r="K478" s="2" t="n">
        <v>4</v>
      </c>
      <c r="L478" s="2" t="s">
        <v>41</v>
      </c>
      <c r="M478" s="2" t="s">
        <v>33</v>
      </c>
      <c r="N478" s="4" t="n">
        <v>1027.18</v>
      </c>
      <c r="O478" s="2" t="str">
        <f aca="false">IF(COUNTIF($A$2:$A$1201,A478)&gt;1,"DUPLICATE","Unique")</f>
        <v>Unique</v>
      </c>
      <c r="P478" s="2" t="str">
        <f aca="false">IF(L478="","MISSING","OK")</f>
        <v>OK</v>
      </c>
      <c r="Q478" s="2" t="str">
        <f aca="false">IF(ISNUMBER(B478),"OK","BAD DATE")</f>
        <v>OK</v>
      </c>
      <c r="R478" s="2" t="str">
        <f aca="false">IF(ROUND(F478,2)=F478,"OK","FIX")</f>
        <v>OK</v>
      </c>
    </row>
    <row r="479" customFormat="false" ht="15" hidden="false" customHeight="false" outlineLevel="0" collapsed="false">
      <c r="A479" s="2" t="s">
        <v>1844</v>
      </c>
      <c r="B479" s="3" t="n">
        <v>45721</v>
      </c>
      <c r="C479" s="2" t="s">
        <v>1845</v>
      </c>
      <c r="D479" s="2" t="s">
        <v>29</v>
      </c>
      <c r="E479" s="2" t="n">
        <v>2</v>
      </c>
      <c r="F479" s="4" t="n">
        <v>253.74</v>
      </c>
      <c r="G479" s="2" t="s">
        <v>1846</v>
      </c>
      <c r="H479" s="2" t="s">
        <v>31</v>
      </c>
      <c r="I479" s="2" t="s">
        <v>23</v>
      </c>
      <c r="J479" s="2" t="s">
        <v>1847</v>
      </c>
      <c r="K479" s="2" t="n">
        <v>5</v>
      </c>
      <c r="L479" s="2" t="s">
        <v>25</v>
      </c>
      <c r="M479" s="2" t="s">
        <v>80</v>
      </c>
      <c r="N479" s="4" t="n">
        <v>507.48</v>
      </c>
      <c r="O479" s="2" t="str">
        <f aca="false">IF(COUNTIF($A$2:$A$1201,A479)&gt;1,"DUPLICATE","Unique")</f>
        <v>Unique</v>
      </c>
      <c r="P479" s="2" t="str">
        <f aca="false">IF(L479="","MISSING","OK")</f>
        <v>OK</v>
      </c>
      <c r="Q479" s="2" t="str">
        <f aca="false">IF(ISNUMBER(B479),"OK","BAD DATE")</f>
        <v>OK</v>
      </c>
      <c r="R479" s="2" t="str">
        <f aca="false">IF(ROUND(F479,2)=F479,"OK","FIX")</f>
        <v>OK</v>
      </c>
    </row>
    <row r="480" customFormat="false" ht="15" hidden="false" customHeight="false" outlineLevel="0" collapsed="false">
      <c r="A480" s="2" t="s">
        <v>1848</v>
      </c>
      <c r="B480" s="3" t="n">
        <v>45597</v>
      </c>
      <c r="C480" s="2" t="s">
        <v>1849</v>
      </c>
      <c r="D480" s="2" t="s">
        <v>36</v>
      </c>
      <c r="E480" s="2" t="n">
        <v>3</v>
      </c>
      <c r="F480" s="4" t="n">
        <v>62.77</v>
      </c>
      <c r="G480" s="2" t="s">
        <v>109</v>
      </c>
      <c r="H480" s="2" t="s">
        <v>64</v>
      </c>
      <c r="I480" s="2" t="s">
        <v>23</v>
      </c>
      <c r="J480" s="2" t="s">
        <v>1850</v>
      </c>
      <c r="K480" s="2" t="n">
        <v>6</v>
      </c>
      <c r="L480" s="2" t="s">
        <v>41</v>
      </c>
      <c r="M480" s="2" t="s">
        <v>33</v>
      </c>
      <c r="N480" s="4" t="n">
        <v>188.31</v>
      </c>
      <c r="O480" s="2" t="str">
        <f aca="false">IF(COUNTIF($A$2:$A$1201,A480)&gt;1,"DUPLICATE","Unique")</f>
        <v>Unique</v>
      </c>
      <c r="P480" s="2" t="str">
        <f aca="false">IF(L480="","MISSING","OK")</f>
        <v>OK</v>
      </c>
      <c r="Q480" s="2" t="str">
        <f aca="false">IF(ISNUMBER(B480),"OK","BAD DATE")</f>
        <v>OK</v>
      </c>
      <c r="R480" s="2" t="str">
        <f aca="false">IF(ROUND(F480,2)=F480,"OK","FIX")</f>
        <v>OK</v>
      </c>
    </row>
    <row r="481" customFormat="false" ht="15" hidden="false" customHeight="false" outlineLevel="0" collapsed="false">
      <c r="A481" s="2" t="s">
        <v>1851</v>
      </c>
      <c r="B481" s="3" t="n">
        <v>44975</v>
      </c>
      <c r="C481" s="2" t="s">
        <v>1852</v>
      </c>
      <c r="D481" s="2" t="s">
        <v>20</v>
      </c>
      <c r="E481" s="2" t="n">
        <v>4</v>
      </c>
      <c r="F481" s="4" t="n">
        <v>25.29</v>
      </c>
      <c r="G481" s="2" t="s">
        <v>1853</v>
      </c>
      <c r="H481" s="2" t="s">
        <v>38</v>
      </c>
      <c r="I481" s="2" t="s">
        <v>93</v>
      </c>
      <c r="J481" s="2" t="s">
        <v>1854</v>
      </c>
      <c r="K481" s="2" t="n">
        <v>8</v>
      </c>
      <c r="L481" s="2"/>
      <c r="M481" s="2" t="s">
        <v>80</v>
      </c>
      <c r="N481" s="4" t="n">
        <v>101.16</v>
      </c>
      <c r="O481" s="2" t="str">
        <f aca="false">IF(COUNTIF($A$2:$A$1201,A481)&gt;1,"DUPLICATE","Unique")</f>
        <v>Unique</v>
      </c>
      <c r="P481" s="2" t="str">
        <f aca="false">IF(L481="","MISSING","OK")</f>
        <v>MISSING</v>
      </c>
      <c r="Q481" s="2" t="str">
        <f aca="false">IF(ISNUMBER(B481),"OK","BAD DATE")</f>
        <v>OK</v>
      </c>
      <c r="R481" s="2" t="str">
        <f aca="false">IF(ROUND(F481,2)=F481,"OK","FIX")</f>
        <v>OK</v>
      </c>
    </row>
    <row r="482" customFormat="false" ht="15" hidden="false" customHeight="false" outlineLevel="0" collapsed="false">
      <c r="A482" s="2" t="s">
        <v>1855</v>
      </c>
      <c r="B482" s="3" t="n">
        <v>45093</v>
      </c>
      <c r="C482" s="2" t="s">
        <v>1856</v>
      </c>
      <c r="D482" s="2" t="s">
        <v>45</v>
      </c>
      <c r="E482" s="2" t="n">
        <v>1</v>
      </c>
      <c r="F482" s="4" t="n">
        <v>335.1</v>
      </c>
      <c r="G482" s="2" t="s">
        <v>462</v>
      </c>
      <c r="H482" s="2" t="s">
        <v>22</v>
      </c>
      <c r="I482" s="2" t="s">
        <v>93</v>
      </c>
      <c r="J482" s="2" t="s">
        <v>1857</v>
      </c>
      <c r="K482" s="2" t="n">
        <v>6</v>
      </c>
      <c r="L482" s="2" t="s">
        <v>41</v>
      </c>
      <c r="M482" s="2" t="s">
        <v>33</v>
      </c>
      <c r="N482" s="4" t="n">
        <v>335.1</v>
      </c>
      <c r="O482" s="2" t="str">
        <f aca="false">IF(COUNTIF($A$2:$A$1201,A482)&gt;1,"DUPLICATE","Unique")</f>
        <v>Unique</v>
      </c>
      <c r="P482" s="2" t="str">
        <f aca="false">IF(L482="","MISSING","OK")</f>
        <v>OK</v>
      </c>
      <c r="Q482" s="2" t="str">
        <f aca="false">IF(ISNUMBER(B482),"OK","BAD DATE")</f>
        <v>OK</v>
      </c>
      <c r="R482" s="2" t="str">
        <f aca="false">IF(ROUND(F482,2)=F482,"OK","FIX")</f>
        <v>OK</v>
      </c>
    </row>
    <row r="483" customFormat="false" ht="15" hidden="false" customHeight="false" outlineLevel="0" collapsed="false">
      <c r="A483" s="2" t="s">
        <v>1858</v>
      </c>
      <c r="B483" s="3" t="n">
        <v>45039</v>
      </c>
      <c r="C483" s="2" t="s">
        <v>1859</v>
      </c>
      <c r="D483" s="2" t="s">
        <v>62</v>
      </c>
      <c r="E483" s="2" t="n">
        <v>4</v>
      </c>
      <c r="F483" s="4" t="n">
        <v>484.85</v>
      </c>
      <c r="G483" s="2" t="s">
        <v>870</v>
      </c>
      <c r="H483" s="2" t="s">
        <v>22</v>
      </c>
      <c r="I483" s="2" t="s">
        <v>54</v>
      </c>
      <c r="J483" s="2" t="s">
        <v>1860</v>
      </c>
      <c r="K483" s="2" t="n">
        <v>5</v>
      </c>
      <c r="L483" s="2" t="s">
        <v>85</v>
      </c>
      <c r="M483" s="2" t="s">
        <v>33</v>
      </c>
      <c r="N483" s="4" t="n">
        <v>1939.4</v>
      </c>
      <c r="O483" s="2" t="str">
        <f aca="false">IF(COUNTIF($A$2:$A$1201,A483)&gt;1,"DUPLICATE","Unique")</f>
        <v>Unique</v>
      </c>
      <c r="P483" s="2" t="str">
        <f aca="false">IF(L483="","MISSING","OK")</f>
        <v>OK</v>
      </c>
      <c r="Q483" s="2" t="str">
        <f aca="false">IF(ISNUMBER(B483),"OK","BAD DATE")</f>
        <v>OK</v>
      </c>
      <c r="R483" s="2" t="str">
        <f aca="false">IF(ROUND(F483,2)=F483,"OK","FIX")</f>
        <v>OK</v>
      </c>
    </row>
    <row r="484" customFormat="false" ht="15" hidden="false" customHeight="false" outlineLevel="0" collapsed="false">
      <c r="A484" s="2" t="s">
        <v>1861</v>
      </c>
      <c r="B484" s="3" t="n">
        <v>45718</v>
      </c>
      <c r="C484" s="2" t="s">
        <v>1862</v>
      </c>
      <c r="D484" s="2" t="s">
        <v>20</v>
      </c>
      <c r="E484" s="2" t="n">
        <v>3</v>
      </c>
      <c r="F484" s="4" t="n">
        <v>381.41</v>
      </c>
      <c r="G484" s="2" t="s">
        <v>371</v>
      </c>
      <c r="H484" s="2" t="s">
        <v>31</v>
      </c>
      <c r="I484" s="2" t="s">
        <v>93</v>
      </c>
      <c r="J484" s="2" t="s">
        <v>1863</v>
      </c>
      <c r="K484" s="2" t="n">
        <v>6</v>
      </c>
      <c r="L484" s="2"/>
      <c r="M484" s="2" t="s">
        <v>26</v>
      </c>
      <c r="N484" s="4" t="n">
        <v>1144.23</v>
      </c>
      <c r="O484" s="2" t="str">
        <f aca="false">IF(COUNTIF($A$2:$A$1201,A484)&gt;1,"DUPLICATE","Unique")</f>
        <v>Unique</v>
      </c>
      <c r="P484" s="2" t="str">
        <f aca="false">IF(L484="","MISSING","OK")</f>
        <v>MISSING</v>
      </c>
      <c r="Q484" s="2" t="str">
        <f aca="false">IF(ISNUMBER(B484),"OK","BAD DATE")</f>
        <v>OK</v>
      </c>
      <c r="R484" s="2" t="str">
        <f aca="false">IF(ROUND(F484,2)=F484,"OK","FIX")</f>
        <v>OK</v>
      </c>
    </row>
    <row r="485" customFormat="false" ht="15" hidden="false" customHeight="false" outlineLevel="0" collapsed="false">
      <c r="A485" s="2" t="s">
        <v>1864</v>
      </c>
      <c r="B485" s="3" t="n">
        <v>44944</v>
      </c>
      <c r="C485" s="2" t="s">
        <v>1865</v>
      </c>
      <c r="D485" s="2" t="s">
        <v>29</v>
      </c>
      <c r="E485" s="2" t="n">
        <v>5</v>
      </c>
      <c r="F485" s="4" t="n">
        <v>347.92</v>
      </c>
      <c r="G485" s="2" t="s">
        <v>1866</v>
      </c>
      <c r="H485" s="2" t="s">
        <v>69</v>
      </c>
      <c r="I485" s="2" t="s">
        <v>93</v>
      </c>
      <c r="J485" s="2" t="s">
        <v>1867</v>
      </c>
      <c r="K485" s="2" t="n">
        <v>6</v>
      </c>
      <c r="L485" s="2" t="s">
        <v>85</v>
      </c>
      <c r="M485" s="2" t="s">
        <v>80</v>
      </c>
      <c r="N485" s="4" t="n">
        <v>1739.6</v>
      </c>
      <c r="O485" s="2" t="str">
        <f aca="false">IF(COUNTIF($A$2:$A$1201,A485)&gt;1,"DUPLICATE","Unique")</f>
        <v>Unique</v>
      </c>
      <c r="P485" s="2" t="str">
        <f aca="false">IF(L485="","MISSING","OK")</f>
        <v>OK</v>
      </c>
      <c r="Q485" s="2" t="str">
        <f aca="false">IF(ISNUMBER(B485),"OK","BAD DATE")</f>
        <v>OK</v>
      </c>
      <c r="R485" s="2" t="str">
        <f aca="false">IF(ROUND(F485,2)=F485,"OK","FIX")</f>
        <v>OK</v>
      </c>
    </row>
    <row r="486" customFormat="false" ht="15" hidden="false" customHeight="false" outlineLevel="0" collapsed="false">
      <c r="A486" s="2" t="s">
        <v>1868</v>
      </c>
      <c r="B486" s="3" t="n">
        <v>45441</v>
      </c>
      <c r="C486" s="2" t="s">
        <v>1869</v>
      </c>
      <c r="D486" s="2" t="s">
        <v>45</v>
      </c>
      <c r="E486" s="2" t="n">
        <v>4</v>
      </c>
      <c r="F486" s="4" t="n">
        <v>15.01</v>
      </c>
      <c r="G486" s="2" t="s">
        <v>1598</v>
      </c>
      <c r="H486" s="2" t="s">
        <v>69</v>
      </c>
      <c r="I486" s="2" t="s">
        <v>39</v>
      </c>
      <c r="J486" s="2" t="s">
        <v>1870</v>
      </c>
      <c r="K486" s="2" t="n">
        <v>6</v>
      </c>
      <c r="L486" s="2"/>
      <c r="M486" s="2" t="s">
        <v>49</v>
      </c>
      <c r="N486" s="4" t="n">
        <v>60.04</v>
      </c>
      <c r="O486" s="2" t="str">
        <f aca="false">IF(COUNTIF($A$2:$A$1201,A486)&gt;1,"DUPLICATE","Unique")</f>
        <v>Unique</v>
      </c>
      <c r="P486" s="2" t="str">
        <f aca="false">IF(L486="","MISSING","OK")</f>
        <v>MISSING</v>
      </c>
      <c r="Q486" s="2" t="str">
        <f aca="false">IF(ISNUMBER(B486),"OK","BAD DATE")</f>
        <v>OK</v>
      </c>
      <c r="R486" s="2" t="str">
        <f aca="false">IF(ROUND(F486,2)=F486,"OK","FIX")</f>
        <v>OK</v>
      </c>
    </row>
    <row r="487" customFormat="false" ht="15" hidden="false" customHeight="false" outlineLevel="0" collapsed="false">
      <c r="A487" s="2" t="s">
        <v>1871</v>
      </c>
      <c r="B487" s="3" t="n">
        <v>45139</v>
      </c>
      <c r="C487" s="2" t="s">
        <v>1872</v>
      </c>
      <c r="D487" s="2" t="s">
        <v>45</v>
      </c>
      <c r="E487" s="2" t="n">
        <v>3</v>
      </c>
      <c r="F487" s="4" t="n">
        <v>404.79</v>
      </c>
      <c r="G487" s="2" t="s">
        <v>1873</v>
      </c>
      <c r="H487" s="2" t="s">
        <v>69</v>
      </c>
      <c r="I487" s="2" t="s">
        <v>23</v>
      </c>
      <c r="J487" s="2" t="s">
        <v>1874</v>
      </c>
      <c r="K487" s="2" t="n">
        <v>6</v>
      </c>
      <c r="L487" s="2" t="s">
        <v>25</v>
      </c>
      <c r="M487" s="2" t="s">
        <v>26</v>
      </c>
      <c r="N487" s="4" t="n">
        <v>1214.37</v>
      </c>
      <c r="O487" s="2" t="str">
        <f aca="false">IF(COUNTIF($A$2:$A$1201,A487)&gt;1,"DUPLICATE","Unique")</f>
        <v>Unique</v>
      </c>
      <c r="P487" s="2" t="str">
        <f aca="false">IF(L487="","MISSING","OK")</f>
        <v>OK</v>
      </c>
      <c r="Q487" s="2" t="str">
        <f aca="false">IF(ISNUMBER(B487),"OK","BAD DATE")</f>
        <v>OK</v>
      </c>
      <c r="R487" s="2" t="str">
        <f aca="false">IF(ROUND(F487,2)=F487,"OK","FIX")</f>
        <v>OK</v>
      </c>
    </row>
    <row r="488" customFormat="false" ht="15" hidden="false" customHeight="false" outlineLevel="0" collapsed="false">
      <c r="A488" s="2" t="s">
        <v>1875</v>
      </c>
      <c r="B488" s="3" t="n">
        <v>44960</v>
      </c>
      <c r="C488" s="2" t="s">
        <v>1876</v>
      </c>
      <c r="D488" s="2" t="s">
        <v>52</v>
      </c>
      <c r="E488" s="2" t="n">
        <v>4</v>
      </c>
      <c r="F488" s="4" t="n">
        <v>611.26</v>
      </c>
      <c r="G488" s="2" t="s">
        <v>1529</v>
      </c>
      <c r="H488" s="2" t="s">
        <v>69</v>
      </c>
      <c r="I488" s="2" t="s">
        <v>23</v>
      </c>
      <c r="J488" s="2" t="s">
        <v>1877</v>
      </c>
      <c r="K488" s="2" t="n">
        <v>5</v>
      </c>
      <c r="L488" s="2" t="s">
        <v>25</v>
      </c>
      <c r="M488" s="2" t="s">
        <v>33</v>
      </c>
      <c r="N488" s="4" t="n">
        <v>2445.04</v>
      </c>
      <c r="O488" s="2" t="str">
        <f aca="false">IF(COUNTIF($A$2:$A$1201,A488)&gt;1,"DUPLICATE","Unique")</f>
        <v>Unique</v>
      </c>
      <c r="P488" s="2" t="str">
        <f aca="false">IF(L488="","MISSING","OK")</f>
        <v>OK</v>
      </c>
      <c r="Q488" s="2" t="str">
        <f aca="false">IF(ISNUMBER(B488),"OK","BAD DATE")</f>
        <v>OK</v>
      </c>
      <c r="R488" s="2" t="str">
        <f aca="false">IF(ROUND(F488,2)=F488,"OK","FIX")</f>
        <v>OK</v>
      </c>
    </row>
    <row r="489" customFormat="false" ht="15" hidden="false" customHeight="false" outlineLevel="0" collapsed="false">
      <c r="A489" s="2" t="s">
        <v>1878</v>
      </c>
      <c r="B489" s="3" t="n">
        <v>44994</v>
      </c>
      <c r="C489" s="2" t="s">
        <v>1879</v>
      </c>
      <c r="D489" s="2" t="s">
        <v>52</v>
      </c>
      <c r="E489" s="2" t="n">
        <v>3</v>
      </c>
      <c r="F489" s="4" t="n">
        <v>346.52</v>
      </c>
      <c r="G489" s="2" t="s">
        <v>1880</v>
      </c>
      <c r="H489" s="2" t="s">
        <v>38</v>
      </c>
      <c r="I489" s="2" t="s">
        <v>93</v>
      </c>
      <c r="J489" s="2" t="s">
        <v>1881</v>
      </c>
      <c r="K489" s="2" t="n">
        <v>3</v>
      </c>
      <c r="L489" s="2" t="s">
        <v>25</v>
      </c>
      <c r="M489" s="2" t="s">
        <v>80</v>
      </c>
      <c r="N489" s="4" t="n">
        <v>1039.56</v>
      </c>
      <c r="O489" s="2" t="str">
        <f aca="false">IF(COUNTIF($A$2:$A$1201,A489)&gt;1,"DUPLICATE","Unique")</f>
        <v>Unique</v>
      </c>
      <c r="P489" s="2" t="str">
        <f aca="false">IF(L489="","MISSING","OK")</f>
        <v>OK</v>
      </c>
      <c r="Q489" s="2" t="str">
        <f aca="false">IF(ISNUMBER(B489),"OK","BAD DATE")</f>
        <v>OK</v>
      </c>
      <c r="R489" s="2" t="str">
        <f aca="false">IF(ROUND(F489,2)=F489,"OK","FIX")</f>
        <v>OK</v>
      </c>
    </row>
    <row r="490" customFormat="false" ht="15" hidden="false" customHeight="false" outlineLevel="0" collapsed="false">
      <c r="A490" s="2" t="s">
        <v>1882</v>
      </c>
      <c r="B490" s="3" t="n">
        <v>45631</v>
      </c>
      <c r="C490" s="2" t="s">
        <v>1883</v>
      </c>
      <c r="D490" s="2" t="s">
        <v>45</v>
      </c>
      <c r="E490" s="2" t="n">
        <v>1</v>
      </c>
      <c r="F490" s="4" t="n">
        <v>36.65</v>
      </c>
      <c r="G490" s="2" t="s">
        <v>1884</v>
      </c>
      <c r="H490" s="2" t="s">
        <v>31</v>
      </c>
      <c r="I490" s="2" t="s">
        <v>39</v>
      </c>
      <c r="J490" s="2" t="s">
        <v>1885</v>
      </c>
      <c r="K490" s="2" t="n">
        <v>1</v>
      </c>
      <c r="L490" s="2" t="s">
        <v>85</v>
      </c>
      <c r="M490" s="2" t="s">
        <v>42</v>
      </c>
      <c r="N490" s="4" t="n">
        <v>36.65</v>
      </c>
      <c r="O490" s="2" t="str">
        <f aca="false">IF(COUNTIF($A$2:$A$1201,A490)&gt;1,"DUPLICATE","Unique")</f>
        <v>Unique</v>
      </c>
      <c r="P490" s="2" t="str">
        <f aca="false">IF(L490="","MISSING","OK")</f>
        <v>OK</v>
      </c>
      <c r="Q490" s="2" t="str">
        <f aca="false">IF(ISNUMBER(B490),"OK","BAD DATE")</f>
        <v>OK</v>
      </c>
      <c r="R490" s="2" t="str">
        <f aca="false">IF(ROUND(F490,2)=F490,"OK","FIX")</f>
        <v>OK</v>
      </c>
    </row>
    <row r="491" customFormat="false" ht="15" hidden="false" customHeight="false" outlineLevel="0" collapsed="false">
      <c r="A491" s="2" t="s">
        <v>1886</v>
      </c>
      <c r="B491" s="3" t="n">
        <v>45174</v>
      </c>
      <c r="C491" s="2" t="s">
        <v>1887</v>
      </c>
      <c r="D491" s="2" t="s">
        <v>36</v>
      </c>
      <c r="E491" s="2" t="n">
        <v>3</v>
      </c>
      <c r="F491" s="4" t="n">
        <v>149.34</v>
      </c>
      <c r="G491" s="2" t="s">
        <v>1070</v>
      </c>
      <c r="H491" s="2" t="s">
        <v>64</v>
      </c>
      <c r="I491" s="2" t="s">
        <v>39</v>
      </c>
      <c r="J491" s="2" t="s">
        <v>1888</v>
      </c>
      <c r="K491" s="2" t="n">
        <v>7</v>
      </c>
      <c r="L491" s="2" t="s">
        <v>85</v>
      </c>
      <c r="M491" s="2" t="s">
        <v>42</v>
      </c>
      <c r="N491" s="4" t="n">
        <v>448.02</v>
      </c>
      <c r="O491" s="2" t="str">
        <f aca="false">IF(COUNTIF($A$2:$A$1201,A491)&gt;1,"DUPLICATE","Unique")</f>
        <v>Unique</v>
      </c>
      <c r="P491" s="2" t="str">
        <f aca="false">IF(L491="","MISSING","OK")</f>
        <v>OK</v>
      </c>
      <c r="Q491" s="2" t="str">
        <f aca="false">IF(ISNUMBER(B491),"OK","BAD DATE")</f>
        <v>OK</v>
      </c>
      <c r="R491" s="2" t="str">
        <f aca="false">IF(ROUND(F491,2)=F491,"OK","FIX")</f>
        <v>OK</v>
      </c>
    </row>
    <row r="492" customFormat="false" ht="15" hidden="false" customHeight="false" outlineLevel="0" collapsed="false">
      <c r="A492" s="2" t="s">
        <v>1889</v>
      </c>
      <c r="B492" s="3" t="n">
        <v>45495</v>
      </c>
      <c r="C492" s="2" t="s">
        <v>1890</v>
      </c>
      <c r="D492" s="2" t="s">
        <v>45</v>
      </c>
      <c r="E492" s="2" t="n">
        <v>5</v>
      </c>
      <c r="F492" s="4" t="n">
        <v>467.81</v>
      </c>
      <c r="G492" s="2" t="s">
        <v>1891</v>
      </c>
      <c r="H492" s="2" t="s">
        <v>31</v>
      </c>
      <c r="I492" s="2" t="s">
        <v>39</v>
      </c>
      <c r="J492" s="2" t="s">
        <v>1892</v>
      </c>
      <c r="K492" s="2" t="n">
        <v>10</v>
      </c>
      <c r="L492" s="2"/>
      <c r="M492" s="2" t="s">
        <v>49</v>
      </c>
      <c r="N492" s="4" t="n">
        <v>2339.05</v>
      </c>
      <c r="O492" s="2" t="str">
        <f aca="false">IF(COUNTIF($A$2:$A$1201,A492)&gt;1,"DUPLICATE","Unique")</f>
        <v>Unique</v>
      </c>
      <c r="P492" s="2" t="str">
        <f aca="false">IF(L492="","MISSING","OK")</f>
        <v>MISSING</v>
      </c>
      <c r="Q492" s="2" t="str">
        <f aca="false">IF(ISNUMBER(B492),"OK","BAD DATE")</f>
        <v>OK</v>
      </c>
      <c r="R492" s="2" t="str">
        <f aca="false">IF(ROUND(F492,2)=F492,"OK","FIX")</f>
        <v>OK</v>
      </c>
    </row>
    <row r="493" customFormat="false" ht="15" hidden="false" customHeight="false" outlineLevel="0" collapsed="false">
      <c r="A493" s="2" t="s">
        <v>1893</v>
      </c>
      <c r="B493" s="3" t="n">
        <v>44931</v>
      </c>
      <c r="C493" s="2" t="s">
        <v>1894</v>
      </c>
      <c r="D493" s="2" t="s">
        <v>29</v>
      </c>
      <c r="E493" s="2" t="n">
        <v>5</v>
      </c>
      <c r="F493" s="4" t="n">
        <v>420.7</v>
      </c>
      <c r="G493" s="2" t="s">
        <v>1846</v>
      </c>
      <c r="H493" s="2" t="s">
        <v>69</v>
      </c>
      <c r="I493" s="2" t="s">
        <v>93</v>
      </c>
      <c r="J493" s="2" t="s">
        <v>1895</v>
      </c>
      <c r="K493" s="2" t="n">
        <v>5</v>
      </c>
      <c r="L493" s="2" t="s">
        <v>85</v>
      </c>
      <c r="M493" s="2" t="s">
        <v>49</v>
      </c>
      <c r="N493" s="4" t="n">
        <v>2103.5</v>
      </c>
      <c r="O493" s="2" t="str">
        <f aca="false">IF(COUNTIF($A$2:$A$1201,A493)&gt;1,"DUPLICATE","Unique")</f>
        <v>Unique</v>
      </c>
      <c r="P493" s="2" t="str">
        <f aca="false">IF(L493="","MISSING","OK")</f>
        <v>OK</v>
      </c>
      <c r="Q493" s="2" t="str">
        <f aca="false">IF(ISNUMBER(B493),"OK","BAD DATE")</f>
        <v>OK</v>
      </c>
      <c r="R493" s="2" t="str">
        <f aca="false">IF(ROUND(F493,2)=F493,"OK","FIX")</f>
        <v>OK</v>
      </c>
    </row>
    <row r="494" customFormat="false" ht="15" hidden="false" customHeight="false" outlineLevel="0" collapsed="false">
      <c r="A494" s="2" t="s">
        <v>1896</v>
      </c>
      <c r="B494" s="3" t="n">
        <v>45224</v>
      </c>
      <c r="C494" s="2" t="s">
        <v>1897</v>
      </c>
      <c r="D494" s="2" t="s">
        <v>62</v>
      </c>
      <c r="E494" s="2" t="n">
        <v>5</v>
      </c>
      <c r="F494" s="4" t="n">
        <v>606.52</v>
      </c>
      <c r="G494" s="2" t="s">
        <v>355</v>
      </c>
      <c r="H494" s="2" t="s">
        <v>22</v>
      </c>
      <c r="I494" s="2" t="s">
        <v>23</v>
      </c>
      <c r="J494" s="2" t="s">
        <v>1898</v>
      </c>
      <c r="K494" s="2" t="n">
        <v>6</v>
      </c>
      <c r="L494" s="2" t="s">
        <v>25</v>
      </c>
      <c r="M494" s="2" t="s">
        <v>26</v>
      </c>
      <c r="N494" s="4" t="n">
        <v>3032.6</v>
      </c>
      <c r="O494" s="2" t="str">
        <f aca="false">IF(COUNTIF($A$2:$A$1201,A494)&gt;1,"DUPLICATE","Unique")</f>
        <v>Unique</v>
      </c>
      <c r="P494" s="2" t="str">
        <f aca="false">IF(L494="","MISSING","OK")</f>
        <v>OK</v>
      </c>
      <c r="Q494" s="2" t="str">
        <f aca="false">IF(ISNUMBER(B494),"OK","BAD DATE")</f>
        <v>OK</v>
      </c>
      <c r="R494" s="2" t="str">
        <f aca="false">IF(ROUND(F494,2)=F494,"OK","FIX")</f>
        <v>OK</v>
      </c>
    </row>
    <row r="495" customFormat="false" ht="15" hidden="false" customHeight="false" outlineLevel="0" collapsed="false">
      <c r="A495" s="2" t="s">
        <v>1899</v>
      </c>
      <c r="B495" s="3" t="n">
        <v>45685</v>
      </c>
      <c r="C495" s="2" t="s">
        <v>1900</v>
      </c>
      <c r="D495" s="2" t="s">
        <v>29</v>
      </c>
      <c r="E495" s="2" t="n">
        <v>1</v>
      </c>
      <c r="F495" s="4" t="n">
        <v>420.26</v>
      </c>
      <c r="G495" s="2" t="s">
        <v>1901</v>
      </c>
      <c r="H495" s="2" t="s">
        <v>38</v>
      </c>
      <c r="I495" s="2" t="s">
        <v>93</v>
      </c>
      <c r="J495" s="2" t="s">
        <v>1902</v>
      </c>
      <c r="K495" s="2" t="n">
        <v>4</v>
      </c>
      <c r="L495" s="2" t="s">
        <v>41</v>
      </c>
      <c r="M495" s="2" t="s">
        <v>49</v>
      </c>
      <c r="N495" s="4" t="n">
        <v>420.26</v>
      </c>
      <c r="O495" s="2" t="str">
        <f aca="false">IF(COUNTIF($A$2:$A$1201,A495)&gt;1,"DUPLICATE","Unique")</f>
        <v>Unique</v>
      </c>
      <c r="P495" s="2" t="str">
        <f aca="false">IF(L495="","MISSING","OK")</f>
        <v>OK</v>
      </c>
      <c r="Q495" s="2" t="str">
        <f aca="false">IF(ISNUMBER(B495),"OK","BAD DATE")</f>
        <v>OK</v>
      </c>
      <c r="R495" s="2" t="str">
        <f aca="false">IF(ROUND(F495,2)=F495,"OK","FIX")</f>
        <v>OK</v>
      </c>
    </row>
    <row r="496" customFormat="false" ht="15" hidden="false" customHeight="false" outlineLevel="0" collapsed="false">
      <c r="A496" s="2" t="s">
        <v>1903</v>
      </c>
      <c r="B496" s="3" t="n">
        <v>45126</v>
      </c>
      <c r="C496" s="2" t="s">
        <v>1904</v>
      </c>
      <c r="D496" s="2" t="s">
        <v>62</v>
      </c>
      <c r="E496" s="2" t="n">
        <v>3</v>
      </c>
      <c r="F496" s="4" t="n">
        <v>505.79</v>
      </c>
      <c r="G496" s="2" t="s">
        <v>1905</v>
      </c>
      <c r="H496" s="2" t="s">
        <v>22</v>
      </c>
      <c r="I496" s="2" t="s">
        <v>93</v>
      </c>
      <c r="J496" s="2" t="s">
        <v>1906</v>
      </c>
      <c r="K496" s="2" t="n">
        <v>3</v>
      </c>
      <c r="L496" s="2" t="s">
        <v>41</v>
      </c>
      <c r="M496" s="2" t="s">
        <v>33</v>
      </c>
      <c r="N496" s="4" t="n">
        <v>1517.37</v>
      </c>
      <c r="O496" s="2" t="str">
        <f aca="false">IF(COUNTIF($A$2:$A$1201,A496)&gt;1,"DUPLICATE","Unique")</f>
        <v>Unique</v>
      </c>
      <c r="P496" s="2" t="str">
        <f aca="false">IF(L496="","MISSING","OK")</f>
        <v>OK</v>
      </c>
      <c r="Q496" s="2" t="str">
        <f aca="false">IF(ISNUMBER(B496),"OK","BAD DATE")</f>
        <v>OK</v>
      </c>
      <c r="R496" s="2" t="str">
        <f aca="false">IF(ROUND(F496,2)=F496,"OK","FIX")</f>
        <v>OK</v>
      </c>
    </row>
    <row r="497" customFormat="false" ht="15" hidden="false" customHeight="false" outlineLevel="0" collapsed="false">
      <c r="A497" s="2" t="s">
        <v>1907</v>
      </c>
      <c r="B497" s="3" t="n">
        <v>45813</v>
      </c>
      <c r="C497" s="2" t="s">
        <v>1908</v>
      </c>
      <c r="D497" s="2" t="s">
        <v>29</v>
      </c>
      <c r="E497" s="2" t="n">
        <v>4</v>
      </c>
      <c r="F497" s="4" t="n">
        <v>493.73</v>
      </c>
      <c r="G497" s="2" t="s">
        <v>638</v>
      </c>
      <c r="H497" s="2" t="s">
        <v>22</v>
      </c>
      <c r="I497" s="2" t="s">
        <v>93</v>
      </c>
      <c r="J497" s="2" t="s">
        <v>1909</v>
      </c>
      <c r="K497" s="2" t="n">
        <v>6</v>
      </c>
      <c r="L497" s="2" t="s">
        <v>25</v>
      </c>
      <c r="M497" s="2" t="s">
        <v>49</v>
      </c>
      <c r="N497" s="4" t="n">
        <v>1974.92</v>
      </c>
      <c r="O497" s="2" t="str">
        <f aca="false">IF(COUNTIF($A$2:$A$1201,A497)&gt;1,"DUPLICATE","Unique")</f>
        <v>Unique</v>
      </c>
      <c r="P497" s="2" t="str">
        <f aca="false">IF(L497="","MISSING","OK")</f>
        <v>OK</v>
      </c>
      <c r="Q497" s="2" t="str">
        <f aca="false">IF(ISNUMBER(B497),"OK","BAD DATE")</f>
        <v>OK</v>
      </c>
      <c r="R497" s="2" t="str">
        <f aca="false">IF(ROUND(F497,2)=F497,"OK","FIX")</f>
        <v>OK</v>
      </c>
    </row>
    <row r="498" customFormat="false" ht="15" hidden="false" customHeight="false" outlineLevel="0" collapsed="false">
      <c r="A498" s="2" t="s">
        <v>1910</v>
      </c>
      <c r="B498" s="3" t="n">
        <v>45730</v>
      </c>
      <c r="C498" s="2" t="s">
        <v>1911</v>
      </c>
      <c r="D498" s="2" t="s">
        <v>52</v>
      </c>
      <c r="E498" s="2" t="n">
        <v>3</v>
      </c>
      <c r="F498" s="4" t="n">
        <v>201.21</v>
      </c>
      <c r="G498" s="2" t="s">
        <v>1912</v>
      </c>
      <c r="H498" s="2" t="s">
        <v>31</v>
      </c>
      <c r="I498" s="2" t="s">
        <v>39</v>
      </c>
      <c r="J498" s="2" t="s">
        <v>1913</v>
      </c>
      <c r="K498" s="2" t="n">
        <v>3</v>
      </c>
      <c r="L498" s="2" t="s">
        <v>25</v>
      </c>
      <c r="M498" s="2" t="s">
        <v>80</v>
      </c>
      <c r="N498" s="4" t="n">
        <v>603.63</v>
      </c>
      <c r="O498" s="2" t="str">
        <f aca="false">IF(COUNTIF($A$2:$A$1201,A498)&gt;1,"DUPLICATE","Unique")</f>
        <v>Unique</v>
      </c>
      <c r="P498" s="2" t="str">
        <f aca="false">IF(L498="","MISSING","OK")</f>
        <v>OK</v>
      </c>
      <c r="Q498" s="2" t="str">
        <f aca="false">IF(ISNUMBER(B498),"OK","BAD DATE")</f>
        <v>OK</v>
      </c>
      <c r="R498" s="2" t="str">
        <f aca="false">IF(ROUND(F498,2)=F498,"OK","FIX")</f>
        <v>OK</v>
      </c>
    </row>
    <row r="499" customFormat="false" ht="15" hidden="false" customHeight="false" outlineLevel="0" collapsed="false">
      <c r="A499" s="2" t="s">
        <v>1914</v>
      </c>
      <c r="B499" s="3" t="n">
        <v>45589</v>
      </c>
      <c r="C499" s="2" t="s">
        <v>1915</v>
      </c>
      <c r="D499" s="2" t="s">
        <v>52</v>
      </c>
      <c r="E499" s="2" t="n">
        <v>3</v>
      </c>
      <c r="F499" s="4" t="n">
        <v>112.29</v>
      </c>
      <c r="G499" s="2" t="s">
        <v>1916</v>
      </c>
      <c r="H499" s="2" t="s">
        <v>64</v>
      </c>
      <c r="I499" s="2" t="s">
        <v>23</v>
      </c>
      <c r="J499" s="2" t="s">
        <v>1917</v>
      </c>
      <c r="K499" s="2" t="n">
        <v>6</v>
      </c>
      <c r="L499" s="2"/>
      <c r="M499" s="2" t="s">
        <v>80</v>
      </c>
      <c r="N499" s="4" t="n">
        <v>336.87</v>
      </c>
      <c r="O499" s="2" t="str">
        <f aca="false">IF(COUNTIF($A$2:$A$1201,A499)&gt;1,"DUPLICATE","Unique")</f>
        <v>Unique</v>
      </c>
      <c r="P499" s="2" t="str">
        <f aca="false">IF(L499="","MISSING","OK")</f>
        <v>MISSING</v>
      </c>
      <c r="Q499" s="2" t="str">
        <f aca="false">IF(ISNUMBER(B499),"OK","BAD DATE")</f>
        <v>OK</v>
      </c>
      <c r="R499" s="2" t="str">
        <f aca="false">IF(ROUND(F499,2)=F499,"OK","FIX")</f>
        <v>OK</v>
      </c>
    </row>
    <row r="500" customFormat="false" ht="15" hidden="false" customHeight="false" outlineLevel="0" collapsed="false">
      <c r="A500" s="2" t="s">
        <v>1918</v>
      </c>
      <c r="B500" s="3" t="n">
        <v>45119</v>
      </c>
      <c r="C500" s="2" t="s">
        <v>1919</v>
      </c>
      <c r="D500" s="2" t="s">
        <v>36</v>
      </c>
      <c r="E500" s="2" t="n">
        <v>4</v>
      </c>
      <c r="F500" s="4" t="n">
        <v>132.56</v>
      </c>
      <c r="G500" s="2" t="s">
        <v>992</v>
      </c>
      <c r="H500" s="2" t="s">
        <v>69</v>
      </c>
      <c r="I500" s="2" t="s">
        <v>47</v>
      </c>
      <c r="J500" s="2" t="s">
        <v>1920</v>
      </c>
      <c r="K500" s="2" t="n">
        <v>8</v>
      </c>
      <c r="L500" s="2" t="s">
        <v>85</v>
      </c>
      <c r="M500" s="2" t="s">
        <v>26</v>
      </c>
      <c r="N500" s="4" t="n">
        <v>530.24</v>
      </c>
      <c r="O500" s="2" t="str">
        <f aca="false">IF(COUNTIF($A$2:$A$1201,A500)&gt;1,"DUPLICATE","Unique")</f>
        <v>Unique</v>
      </c>
      <c r="P500" s="2" t="str">
        <f aca="false">IF(L500="","MISSING","OK")</f>
        <v>OK</v>
      </c>
      <c r="Q500" s="2" t="str">
        <f aca="false">IF(ISNUMBER(B500),"OK","BAD DATE")</f>
        <v>OK</v>
      </c>
      <c r="R500" s="2" t="str">
        <f aca="false">IF(ROUND(F500,2)=F500,"OK","FIX")</f>
        <v>OK</v>
      </c>
    </row>
    <row r="501" customFormat="false" ht="15" hidden="false" customHeight="false" outlineLevel="0" collapsed="false">
      <c r="A501" s="2" t="s">
        <v>1921</v>
      </c>
      <c r="B501" s="3" t="n">
        <v>45022</v>
      </c>
      <c r="C501" s="2" t="s">
        <v>1922</v>
      </c>
      <c r="D501" s="2" t="s">
        <v>52</v>
      </c>
      <c r="E501" s="2" t="n">
        <v>3</v>
      </c>
      <c r="F501" s="4" t="n">
        <v>539.46</v>
      </c>
      <c r="G501" s="2" t="s">
        <v>1923</v>
      </c>
      <c r="H501" s="2" t="s">
        <v>38</v>
      </c>
      <c r="I501" s="2" t="s">
        <v>23</v>
      </c>
      <c r="J501" s="2" t="s">
        <v>1924</v>
      </c>
      <c r="K501" s="2" t="n">
        <v>4</v>
      </c>
      <c r="L501" s="2" t="s">
        <v>25</v>
      </c>
      <c r="M501" s="2" t="s">
        <v>49</v>
      </c>
      <c r="N501" s="4" t="n">
        <v>1618.38</v>
      </c>
      <c r="O501" s="2" t="str">
        <f aca="false">IF(COUNTIF($A$2:$A$1201,A501)&gt;1,"DUPLICATE","Unique")</f>
        <v>Unique</v>
      </c>
      <c r="P501" s="2" t="str">
        <f aca="false">IF(L501="","MISSING","OK")</f>
        <v>OK</v>
      </c>
      <c r="Q501" s="2" t="str">
        <f aca="false">IF(ISNUMBER(B501),"OK","BAD DATE")</f>
        <v>OK</v>
      </c>
      <c r="R501" s="2" t="str">
        <f aca="false">IF(ROUND(F501,2)=F501,"OK","FIX")</f>
        <v>OK</v>
      </c>
    </row>
    <row r="502" customFormat="false" ht="15" hidden="false" customHeight="false" outlineLevel="0" collapsed="false">
      <c r="A502" s="2" t="s">
        <v>1925</v>
      </c>
      <c r="B502" s="3" t="n">
        <v>45389</v>
      </c>
      <c r="C502" s="2" t="s">
        <v>1926</v>
      </c>
      <c r="D502" s="2" t="s">
        <v>62</v>
      </c>
      <c r="E502" s="2" t="n">
        <v>5</v>
      </c>
      <c r="F502" s="4" t="n">
        <v>508.59</v>
      </c>
      <c r="G502" s="2" t="s">
        <v>1927</v>
      </c>
      <c r="H502" s="2" t="s">
        <v>69</v>
      </c>
      <c r="I502" s="2" t="s">
        <v>47</v>
      </c>
      <c r="J502" s="2" t="s">
        <v>1928</v>
      </c>
      <c r="K502" s="2" t="n">
        <v>8</v>
      </c>
      <c r="L502" s="2" t="s">
        <v>85</v>
      </c>
      <c r="M502" s="2" t="s">
        <v>49</v>
      </c>
      <c r="N502" s="4" t="n">
        <v>2542.95</v>
      </c>
      <c r="O502" s="2" t="str">
        <f aca="false">IF(COUNTIF($A$2:$A$1201,A502)&gt;1,"DUPLICATE","Unique")</f>
        <v>Unique</v>
      </c>
      <c r="P502" s="2" t="str">
        <f aca="false">IF(L502="","MISSING","OK")</f>
        <v>OK</v>
      </c>
      <c r="Q502" s="2" t="str">
        <f aca="false">IF(ISNUMBER(B502),"OK","BAD DATE")</f>
        <v>OK</v>
      </c>
      <c r="R502" s="2" t="str">
        <f aca="false">IF(ROUND(F502,2)=F502,"OK","FIX")</f>
        <v>OK</v>
      </c>
    </row>
    <row r="503" customFormat="false" ht="15" hidden="false" customHeight="false" outlineLevel="0" collapsed="false">
      <c r="A503" s="2" t="s">
        <v>1929</v>
      </c>
      <c r="B503" s="3" t="n">
        <v>45326</v>
      </c>
      <c r="C503" s="2" t="s">
        <v>1930</v>
      </c>
      <c r="D503" s="2" t="s">
        <v>77</v>
      </c>
      <c r="E503" s="2" t="n">
        <v>4</v>
      </c>
      <c r="F503" s="4" t="n">
        <v>203.46</v>
      </c>
      <c r="G503" s="2" t="s">
        <v>689</v>
      </c>
      <c r="H503" s="2" t="s">
        <v>38</v>
      </c>
      <c r="I503" s="2" t="s">
        <v>93</v>
      </c>
      <c r="J503" s="2" t="s">
        <v>1931</v>
      </c>
      <c r="K503" s="2" t="n">
        <v>7</v>
      </c>
      <c r="L503" s="2" t="s">
        <v>25</v>
      </c>
      <c r="M503" s="2" t="s">
        <v>33</v>
      </c>
      <c r="N503" s="4" t="n">
        <v>813.84</v>
      </c>
      <c r="O503" s="2" t="str">
        <f aca="false">IF(COUNTIF($A$2:$A$1201,A503)&gt;1,"DUPLICATE","Unique")</f>
        <v>Unique</v>
      </c>
      <c r="P503" s="2" t="str">
        <f aca="false">IF(L503="","MISSING","OK")</f>
        <v>OK</v>
      </c>
      <c r="Q503" s="2" t="str">
        <f aca="false">IF(ISNUMBER(B503),"OK","BAD DATE")</f>
        <v>OK</v>
      </c>
      <c r="R503" s="2" t="str">
        <f aca="false">IF(ROUND(F503,2)=F503,"OK","FIX")</f>
        <v>OK</v>
      </c>
    </row>
    <row r="504" customFormat="false" ht="15" hidden="false" customHeight="false" outlineLevel="0" collapsed="false">
      <c r="A504" s="2" t="s">
        <v>1932</v>
      </c>
      <c r="B504" s="3" t="n">
        <v>45066</v>
      </c>
      <c r="C504" s="2" t="s">
        <v>1933</v>
      </c>
      <c r="D504" s="2" t="s">
        <v>20</v>
      </c>
      <c r="E504" s="2" t="n">
        <v>3</v>
      </c>
      <c r="F504" s="4" t="n">
        <v>565.25</v>
      </c>
      <c r="G504" s="2" t="s">
        <v>1934</v>
      </c>
      <c r="H504" s="2" t="s">
        <v>22</v>
      </c>
      <c r="I504" s="2" t="s">
        <v>47</v>
      </c>
      <c r="J504" s="2" t="s">
        <v>1935</v>
      </c>
      <c r="K504" s="2" t="n">
        <v>7</v>
      </c>
      <c r="L504" s="2" t="s">
        <v>25</v>
      </c>
      <c r="M504" s="2" t="s">
        <v>42</v>
      </c>
      <c r="N504" s="4" t="n">
        <v>1695.75</v>
      </c>
      <c r="O504" s="2" t="str">
        <f aca="false">IF(COUNTIF($A$2:$A$1201,A504)&gt;1,"DUPLICATE","Unique")</f>
        <v>Unique</v>
      </c>
      <c r="P504" s="2" t="str">
        <f aca="false">IF(L504="","MISSING","OK")</f>
        <v>OK</v>
      </c>
      <c r="Q504" s="2" t="str">
        <f aca="false">IF(ISNUMBER(B504),"OK","BAD DATE")</f>
        <v>OK</v>
      </c>
      <c r="R504" s="2" t="str">
        <f aca="false">IF(ROUND(F504,2)=F504,"OK","FIX")</f>
        <v>OK</v>
      </c>
    </row>
    <row r="505" customFormat="false" ht="15" hidden="false" customHeight="false" outlineLevel="0" collapsed="false">
      <c r="A505" s="2" t="s">
        <v>1936</v>
      </c>
      <c r="B505" s="3" t="n">
        <v>45169</v>
      </c>
      <c r="C505" s="2" t="s">
        <v>1937</v>
      </c>
      <c r="D505" s="2" t="s">
        <v>36</v>
      </c>
      <c r="E505" s="2" t="n">
        <v>3</v>
      </c>
      <c r="F505" s="4" t="n">
        <v>136.84</v>
      </c>
      <c r="G505" s="2" t="s">
        <v>1938</v>
      </c>
      <c r="H505" s="2" t="s">
        <v>31</v>
      </c>
      <c r="I505" s="2" t="s">
        <v>93</v>
      </c>
      <c r="J505" s="2" t="s">
        <v>1939</v>
      </c>
      <c r="K505" s="2" t="n">
        <v>4</v>
      </c>
      <c r="L505" s="2" t="s">
        <v>41</v>
      </c>
      <c r="M505" s="2" t="s">
        <v>49</v>
      </c>
      <c r="N505" s="4" t="n">
        <v>410.52</v>
      </c>
      <c r="O505" s="2" t="str">
        <f aca="false">IF(COUNTIF($A$2:$A$1201,A505)&gt;1,"DUPLICATE","Unique")</f>
        <v>Unique</v>
      </c>
      <c r="P505" s="2" t="str">
        <f aca="false">IF(L505="","MISSING","OK")</f>
        <v>OK</v>
      </c>
      <c r="Q505" s="2" t="str">
        <f aca="false">IF(ISNUMBER(B505),"OK","BAD DATE")</f>
        <v>OK</v>
      </c>
      <c r="R505" s="2" t="str">
        <f aca="false">IF(ROUND(F505,2)=F505,"OK","FIX")</f>
        <v>OK</v>
      </c>
    </row>
    <row r="506" customFormat="false" ht="15" hidden="false" customHeight="false" outlineLevel="0" collapsed="false">
      <c r="A506" s="2" t="s">
        <v>1940</v>
      </c>
      <c r="B506" s="3" t="n">
        <v>45819</v>
      </c>
      <c r="C506" s="2" t="s">
        <v>1941</v>
      </c>
      <c r="D506" s="2" t="s">
        <v>20</v>
      </c>
      <c r="E506" s="2" t="n">
        <v>2</v>
      </c>
      <c r="F506" s="4" t="n">
        <v>464.5</v>
      </c>
      <c r="G506" s="2" t="s">
        <v>1942</v>
      </c>
      <c r="H506" s="2" t="s">
        <v>31</v>
      </c>
      <c r="I506" s="2" t="s">
        <v>39</v>
      </c>
      <c r="J506" s="2" t="s">
        <v>1943</v>
      </c>
      <c r="K506" s="2" t="n">
        <v>2</v>
      </c>
      <c r="L506" s="2" t="s">
        <v>85</v>
      </c>
      <c r="M506" s="2" t="s">
        <v>26</v>
      </c>
      <c r="N506" s="4" t="n">
        <v>929</v>
      </c>
      <c r="O506" s="2" t="str">
        <f aca="false">IF(COUNTIF($A$2:$A$1201,A506)&gt;1,"DUPLICATE","Unique")</f>
        <v>Unique</v>
      </c>
      <c r="P506" s="2" t="str">
        <f aca="false">IF(L506="","MISSING","OK")</f>
        <v>OK</v>
      </c>
      <c r="Q506" s="2" t="str">
        <f aca="false">IF(ISNUMBER(B506),"OK","BAD DATE")</f>
        <v>OK</v>
      </c>
      <c r="R506" s="2" t="str">
        <f aca="false">IF(ROUND(F506,2)=F506,"OK","FIX")</f>
        <v>OK</v>
      </c>
    </row>
    <row r="507" customFormat="false" ht="15" hidden="false" customHeight="false" outlineLevel="0" collapsed="false">
      <c r="A507" s="2" t="s">
        <v>1944</v>
      </c>
      <c r="B507" s="3" t="n">
        <v>45088</v>
      </c>
      <c r="C507" s="2" t="s">
        <v>1945</v>
      </c>
      <c r="D507" s="2" t="s">
        <v>52</v>
      </c>
      <c r="E507" s="2" t="n">
        <v>2</v>
      </c>
      <c r="F507" s="4" t="n">
        <v>434.97</v>
      </c>
      <c r="G507" s="2" t="s">
        <v>1529</v>
      </c>
      <c r="H507" s="2" t="s">
        <v>31</v>
      </c>
      <c r="I507" s="2" t="s">
        <v>23</v>
      </c>
      <c r="J507" s="2" t="s">
        <v>1946</v>
      </c>
      <c r="K507" s="2" t="n">
        <v>7</v>
      </c>
      <c r="L507" s="2"/>
      <c r="M507" s="2" t="s">
        <v>42</v>
      </c>
      <c r="N507" s="4" t="n">
        <v>869.94</v>
      </c>
      <c r="O507" s="2" t="str">
        <f aca="false">IF(COUNTIF($A$2:$A$1201,A507)&gt;1,"DUPLICATE","Unique")</f>
        <v>Unique</v>
      </c>
      <c r="P507" s="2" t="str">
        <f aca="false">IF(L507="","MISSING","OK")</f>
        <v>MISSING</v>
      </c>
      <c r="Q507" s="2" t="str">
        <f aca="false">IF(ISNUMBER(B507),"OK","BAD DATE")</f>
        <v>OK</v>
      </c>
      <c r="R507" s="2" t="str">
        <f aca="false">IF(ROUND(F507,2)=F507,"OK","FIX")</f>
        <v>OK</v>
      </c>
    </row>
    <row r="508" customFormat="false" ht="15" hidden="false" customHeight="false" outlineLevel="0" collapsed="false">
      <c r="A508" s="2" t="s">
        <v>1947</v>
      </c>
      <c r="B508" s="3" t="n">
        <v>45132</v>
      </c>
      <c r="C508" s="2" t="s">
        <v>1948</v>
      </c>
      <c r="D508" s="2" t="s">
        <v>20</v>
      </c>
      <c r="E508" s="2" t="n">
        <v>2</v>
      </c>
      <c r="F508" s="4" t="n">
        <v>43.67</v>
      </c>
      <c r="G508" s="2" t="s">
        <v>1949</v>
      </c>
      <c r="H508" s="2" t="s">
        <v>69</v>
      </c>
      <c r="I508" s="2" t="s">
        <v>47</v>
      </c>
      <c r="J508" s="2" t="s">
        <v>1950</v>
      </c>
      <c r="K508" s="2" t="n">
        <v>4</v>
      </c>
      <c r="L508" s="2" t="s">
        <v>85</v>
      </c>
      <c r="M508" s="2" t="s">
        <v>26</v>
      </c>
      <c r="N508" s="4" t="n">
        <v>87.34</v>
      </c>
      <c r="O508" s="2" t="str">
        <f aca="false">IF(COUNTIF($A$2:$A$1201,A508)&gt;1,"DUPLICATE","Unique")</f>
        <v>Unique</v>
      </c>
      <c r="P508" s="2" t="str">
        <f aca="false">IF(L508="","MISSING","OK")</f>
        <v>OK</v>
      </c>
      <c r="Q508" s="2" t="str">
        <f aca="false">IF(ISNUMBER(B508),"OK","BAD DATE")</f>
        <v>OK</v>
      </c>
      <c r="R508" s="2" t="str">
        <f aca="false">IF(ROUND(F508,2)=F508,"OK","FIX")</f>
        <v>OK</v>
      </c>
    </row>
    <row r="509" customFormat="false" ht="15" hidden="false" customHeight="false" outlineLevel="0" collapsed="false">
      <c r="A509" s="2" t="s">
        <v>1951</v>
      </c>
      <c r="B509" s="3" t="n">
        <v>45112</v>
      </c>
      <c r="C509" s="2" t="s">
        <v>1952</v>
      </c>
      <c r="D509" s="2" t="s">
        <v>29</v>
      </c>
      <c r="E509" s="2" t="n">
        <v>1</v>
      </c>
      <c r="F509" s="4" t="n">
        <v>171.59</v>
      </c>
      <c r="G509" s="2" t="s">
        <v>1303</v>
      </c>
      <c r="H509" s="2" t="s">
        <v>38</v>
      </c>
      <c r="I509" s="2" t="s">
        <v>93</v>
      </c>
      <c r="J509" s="2" t="s">
        <v>1953</v>
      </c>
      <c r="K509" s="2" t="n">
        <v>5</v>
      </c>
      <c r="L509" s="2" t="s">
        <v>85</v>
      </c>
      <c r="M509" s="2" t="s">
        <v>42</v>
      </c>
      <c r="N509" s="4" t="n">
        <v>171.59</v>
      </c>
      <c r="O509" s="2" t="str">
        <f aca="false">IF(COUNTIF($A$2:$A$1201,A509)&gt;1,"DUPLICATE","Unique")</f>
        <v>Unique</v>
      </c>
      <c r="P509" s="2" t="str">
        <f aca="false">IF(L509="","MISSING","OK")</f>
        <v>OK</v>
      </c>
      <c r="Q509" s="2" t="str">
        <f aca="false">IF(ISNUMBER(B509),"OK","BAD DATE")</f>
        <v>OK</v>
      </c>
      <c r="R509" s="2" t="str">
        <f aca="false">IF(ROUND(F509,2)=F509,"OK","FIX")</f>
        <v>OK</v>
      </c>
    </row>
    <row r="510" customFormat="false" ht="15" hidden="false" customHeight="false" outlineLevel="0" collapsed="false">
      <c r="A510" s="2" t="s">
        <v>1954</v>
      </c>
      <c r="B510" s="3" t="n">
        <v>45791</v>
      </c>
      <c r="C510" s="2" t="s">
        <v>1955</v>
      </c>
      <c r="D510" s="2" t="s">
        <v>29</v>
      </c>
      <c r="E510" s="2" t="n">
        <v>1</v>
      </c>
      <c r="F510" s="4" t="n">
        <v>558.27</v>
      </c>
      <c r="G510" s="2" t="s">
        <v>1956</v>
      </c>
      <c r="H510" s="2" t="s">
        <v>31</v>
      </c>
      <c r="I510" s="2" t="s">
        <v>54</v>
      </c>
      <c r="J510" s="2" t="s">
        <v>1957</v>
      </c>
      <c r="K510" s="2" t="n">
        <v>1</v>
      </c>
      <c r="L510" s="2"/>
      <c r="M510" s="2" t="s">
        <v>33</v>
      </c>
      <c r="N510" s="4" t="n">
        <v>558.27</v>
      </c>
      <c r="O510" s="2" t="str">
        <f aca="false">IF(COUNTIF($A$2:$A$1201,A510)&gt;1,"DUPLICATE","Unique")</f>
        <v>Unique</v>
      </c>
      <c r="P510" s="2" t="str">
        <f aca="false">IF(L510="","MISSING","OK")</f>
        <v>MISSING</v>
      </c>
      <c r="Q510" s="2" t="str">
        <f aca="false">IF(ISNUMBER(B510),"OK","BAD DATE")</f>
        <v>OK</v>
      </c>
      <c r="R510" s="2" t="str">
        <f aca="false">IF(ROUND(F510,2)=F510,"OK","FIX")</f>
        <v>OK</v>
      </c>
    </row>
    <row r="511" customFormat="false" ht="15" hidden="false" customHeight="false" outlineLevel="0" collapsed="false">
      <c r="A511" s="2" t="s">
        <v>1958</v>
      </c>
      <c r="B511" s="3" t="n">
        <v>44972</v>
      </c>
      <c r="C511" s="2" t="s">
        <v>1959</v>
      </c>
      <c r="D511" s="2" t="s">
        <v>62</v>
      </c>
      <c r="E511" s="2" t="n">
        <v>2</v>
      </c>
      <c r="F511" s="4" t="n">
        <v>425.03</v>
      </c>
      <c r="G511" s="2" t="s">
        <v>1960</v>
      </c>
      <c r="H511" s="2" t="s">
        <v>69</v>
      </c>
      <c r="I511" s="2" t="s">
        <v>47</v>
      </c>
      <c r="J511" s="2" t="s">
        <v>1961</v>
      </c>
      <c r="K511" s="2" t="n">
        <v>2</v>
      </c>
      <c r="L511" s="2" t="s">
        <v>85</v>
      </c>
      <c r="M511" s="2" t="s">
        <v>80</v>
      </c>
      <c r="N511" s="4" t="n">
        <v>850.06</v>
      </c>
      <c r="O511" s="2" t="str">
        <f aca="false">IF(COUNTIF($A$2:$A$1201,A511)&gt;1,"DUPLICATE","Unique")</f>
        <v>Unique</v>
      </c>
      <c r="P511" s="2" t="str">
        <f aca="false">IF(L511="","MISSING","OK")</f>
        <v>OK</v>
      </c>
      <c r="Q511" s="2" t="str">
        <f aca="false">IF(ISNUMBER(B511),"OK","BAD DATE")</f>
        <v>OK</v>
      </c>
      <c r="R511" s="2" t="str">
        <f aca="false">IF(ROUND(F511,2)=F511,"OK","FIX")</f>
        <v>OK</v>
      </c>
    </row>
    <row r="512" customFormat="false" ht="15" hidden="false" customHeight="false" outlineLevel="0" collapsed="false">
      <c r="A512" s="2" t="s">
        <v>1962</v>
      </c>
      <c r="B512" s="3" t="n">
        <v>45642</v>
      </c>
      <c r="C512" s="2" t="s">
        <v>1963</v>
      </c>
      <c r="D512" s="2" t="s">
        <v>52</v>
      </c>
      <c r="E512" s="2" t="n">
        <v>1</v>
      </c>
      <c r="F512" s="4" t="n">
        <v>376.76</v>
      </c>
      <c r="G512" s="2" t="s">
        <v>1964</v>
      </c>
      <c r="H512" s="2" t="s">
        <v>22</v>
      </c>
      <c r="I512" s="2" t="s">
        <v>54</v>
      </c>
      <c r="J512" s="2" t="s">
        <v>1965</v>
      </c>
      <c r="K512" s="2" t="n">
        <v>5</v>
      </c>
      <c r="L512" s="2" t="s">
        <v>25</v>
      </c>
      <c r="M512" s="2" t="s">
        <v>42</v>
      </c>
      <c r="N512" s="4" t="n">
        <v>376.76</v>
      </c>
      <c r="O512" s="2" t="str">
        <f aca="false">IF(COUNTIF($A$2:$A$1201,A512)&gt;1,"DUPLICATE","Unique")</f>
        <v>Unique</v>
      </c>
      <c r="P512" s="2" t="str">
        <f aca="false">IF(L512="","MISSING","OK")</f>
        <v>OK</v>
      </c>
      <c r="Q512" s="2" t="str">
        <f aca="false">IF(ISNUMBER(B512),"OK","BAD DATE")</f>
        <v>OK</v>
      </c>
      <c r="R512" s="2" t="str">
        <f aca="false">IF(ROUND(F512,2)=F512,"OK","FIX")</f>
        <v>OK</v>
      </c>
    </row>
    <row r="513" customFormat="false" ht="15" hidden="false" customHeight="false" outlineLevel="0" collapsed="false">
      <c r="A513" s="2" t="s">
        <v>1966</v>
      </c>
      <c r="B513" s="3" t="n">
        <v>45366</v>
      </c>
      <c r="C513" s="2" t="s">
        <v>1967</v>
      </c>
      <c r="D513" s="2" t="s">
        <v>20</v>
      </c>
      <c r="E513" s="2" t="n">
        <v>5</v>
      </c>
      <c r="F513" s="4" t="n">
        <v>575.24</v>
      </c>
      <c r="G513" s="2" t="s">
        <v>205</v>
      </c>
      <c r="H513" s="2" t="s">
        <v>69</v>
      </c>
      <c r="I513" s="2" t="s">
        <v>54</v>
      </c>
      <c r="J513" s="2" t="s">
        <v>1968</v>
      </c>
      <c r="K513" s="2" t="n">
        <v>7</v>
      </c>
      <c r="L513" s="2" t="s">
        <v>85</v>
      </c>
      <c r="M513" s="2" t="s">
        <v>42</v>
      </c>
      <c r="N513" s="4" t="n">
        <v>2876.2</v>
      </c>
      <c r="O513" s="2" t="str">
        <f aca="false">IF(COUNTIF($A$2:$A$1201,A513)&gt;1,"DUPLICATE","Unique")</f>
        <v>Unique</v>
      </c>
      <c r="P513" s="2" t="str">
        <f aca="false">IF(L513="","MISSING","OK")</f>
        <v>OK</v>
      </c>
      <c r="Q513" s="2" t="str">
        <f aca="false">IF(ISNUMBER(B513),"OK","BAD DATE")</f>
        <v>OK</v>
      </c>
      <c r="R513" s="2" t="str">
        <f aca="false">IF(ROUND(F513,2)=F513,"OK","FIX")</f>
        <v>OK</v>
      </c>
    </row>
    <row r="514" customFormat="false" ht="15" hidden="false" customHeight="false" outlineLevel="0" collapsed="false">
      <c r="A514" s="2" t="s">
        <v>1969</v>
      </c>
      <c r="B514" s="3" t="n">
        <v>45562</v>
      </c>
      <c r="C514" s="2" t="s">
        <v>1970</v>
      </c>
      <c r="D514" s="2" t="s">
        <v>77</v>
      </c>
      <c r="E514" s="2" t="n">
        <v>3</v>
      </c>
      <c r="F514" s="4" t="n">
        <v>568.02</v>
      </c>
      <c r="G514" s="2" t="s">
        <v>1194</v>
      </c>
      <c r="H514" s="2" t="s">
        <v>31</v>
      </c>
      <c r="I514" s="2" t="s">
        <v>93</v>
      </c>
      <c r="J514" s="2" t="s">
        <v>1971</v>
      </c>
      <c r="K514" s="2" t="n">
        <v>3</v>
      </c>
      <c r="L514" s="2" t="s">
        <v>41</v>
      </c>
      <c r="M514" s="2" t="s">
        <v>26</v>
      </c>
      <c r="N514" s="4" t="n">
        <v>1704.06</v>
      </c>
      <c r="O514" s="2" t="str">
        <f aca="false">IF(COUNTIF($A$2:$A$1201,A514)&gt;1,"DUPLICATE","Unique")</f>
        <v>Unique</v>
      </c>
      <c r="P514" s="2" t="str">
        <f aca="false">IF(L514="","MISSING","OK")</f>
        <v>OK</v>
      </c>
      <c r="Q514" s="2" t="str">
        <f aca="false">IF(ISNUMBER(B514),"OK","BAD DATE")</f>
        <v>OK</v>
      </c>
      <c r="R514" s="2" t="str">
        <f aca="false">IF(ROUND(F514,2)=F514,"OK","FIX")</f>
        <v>OK</v>
      </c>
    </row>
    <row r="515" customFormat="false" ht="15" hidden="false" customHeight="false" outlineLevel="0" collapsed="false">
      <c r="A515" s="2" t="s">
        <v>1972</v>
      </c>
      <c r="B515" s="3" t="n">
        <v>45697</v>
      </c>
      <c r="C515" s="2" t="s">
        <v>1973</v>
      </c>
      <c r="D515" s="2" t="s">
        <v>36</v>
      </c>
      <c r="E515" s="2" t="n">
        <v>3</v>
      </c>
      <c r="F515" s="4" t="n">
        <v>94.88</v>
      </c>
      <c r="G515" s="2" t="s">
        <v>430</v>
      </c>
      <c r="H515" s="2" t="s">
        <v>64</v>
      </c>
      <c r="I515" s="2" t="s">
        <v>23</v>
      </c>
      <c r="J515" s="2" t="s">
        <v>1974</v>
      </c>
      <c r="K515" s="2" t="n">
        <v>8</v>
      </c>
      <c r="L515" s="2"/>
      <c r="M515" s="2" t="s">
        <v>33</v>
      </c>
      <c r="N515" s="4" t="n">
        <v>284.64</v>
      </c>
      <c r="O515" s="2" t="str">
        <f aca="false">IF(COUNTIF($A$2:$A$1201,A515)&gt;1,"DUPLICATE","Unique")</f>
        <v>Unique</v>
      </c>
      <c r="P515" s="2" t="str">
        <f aca="false">IF(L515="","MISSING","OK")</f>
        <v>MISSING</v>
      </c>
      <c r="Q515" s="2" t="str">
        <f aca="false">IF(ISNUMBER(B515),"OK","BAD DATE")</f>
        <v>OK</v>
      </c>
      <c r="R515" s="2" t="str">
        <f aca="false">IF(ROUND(F515,2)=F515,"OK","FIX")</f>
        <v>OK</v>
      </c>
    </row>
    <row r="516" customFormat="false" ht="15" hidden="false" customHeight="false" outlineLevel="0" collapsed="false">
      <c r="A516" s="2" t="s">
        <v>1975</v>
      </c>
      <c r="B516" s="3" t="n">
        <v>45032</v>
      </c>
      <c r="C516" s="2" t="s">
        <v>1976</v>
      </c>
      <c r="D516" s="2" t="s">
        <v>52</v>
      </c>
      <c r="E516" s="2" t="n">
        <v>3</v>
      </c>
      <c r="F516" s="4" t="n">
        <v>304.15</v>
      </c>
      <c r="G516" s="2" t="s">
        <v>1758</v>
      </c>
      <c r="H516" s="2" t="s">
        <v>64</v>
      </c>
      <c r="I516" s="2" t="s">
        <v>23</v>
      </c>
      <c r="J516" s="2" t="s">
        <v>1977</v>
      </c>
      <c r="K516" s="2" t="n">
        <v>3</v>
      </c>
      <c r="L516" s="2" t="s">
        <v>85</v>
      </c>
      <c r="M516" s="2" t="s">
        <v>26</v>
      </c>
      <c r="N516" s="4" t="n">
        <v>912.45</v>
      </c>
      <c r="O516" s="2" t="str">
        <f aca="false">IF(COUNTIF($A$2:$A$1201,A516)&gt;1,"DUPLICATE","Unique")</f>
        <v>Unique</v>
      </c>
      <c r="P516" s="2" t="str">
        <f aca="false">IF(L516="","MISSING","OK")</f>
        <v>OK</v>
      </c>
      <c r="Q516" s="2" t="str">
        <f aca="false">IF(ISNUMBER(B516),"OK","BAD DATE")</f>
        <v>OK</v>
      </c>
      <c r="R516" s="2" t="str">
        <f aca="false">IF(ROUND(F516,2)=F516,"OK","FIX")</f>
        <v>OK</v>
      </c>
    </row>
    <row r="517" customFormat="false" ht="15" hidden="false" customHeight="false" outlineLevel="0" collapsed="false">
      <c r="A517" s="2" t="s">
        <v>1978</v>
      </c>
      <c r="B517" s="3" t="n">
        <v>44999</v>
      </c>
      <c r="C517" s="2" t="s">
        <v>1979</v>
      </c>
      <c r="D517" s="2" t="s">
        <v>29</v>
      </c>
      <c r="E517" s="2" t="n">
        <v>3</v>
      </c>
      <c r="F517" s="4" t="n">
        <v>553.52</v>
      </c>
      <c r="G517" s="2" t="s">
        <v>1747</v>
      </c>
      <c r="H517" s="2" t="s">
        <v>64</v>
      </c>
      <c r="I517" s="2" t="s">
        <v>23</v>
      </c>
      <c r="J517" s="2" t="s">
        <v>1980</v>
      </c>
      <c r="K517" s="2" t="n">
        <v>4</v>
      </c>
      <c r="L517" s="2" t="s">
        <v>41</v>
      </c>
      <c r="M517" s="2" t="s">
        <v>49</v>
      </c>
      <c r="N517" s="4" t="n">
        <v>1660.56</v>
      </c>
      <c r="O517" s="2" t="str">
        <f aca="false">IF(COUNTIF($A$2:$A$1201,A517)&gt;1,"DUPLICATE","Unique")</f>
        <v>Unique</v>
      </c>
      <c r="P517" s="2" t="str">
        <f aca="false">IF(L517="","MISSING","OK")</f>
        <v>OK</v>
      </c>
      <c r="Q517" s="2" t="str">
        <f aca="false">IF(ISNUMBER(B517),"OK","BAD DATE")</f>
        <v>OK</v>
      </c>
      <c r="R517" s="2" t="str">
        <f aca="false">IF(ROUND(F517,2)=F517,"OK","FIX")</f>
        <v>OK</v>
      </c>
    </row>
    <row r="518" customFormat="false" ht="15" hidden="false" customHeight="false" outlineLevel="0" collapsed="false">
      <c r="A518" s="2" t="s">
        <v>1981</v>
      </c>
      <c r="B518" s="3" t="n">
        <v>45389</v>
      </c>
      <c r="C518" s="2" t="s">
        <v>1982</v>
      </c>
      <c r="D518" s="2" t="s">
        <v>20</v>
      </c>
      <c r="E518" s="2" t="n">
        <v>3</v>
      </c>
      <c r="F518" s="4" t="n">
        <v>166.99</v>
      </c>
      <c r="G518" s="2" t="s">
        <v>1176</v>
      </c>
      <c r="H518" s="2" t="s">
        <v>69</v>
      </c>
      <c r="I518" s="2" t="s">
        <v>47</v>
      </c>
      <c r="J518" s="2" t="s">
        <v>1983</v>
      </c>
      <c r="K518" s="2" t="n">
        <v>8</v>
      </c>
      <c r="L518" s="2"/>
      <c r="M518" s="2" t="s">
        <v>49</v>
      </c>
      <c r="N518" s="4" t="n">
        <v>500.97</v>
      </c>
      <c r="O518" s="2" t="str">
        <f aca="false">IF(COUNTIF($A$2:$A$1201,A518)&gt;1,"DUPLICATE","Unique")</f>
        <v>Unique</v>
      </c>
      <c r="P518" s="2" t="str">
        <f aca="false">IF(L518="","MISSING","OK")</f>
        <v>MISSING</v>
      </c>
      <c r="Q518" s="2" t="str">
        <f aca="false">IF(ISNUMBER(B518),"OK","BAD DATE")</f>
        <v>OK</v>
      </c>
      <c r="R518" s="2" t="str">
        <f aca="false">IF(ROUND(F518,2)=F518,"OK","FIX")</f>
        <v>OK</v>
      </c>
    </row>
    <row r="519" customFormat="false" ht="15" hidden="false" customHeight="false" outlineLevel="0" collapsed="false">
      <c r="A519" s="2" t="s">
        <v>1984</v>
      </c>
      <c r="B519" s="3" t="n">
        <v>45391</v>
      </c>
      <c r="C519" s="2" t="s">
        <v>1985</v>
      </c>
      <c r="D519" s="2" t="s">
        <v>36</v>
      </c>
      <c r="E519" s="2" t="n">
        <v>4</v>
      </c>
      <c r="F519" s="4" t="n">
        <v>198.35</v>
      </c>
      <c r="G519" s="2" t="s">
        <v>1853</v>
      </c>
      <c r="H519" s="2" t="s">
        <v>69</v>
      </c>
      <c r="I519" s="2" t="s">
        <v>39</v>
      </c>
      <c r="J519" s="2" t="s">
        <v>1986</v>
      </c>
      <c r="K519" s="2" t="n">
        <v>7</v>
      </c>
      <c r="L519" s="2" t="s">
        <v>41</v>
      </c>
      <c r="M519" s="2" t="s">
        <v>80</v>
      </c>
      <c r="N519" s="4" t="n">
        <v>793.4</v>
      </c>
      <c r="O519" s="2" t="str">
        <f aca="false">IF(COUNTIF($A$2:$A$1201,A519)&gt;1,"DUPLICATE","Unique")</f>
        <v>Unique</v>
      </c>
      <c r="P519" s="2" t="str">
        <f aca="false">IF(L519="","MISSING","OK")</f>
        <v>OK</v>
      </c>
      <c r="Q519" s="2" t="str">
        <f aca="false">IF(ISNUMBER(B519),"OK","BAD DATE")</f>
        <v>OK</v>
      </c>
      <c r="R519" s="2" t="str">
        <f aca="false">IF(ROUND(F519,2)=F519,"OK","FIX")</f>
        <v>OK</v>
      </c>
    </row>
    <row r="520" customFormat="false" ht="15" hidden="false" customHeight="false" outlineLevel="0" collapsed="false">
      <c r="A520" s="2" t="s">
        <v>1987</v>
      </c>
      <c r="B520" s="3" t="n">
        <v>45821</v>
      </c>
      <c r="C520" s="2" t="s">
        <v>1988</v>
      </c>
      <c r="D520" s="2" t="s">
        <v>52</v>
      </c>
      <c r="E520" s="2" t="n">
        <v>4</v>
      </c>
      <c r="F520" s="4" t="n">
        <v>403.58</v>
      </c>
      <c r="G520" s="2" t="s">
        <v>1564</v>
      </c>
      <c r="H520" s="2" t="s">
        <v>31</v>
      </c>
      <c r="I520" s="2" t="s">
        <v>93</v>
      </c>
      <c r="J520" s="2" t="s">
        <v>1989</v>
      </c>
      <c r="K520" s="2" t="n">
        <v>9</v>
      </c>
      <c r="L520" s="2" t="s">
        <v>25</v>
      </c>
      <c r="M520" s="2" t="s">
        <v>33</v>
      </c>
      <c r="N520" s="4" t="n">
        <v>1614.32</v>
      </c>
      <c r="O520" s="2" t="str">
        <f aca="false">IF(COUNTIF($A$2:$A$1201,A520)&gt;1,"DUPLICATE","Unique")</f>
        <v>Unique</v>
      </c>
      <c r="P520" s="2" t="str">
        <f aca="false">IF(L520="","MISSING","OK")</f>
        <v>OK</v>
      </c>
      <c r="Q520" s="2" t="str">
        <f aca="false">IF(ISNUMBER(B520),"OK","BAD DATE")</f>
        <v>OK</v>
      </c>
      <c r="R520" s="2" t="str">
        <f aca="false">IF(ROUND(F520,2)=F520,"OK","FIX")</f>
        <v>OK</v>
      </c>
    </row>
    <row r="521" customFormat="false" ht="15" hidden="false" customHeight="false" outlineLevel="0" collapsed="false">
      <c r="A521" s="2" t="s">
        <v>1990</v>
      </c>
      <c r="B521" s="3" t="n">
        <v>45787</v>
      </c>
      <c r="C521" s="2" t="s">
        <v>1991</v>
      </c>
      <c r="D521" s="2" t="s">
        <v>62</v>
      </c>
      <c r="E521" s="2" t="n">
        <v>4</v>
      </c>
      <c r="F521" s="4" t="n">
        <v>464.29</v>
      </c>
      <c r="G521" s="2" t="s">
        <v>1992</v>
      </c>
      <c r="H521" s="2" t="s">
        <v>22</v>
      </c>
      <c r="I521" s="2" t="s">
        <v>47</v>
      </c>
      <c r="J521" s="2" t="s">
        <v>1993</v>
      </c>
      <c r="K521" s="2" t="n">
        <v>5</v>
      </c>
      <c r="L521" s="2" t="s">
        <v>25</v>
      </c>
      <c r="M521" s="2" t="s">
        <v>42</v>
      </c>
      <c r="N521" s="4" t="n">
        <v>1857.16</v>
      </c>
      <c r="O521" s="2" t="str">
        <f aca="false">IF(COUNTIF($A$2:$A$1201,A521)&gt;1,"DUPLICATE","Unique")</f>
        <v>Unique</v>
      </c>
      <c r="P521" s="2" t="str">
        <f aca="false">IF(L521="","MISSING","OK")</f>
        <v>OK</v>
      </c>
      <c r="Q521" s="2" t="str">
        <f aca="false">IF(ISNUMBER(B521),"OK","BAD DATE")</f>
        <v>OK</v>
      </c>
      <c r="R521" s="2" t="str">
        <f aca="false">IF(ROUND(F521,2)=F521,"OK","FIX")</f>
        <v>OK</v>
      </c>
    </row>
    <row r="522" customFormat="false" ht="15" hidden="false" customHeight="false" outlineLevel="0" collapsed="false">
      <c r="A522" s="2" t="s">
        <v>1994</v>
      </c>
      <c r="B522" s="3" t="n">
        <v>44995</v>
      </c>
      <c r="C522" s="2" t="s">
        <v>1995</v>
      </c>
      <c r="D522" s="2" t="s">
        <v>20</v>
      </c>
      <c r="E522" s="2" t="n">
        <v>3</v>
      </c>
      <c r="F522" s="4" t="n">
        <v>635.98</v>
      </c>
      <c r="G522" s="2" t="s">
        <v>1996</v>
      </c>
      <c r="H522" s="2" t="s">
        <v>69</v>
      </c>
      <c r="I522" s="2" t="s">
        <v>47</v>
      </c>
      <c r="J522" s="2" t="s">
        <v>1997</v>
      </c>
      <c r="K522" s="2" t="n">
        <v>5</v>
      </c>
      <c r="L522" s="2"/>
      <c r="M522" s="2" t="s">
        <v>33</v>
      </c>
      <c r="N522" s="4" t="n">
        <v>1907.94</v>
      </c>
      <c r="O522" s="2" t="str">
        <f aca="false">IF(COUNTIF($A$2:$A$1201,A522)&gt;1,"DUPLICATE","Unique")</f>
        <v>Unique</v>
      </c>
      <c r="P522" s="2" t="str">
        <f aca="false">IF(L522="","MISSING","OK")</f>
        <v>MISSING</v>
      </c>
      <c r="Q522" s="2" t="str">
        <f aca="false">IF(ISNUMBER(B522),"OK","BAD DATE")</f>
        <v>OK</v>
      </c>
      <c r="R522" s="2" t="str">
        <f aca="false">IF(ROUND(F522,2)=F522,"OK","FIX")</f>
        <v>OK</v>
      </c>
    </row>
    <row r="523" customFormat="false" ht="15" hidden="false" customHeight="false" outlineLevel="0" collapsed="false">
      <c r="A523" s="2" t="s">
        <v>1998</v>
      </c>
      <c r="B523" s="3" t="n">
        <v>45347</v>
      </c>
      <c r="C523" s="2" t="s">
        <v>1999</v>
      </c>
      <c r="D523" s="2" t="s">
        <v>29</v>
      </c>
      <c r="E523" s="2" t="n">
        <v>1</v>
      </c>
      <c r="F523" s="4" t="n">
        <v>528.06</v>
      </c>
      <c r="G523" s="2" t="s">
        <v>2000</v>
      </c>
      <c r="H523" s="2" t="s">
        <v>38</v>
      </c>
      <c r="I523" s="2" t="s">
        <v>23</v>
      </c>
      <c r="J523" s="2" t="s">
        <v>2001</v>
      </c>
      <c r="K523" s="2" t="n">
        <v>2</v>
      </c>
      <c r="L523" s="2"/>
      <c r="M523" s="2" t="s">
        <v>49</v>
      </c>
      <c r="N523" s="4" t="n">
        <v>528.06</v>
      </c>
      <c r="O523" s="2" t="str">
        <f aca="false">IF(COUNTIF($A$2:$A$1201,A523)&gt;1,"DUPLICATE","Unique")</f>
        <v>Unique</v>
      </c>
      <c r="P523" s="2" t="str">
        <f aca="false">IF(L523="","MISSING","OK")</f>
        <v>MISSING</v>
      </c>
      <c r="Q523" s="2" t="str">
        <f aca="false">IF(ISNUMBER(B523),"OK","BAD DATE")</f>
        <v>OK</v>
      </c>
      <c r="R523" s="2" t="str">
        <f aca="false">IF(ROUND(F523,2)=F523,"OK","FIX")</f>
        <v>OK</v>
      </c>
    </row>
    <row r="524" customFormat="false" ht="15" hidden="false" customHeight="false" outlineLevel="0" collapsed="false">
      <c r="A524" s="2" t="s">
        <v>2002</v>
      </c>
      <c r="B524" s="3" t="n">
        <v>45402</v>
      </c>
      <c r="C524" s="2" t="s">
        <v>2003</v>
      </c>
      <c r="D524" s="2" t="s">
        <v>45</v>
      </c>
      <c r="E524" s="2" t="n">
        <v>1</v>
      </c>
      <c r="F524" s="4" t="n">
        <v>515.32</v>
      </c>
      <c r="G524" s="2" t="s">
        <v>1125</v>
      </c>
      <c r="H524" s="2" t="s">
        <v>64</v>
      </c>
      <c r="I524" s="2" t="s">
        <v>39</v>
      </c>
      <c r="J524" s="2" t="s">
        <v>2004</v>
      </c>
      <c r="K524" s="2" t="n">
        <v>1</v>
      </c>
      <c r="L524" s="2" t="s">
        <v>41</v>
      </c>
      <c r="M524" s="2" t="s">
        <v>42</v>
      </c>
      <c r="N524" s="4" t="n">
        <v>515.32</v>
      </c>
      <c r="O524" s="2" t="str">
        <f aca="false">IF(COUNTIF($A$2:$A$1201,A524)&gt;1,"DUPLICATE","Unique")</f>
        <v>Unique</v>
      </c>
      <c r="P524" s="2" t="str">
        <f aca="false">IF(L524="","MISSING","OK")</f>
        <v>OK</v>
      </c>
      <c r="Q524" s="2" t="str">
        <f aca="false">IF(ISNUMBER(B524),"OK","BAD DATE")</f>
        <v>OK</v>
      </c>
      <c r="R524" s="2" t="str">
        <f aca="false">IF(ROUND(F524,2)=F524,"OK","FIX")</f>
        <v>OK</v>
      </c>
    </row>
    <row r="525" customFormat="false" ht="15" hidden="false" customHeight="false" outlineLevel="0" collapsed="false">
      <c r="A525" s="2" t="s">
        <v>2005</v>
      </c>
      <c r="B525" s="3" t="n">
        <v>45706</v>
      </c>
      <c r="C525" s="2" t="s">
        <v>2006</v>
      </c>
      <c r="D525" s="2" t="s">
        <v>77</v>
      </c>
      <c r="E525" s="2" t="n">
        <v>4</v>
      </c>
      <c r="F525" s="4" t="n">
        <v>657.79</v>
      </c>
      <c r="G525" s="2" t="s">
        <v>1624</v>
      </c>
      <c r="H525" s="2" t="s">
        <v>38</v>
      </c>
      <c r="I525" s="2" t="s">
        <v>47</v>
      </c>
      <c r="J525" s="2" t="s">
        <v>2007</v>
      </c>
      <c r="K525" s="2" t="n">
        <v>6</v>
      </c>
      <c r="L525" s="2" t="s">
        <v>85</v>
      </c>
      <c r="M525" s="2" t="s">
        <v>80</v>
      </c>
      <c r="N525" s="4" t="n">
        <v>2631.16</v>
      </c>
      <c r="O525" s="2" t="str">
        <f aca="false">IF(COUNTIF($A$2:$A$1201,A525)&gt;1,"DUPLICATE","Unique")</f>
        <v>Unique</v>
      </c>
      <c r="P525" s="2" t="str">
        <f aca="false">IF(L525="","MISSING","OK")</f>
        <v>OK</v>
      </c>
      <c r="Q525" s="2" t="str">
        <f aca="false">IF(ISNUMBER(B525),"OK","BAD DATE")</f>
        <v>OK</v>
      </c>
      <c r="R525" s="2" t="str">
        <f aca="false">IF(ROUND(F525,2)=F525,"OK","FIX")</f>
        <v>OK</v>
      </c>
    </row>
    <row r="526" customFormat="false" ht="15" hidden="false" customHeight="false" outlineLevel="0" collapsed="false">
      <c r="A526" s="2" t="s">
        <v>2008</v>
      </c>
      <c r="B526" s="3" t="n">
        <v>45224</v>
      </c>
      <c r="C526" s="2" t="s">
        <v>2009</v>
      </c>
      <c r="D526" s="2" t="s">
        <v>29</v>
      </c>
      <c r="E526" s="2" t="n">
        <v>1</v>
      </c>
      <c r="F526" s="4" t="n">
        <v>153</v>
      </c>
      <c r="G526" s="2" t="s">
        <v>355</v>
      </c>
      <c r="H526" s="2" t="s">
        <v>38</v>
      </c>
      <c r="I526" s="2" t="s">
        <v>47</v>
      </c>
      <c r="J526" s="2" t="s">
        <v>2010</v>
      </c>
      <c r="K526" s="2" t="n">
        <v>4</v>
      </c>
      <c r="L526" s="2"/>
      <c r="M526" s="2" t="s">
        <v>33</v>
      </c>
      <c r="N526" s="4" t="n">
        <v>153</v>
      </c>
      <c r="O526" s="2" t="str">
        <f aca="false">IF(COUNTIF($A$2:$A$1201,A526)&gt;1,"DUPLICATE","Unique")</f>
        <v>Unique</v>
      </c>
      <c r="P526" s="2" t="str">
        <f aca="false">IF(L526="","MISSING","OK")</f>
        <v>MISSING</v>
      </c>
      <c r="Q526" s="2" t="str">
        <f aca="false">IF(ISNUMBER(B526),"OK","BAD DATE")</f>
        <v>OK</v>
      </c>
      <c r="R526" s="2" t="str">
        <f aca="false">IF(ROUND(F526,2)=F526,"OK","FIX")</f>
        <v>OK</v>
      </c>
    </row>
    <row r="527" customFormat="false" ht="15" hidden="false" customHeight="false" outlineLevel="0" collapsed="false">
      <c r="A527" s="2" t="s">
        <v>2011</v>
      </c>
      <c r="B527" s="3" t="n">
        <v>45263</v>
      </c>
      <c r="C527" s="2" t="s">
        <v>2012</v>
      </c>
      <c r="D527" s="2" t="s">
        <v>20</v>
      </c>
      <c r="E527" s="2" t="n">
        <v>1</v>
      </c>
      <c r="F527" s="4" t="n">
        <v>668.48</v>
      </c>
      <c r="G527" s="2" t="s">
        <v>1747</v>
      </c>
      <c r="H527" s="2" t="s">
        <v>22</v>
      </c>
      <c r="I527" s="2" t="s">
        <v>23</v>
      </c>
      <c r="J527" s="2" t="s">
        <v>2013</v>
      </c>
      <c r="K527" s="2" t="n">
        <v>1</v>
      </c>
      <c r="L527" s="2" t="s">
        <v>25</v>
      </c>
      <c r="M527" s="2" t="s">
        <v>42</v>
      </c>
      <c r="N527" s="4" t="n">
        <v>668.48</v>
      </c>
      <c r="O527" s="2" t="str">
        <f aca="false">IF(COUNTIF($A$2:$A$1201,A527)&gt;1,"DUPLICATE","Unique")</f>
        <v>Unique</v>
      </c>
      <c r="P527" s="2" t="str">
        <f aca="false">IF(L527="","MISSING","OK")</f>
        <v>OK</v>
      </c>
      <c r="Q527" s="2" t="str">
        <f aca="false">IF(ISNUMBER(B527),"OK","BAD DATE")</f>
        <v>OK</v>
      </c>
      <c r="R527" s="2" t="str">
        <f aca="false">IF(ROUND(F527,2)=F527,"OK","FIX")</f>
        <v>OK</v>
      </c>
    </row>
    <row r="528" customFormat="false" ht="15" hidden="false" customHeight="false" outlineLevel="0" collapsed="false">
      <c r="A528" s="2" t="s">
        <v>2014</v>
      </c>
      <c r="B528" s="3" t="n">
        <v>45351</v>
      </c>
      <c r="C528" s="2" t="s">
        <v>2015</v>
      </c>
      <c r="D528" s="2" t="s">
        <v>77</v>
      </c>
      <c r="E528" s="2" t="n">
        <v>2</v>
      </c>
      <c r="F528" s="4" t="n">
        <v>46.5</v>
      </c>
      <c r="G528" s="2" t="s">
        <v>411</v>
      </c>
      <c r="H528" s="2" t="s">
        <v>69</v>
      </c>
      <c r="I528" s="2" t="s">
        <v>47</v>
      </c>
      <c r="J528" s="2" t="s">
        <v>2016</v>
      </c>
      <c r="K528" s="2" t="n">
        <v>7</v>
      </c>
      <c r="L528" s="2" t="s">
        <v>85</v>
      </c>
      <c r="M528" s="2" t="s">
        <v>80</v>
      </c>
      <c r="N528" s="4" t="n">
        <v>93</v>
      </c>
      <c r="O528" s="2" t="str">
        <f aca="false">IF(COUNTIF($A$2:$A$1201,A528)&gt;1,"DUPLICATE","Unique")</f>
        <v>Unique</v>
      </c>
      <c r="P528" s="2" t="str">
        <f aca="false">IF(L528="","MISSING","OK")</f>
        <v>OK</v>
      </c>
      <c r="Q528" s="2" t="str">
        <f aca="false">IF(ISNUMBER(B528),"OK","BAD DATE")</f>
        <v>OK</v>
      </c>
      <c r="R528" s="2" t="str">
        <f aca="false">IF(ROUND(F528,2)=F528,"OK","FIX")</f>
        <v>OK</v>
      </c>
    </row>
    <row r="529" customFormat="false" ht="15" hidden="false" customHeight="false" outlineLevel="0" collapsed="false">
      <c r="A529" s="2" t="s">
        <v>2017</v>
      </c>
      <c r="B529" s="3" t="n">
        <v>45523</v>
      </c>
      <c r="C529" s="2" t="s">
        <v>2018</v>
      </c>
      <c r="D529" s="2" t="s">
        <v>45</v>
      </c>
      <c r="E529" s="2" t="n">
        <v>5</v>
      </c>
      <c r="F529" s="4" t="n">
        <v>653.47</v>
      </c>
      <c r="G529" s="2" t="s">
        <v>375</v>
      </c>
      <c r="H529" s="2" t="s">
        <v>38</v>
      </c>
      <c r="I529" s="2" t="s">
        <v>39</v>
      </c>
      <c r="J529" s="2" t="s">
        <v>2019</v>
      </c>
      <c r="K529" s="2" t="n">
        <v>10</v>
      </c>
      <c r="L529" s="2" t="s">
        <v>25</v>
      </c>
      <c r="M529" s="2" t="s">
        <v>33</v>
      </c>
      <c r="N529" s="4" t="n">
        <v>3267.35</v>
      </c>
      <c r="O529" s="2" t="str">
        <f aca="false">IF(COUNTIF($A$2:$A$1201,A529)&gt;1,"DUPLICATE","Unique")</f>
        <v>Unique</v>
      </c>
      <c r="P529" s="2" t="str">
        <f aca="false">IF(L529="","MISSING","OK")</f>
        <v>OK</v>
      </c>
      <c r="Q529" s="2" t="str">
        <f aca="false">IF(ISNUMBER(B529),"OK","BAD DATE")</f>
        <v>OK</v>
      </c>
      <c r="R529" s="2" t="str">
        <f aca="false">IF(ROUND(F529,2)=F529,"OK","FIX")</f>
        <v>OK</v>
      </c>
    </row>
    <row r="530" customFormat="false" ht="15" hidden="false" customHeight="false" outlineLevel="0" collapsed="false">
      <c r="A530" s="2" t="s">
        <v>2020</v>
      </c>
      <c r="B530" s="3" t="n">
        <v>45714</v>
      </c>
      <c r="C530" s="2" t="s">
        <v>2021</v>
      </c>
      <c r="D530" s="2" t="s">
        <v>45</v>
      </c>
      <c r="E530" s="2" t="n">
        <v>1</v>
      </c>
      <c r="F530" s="4" t="n">
        <v>628.89</v>
      </c>
      <c r="G530" s="2" t="s">
        <v>1762</v>
      </c>
      <c r="H530" s="2" t="s">
        <v>38</v>
      </c>
      <c r="I530" s="2" t="s">
        <v>47</v>
      </c>
      <c r="J530" s="2" t="s">
        <v>2022</v>
      </c>
      <c r="K530" s="2" t="n">
        <v>2</v>
      </c>
      <c r="L530" s="2" t="s">
        <v>25</v>
      </c>
      <c r="M530" s="2" t="s">
        <v>33</v>
      </c>
      <c r="N530" s="4" t="n">
        <v>628.89</v>
      </c>
      <c r="O530" s="2" t="str">
        <f aca="false">IF(COUNTIF($A$2:$A$1201,A530)&gt;1,"DUPLICATE","Unique")</f>
        <v>Unique</v>
      </c>
      <c r="P530" s="2" t="str">
        <f aca="false">IF(L530="","MISSING","OK")</f>
        <v>OK</v>
      </c>
      <c r="Q530" s="2" t="str">
        <f aca="false">IF(ISNUMBER(B530),"OK","BAD DATE")</f>
        <v>OK</v>
      </c>
      <c r="R530" s="2" t="str">
        <f aca="false">IF(ROUND(F530,2)=F530,"OK","FIX")</f>
        <v>OK</v>
      </c>
    </row>
    <row r="531" customFormat="false" ht="15" hidden="false" customHeight="false" outlineLevel="0" collapsed="false">
      <c r="A531" s="2" t="s">
        <v>2023</v>
      </c>
      <c r="B531" s="3" t="n">
        <v>45389</v>
      </c>
      <c r="C531" s="2" t="s">
        <v>2024</v>
      </c>
      <c r="D531" s="2" t="s">
        <v>36</v>
      </c>
      <c r="E531" s="2" t="n">
        <v>2</v>
      </c>
      <c r="F531" s="4" t="n">
        <v>675.1</v>
      </c>
      <c r="G531" s="2" t="s">
        <v>2025</v>
      </c>
      <c r="H531" s="2" t="s">
        <v>69</v>
      </c>
      <c r="I531" s="2" t="s">
        <v>93</v>
      </c>
      <c r="J531" s="2" t="s">
        <v>2026</v>
      </c>
      <c r="K531" s="2" t="n">
        <v>4</v>
      </c>
      <c r="L531" s="2" t="s">
        <v>41</v>
      </c>
      <c r="M531" s="2" t="s">
        <v>80</v>
      </c>
      <c r="N531" s="4" t="n">
        <v>1350.2</v>
      </c>
      <c r="O531" s="2" t="str">
        <f aca="false">IF(COUNTIF($A$2:$A$1201,A531)&gt;1,"DUPLICATE","Unique")</f>
        <v>Unique</v>
      </c>
      <c r="P531" s="2" t="str">
        <f aca="false">IF(L531="","MISSING","OK")</f>
        <v>OK</v>
      </c>
      <c r="Q531" s="2" t="str">
        <f aca="false">IF(ISNUMBER(B531),"OK","BAD DATE")</f>
        <v>OK</v>
      </c>
      <c r="R531" s="2" t="str">
        <f aca="false">IF(ROUND(F531,2)=F531,"OK","FIX")</f>
        <v>OK</v>
      </c>
    </row>
    <row r="532" customFormat="false" ht="15" hidden="false" customHeight="false" outlineLevel="0" collapsed="false">
      <c r="A532" s="2" t="s">
        <v>2027</v>
      </c>
      <c r="B532" s="3" t="n">
        <v>45491</v>
      </c>
      <c r="C532" s="2" t="s">
        <v>2028</v>
      </c>
      <c r="D532" s="2" t="s">
        <v>45</v>
      </c>
      <c r="E532" s="2" t="n">
        <v>4</v>
      </c>
      <c r="F532" s="4" t="n">
        <v>89.41</v>
      </c>
      <c r="G532" s="2" t="s">
        <v>2029</v>
      </c>
      <c r="H532" s="2" t="s">
        <v>31</v>
      </c>
      <c r="I532" s="2" t="s">
        <v>93</v>
      </c>
      <c r="J532" s="2" t="s">
        <v>2030</v>
      </c>
      <c r="K532" s="2" t="n">
        <v>9</v>
      </c>
      <c r="L532" s="2"/>
      <c r="M532" s="2" t="s">
        <v>80</v>
      </c>
      <c r="N532" s="4" t="n">
        <v>357.64</v>
      </c>
      <c r="O532" s="2" t="str">
        <f aca="false">IF(COUNTIF($A$2:$A$1201,A532)&gt;1,"DUPLICATE","Unique")</f>
        <v>Unique</v>
      </c>
      <c r="P532" s="2" t="str">
        <f aca="false">IF(L532="","MISSING","OK")</f>
        <v>MISSING</v>
      </c>
      <c r="Q532" s="2" t="str">
        <f aca="false">IF(ISNUMBER(B532),"OK","BAD DATE")</f>
        <v>OK</v>
      </c>
      <c r="R532" s="2" t="str">
        <f aca="false">IF(ROUND(F532,2)=F532,"OK","FIX")</f>
        <v>OK</v>
      </c>
    </row>
    <row r="533" customFormat="false" ht="15" hidden="false" customHeight="false" outlineLevel="0" collapsed="false">
      <c r="A533" s="2" t="s">
        <v>2031</v>
      </c>
      <c r="B533" s="3" t="n">
        <v>45475</v>
      </c>
      <c r="C533" s="2" t="s">
        <v>2032</v>
      </c>
      <c r="D533" s="2" t="s">
        <v>77</v>
      </c>
      <c r="E533" s="2" t="n">
        <v>5</v>
      </c>
      <c r="F533" s="4" t="n">
        <v>320.01</v>
      </c>
      <c r="G533" s="2" t="s">
        <v>2033</v>
      </c>
      <c r="H533" s="2" t="s">
        <v>64</v>
      </c>
      <c r="I533" s="2" t="s">
        <v>54</v>
      </c>
      <c r="J533" s="2" t="s">
        <v>2034</v>
      </c>
      <c r="K533" s="2" t="n">
        <v>6</v>
      </c>
      <c r="L533" s="2"/>
      <c r="M533" s="2" t="s">
        <v>33</v>
      </c>
      <c r="N533" s="4" t="n">
        <v>1600.05</v>
      </c>
      <c r="O533" s="2" t="str">
        <f aca="false">IF(COUNTIF($A$2:$A$1201,A533)&gt;1,"DUPLICATE","Unique")</f>
        <v>Unique</v>
      </c>
      <c r="P533" s="2" t="str">
        <f aca="false">IF(L533="","MISSING","OK")</f>
        <v>MISSING</v>
      </c>
      <c r="Q533" s="2" t="str">
        <f aca="false">IF(ISNUMBER(B533),"OK","BAD DATE")</f>
        <v>OK</v>
      </c>
      <c r="R533" s="2" t="str">
        <f aca="false">IF(ROUND(F533,2)=F533,"OK","FIX")</f>
        <v>OK</v>
      </c>
    </row>
    <row r="534" customFormat="false" ht="15" hidden="false" customHeight="false" outlineLevel="0" collapsed="false">
      <c r="A534" s="2" t="s">
        <v>2035</v>
      </c>
      <c r="B534" s="3" t="n">
        <v>45780</v>
      </c>
      <c r="C534" s="2" t="s">
        <v>2036</v>
      </c>
      <c r="D534" s="2" t="s">
        <v>62</v>
      </c>
      <c r="E534" s="2" t="n">
        <v>2</v>
      </c>
      <c r="F534" s="4" t="n">
        <v>41</v>
      </c>
      <c r="G534" s="2" t="s">
        <v>2037</v>
      </c>
      <c r="H534" s="2" t="s">
        <v>31</v>
      </c>
      <c r="I534" s="2" t="s">
        <v>54</v>
      </c>
      <c r="J534" s="2" t="s">
        <v>2038</v>
      </c>
      <c r="K534" s="2" t="n">
        <v>7</v>
      </c>
      <c r="L534" s="2"/>
      <c r="M534" s="2" t="s">
        <v>42</v>
      </c>
      <c r="N534" s="4" t="n">
        <v>82</v>
      </c>
      <c r="O534" s="2" t="str">
        <f aca="false">IF(COUNTIF($A$2:$A$1201,A534)&gt;1,"DUPLICATE","Unique")</f>
        <v>Unique</v>
      </c>
      <c r="P534" s="2" t="str">
        <f aca="false">IF(L534="","MISSING","OK")</f>
        <v>MISSING</v>
      </c>
      <c r="Q534" s="2" t="str">
        <f aca="false">IF(ISNUMBER(B534),"OK","BAD DATE")</f>
        <v>OK</v>
      </c>
      <c r="R534" s="2" t="str">
        <f aca="false">IF(ROUND(F534,2)=F534,"OK","FIX")</f>
        <v>OK</v>
      </c>
    </row>
    <row r="535" customFormat="false" ht="15" hidden="false" customHeight="false" outlineLevel="0" collapsed="false">
      <c r="A535" s="2" t="s">
        <v>2039</v>
      </c>
      <c r="B535" s="3" t="n">
        <v>44990</v>
      </c>
      <c r="C535" s="2" t="s">
        <v>2040</v>
      </c>
      <c r="D535" s="2" t="s">
        <v>77</v>
      </c>
      <c r="E535" s="2" t="n">
        <v>1</v>
      </c>
      <c r="F535" s="4" t="n">
        <v>565.85</v>
      </c>
      <c r="G535" s="2" t="s">
        <v>305</v>
      </c>
      <c r="H535" s="2" t="s">
        <v>64</v>
      </c>
      <c r="I535" s="2" t="s">
        <v>47</v>
      </c>
      <c r="J535" s="2" t="s">
        <v>2041</v>
      </c>
      <c r="K535" s="2" t="n">
        <v>1</v>
      </c>
      <c r="L535" s="2" t="s">
        <v>41</v>
      </c>
      <c r="M535" s="2" t="s">
        <v>49</v>
      </c>
      <c r="N535" s="4" t="n">
        <v>565.85</v>
      </c>
      <c r="O535" s="2" t="str">
        <f aca="false">IF(COUNTIF($A$2:$A$1201,A535)&gt;1,"DUPLICATE","Unique")</f>
        <v>Unique</v>
      </c>
      <c r="P535" s="2" t="str">
        <f aca="false">IF(L535="","MISSING","OK")</f>
        <v>OK</v>
      </c>
      <c r="Q535" s="2" t="str">
        <f aca="false">IF(ISNUMBER(B535),"OK","BAD DATE")</f>
        <v>OK</v>
      </c>
      <c r="R535" s="2" t="str">
        <f aca="false">IF(ROUND(F535,2)=F535,"OK","FIX")</f>
        <v>OK</v>
      </c>
    </row>
    <row r="536" customFormat="false" ht="15" hidden="false" customHeight="false" outlineLevel="0" collapsed="false">
      <c r="A536" s="2" t="s">
        <v>2042</v>
      </c>
      <c r="B536" s="3" t="n">
        <v>45449</v>
      </c>
      <c r="C536" s="2" t="s">
        <v>2043</v>
      </c>
      <c r="D536" s="2" t="s">
        <v>45</v>
      </c>
      <c r="E536" s="2" t="n">
        <v>3</v>
      </c>
      <c r="F536" s="4" t="n">
        <v>648.59</v>
      </c>
      <c r="G536" s="2" t="s">
        <v>2044</v>
      </c>
      <c r="H536" s="2" t="s">
        <v>22</v>
      </c>
      <c r="I536" s="2" t="s">
        <v>39</v>
      </c>
      <c r="J536" s="2" t="s">
        <v>2045</v>
      </c>
      <c r="K536" s="2" t="n">
        <v>4</v>
      </c>
      <c r="L536" s="2" t="s">
        <v>25</v>
      </c>
      <c r="M536" s="2" t="s">
        <v>42</v>
      </c>
      <c r="N536" s="4" t="n">
        <v>1945.77</v>
      </c>
      <c r="O536" s="2" t="str">
        <f aca="false">IF(COUNTIF($A$2:$A$1201,A536)&gt;1,"DUPLICATE","Unique")</f>
        <v>Unique</v>
      </c>
      <c r="P536" s="2" t="str">
        <f aca="false">IF(L536="","MISSING","OK")</f>
        <v>OK</v>
      </c>
      <c r="Q536" s="2" t="str">
        <f aca="false">IF(ISNUMBER(B536),"OK","BAD DATE")</f>
        <v>OK</v>
      </c>
      <c r="R536" s="2" t="str">
        <f aca="false">IF(ROUND(F536,2)=F536,"OK","FIX")</f>
        <v>OK</v>
      </c>
    </row>
    <row r="537" customFormat="false" ht="15" hidden="false" customHeight="false" outlineLevel="0" collapsed="false">
      <c r="A537" s="2" t="s">
        <v>2046</v>
      </c>
      <c r="B537" s="3" t="n">
        <v>45497</v>
      </c>
      <c r="C537" s="2" t="s">
        <v>2047</v>
      </c>
      <c r="D537" s="2" t="s">
        <v>20</v>
      </c>
      <c r="E537" s="2" t="n">
        <v>3</v>
      </c>
      <c r="F537" s="4" t="n">
        <v>68.12</v>
      </c>
      <c r="G537" s="2" t="s">
        <v>727</v>
      </c>
      <c r="H537" s="2" t="s">
        <v>31</v>
      </c>
      <c r="I537" s="2" t="s">
        <v>39</v>
      </c>
      <c r="J537" s="2" t="s">
        <v>2048</v>
      </c>
      <c r="K537" s="2" t="n">
        <v>3</v>
      </c>
      <c r="L537" s="2" t="s">
        <v>41</v>
      </c>
      <c r="M537" s="2" t="s">
        <v>42</v>
      </c>
      <c r="N537" s="4" t="n">
        <v>204.36</v>
      </c>
      <c r="O537" s="2" t="str">
        <f aca="false">IF(COUNTIF($A$2:$A$1201,A537)&gt;1,"DUPLICATE","Unique")</f>
        <v>Unique</v>
      </c>
      <c r="P537" s="2" t="str">
        <f aca="false">IF(L537="","MISSING","OK")</f>
        <v>OK</v>
      </c>
      <c r="Q537" s="2" t="str">
        <f aca="false">IF(ISNUMBER(B537),"OK","BAD DATE")</f>
        <v>OK</v>
      </c>
      <c r="R537" s="2" t="str">
        <f aca="false">IF(ROUND(F537,2)=F537,"OK","FIX")</f>
        <v>OK</v>
      </c>
    </row>
    <row r="538" customFormat="false" ht="15" hidden="false" customHeight="false" outlineLevel="0" collapsed="false">
      <c r="A538" s="2" t="s">
        <v>2049</v>
      </c>
      <c r="B538" s="3" t="n">
        <v>45452</v>
      </c>
      <c r="C538" s="2" t="s">
        <v>2050</v>
      </c>
      <c r="D538" s="2" t="s">
        <v>45</v>
      </c>
      <c r="E538" s="2" t="n">
        <v>1</v>
      </c>
      <c r="F538" s="4" t="n">
        <v>616.1</v>
      </c>
      <c r="G538" s="2" t="s">
        <v>2051</v>
      </c>
      <c r="H538" s="2" t="s">
        <v>69</v>
      </c>
      <c r="I538" s="2" t="s">
        <v>47</v>
      </c>
      <c r="J538" s="2" t="s">
        <v>2052</v>
      </c>
      <c r="K538" s="2" t="n">
        <v>6</v>
      </c>
      <c r="L538" s="2"/>
      <c r="M538" s="2" t="s">
        <v>42</v>
      </c>
      <c r="N538" s="4" t="n">
        <v>616.1</v>
      </c>
      <c r="O538" s="2" t="str">
        <f aca="false">IF(COUNTIF($A$2:$A$1201,A538)&gt;1,"DUPLICATE","Unique")</f>
        <v>Unique</v>
      </c>
      <c r="P538" s="2" t="str">
        <f aca="false">IF(L538="","MISSING","OK")</f>
        <v>MISSING</v>
      </c>
      <c r="Q538" s="2" t="str">
        <f aca="false">IF(ISNUMBER(B538),"OK","BAD DATE")</f>
        <v>OK</v>
      </c>
      <c r="R538" s="2" t="str">
        <f aca="false">IF(ROUND(F538,2)=F538,"OK","FIX")</f>
        <v>OK</v>
      </c>
    </row>
    <row r="539" customFormat="false" ht="15" hidden="false" customHeight="false" outlineLevel="0" collapsed="false">
      <c r="A539" s="2" t="s">
        <v>2053</v>
      </c>
      <c r="B539" s="3" t="n">
        <v>45739</v>
      </c>
      <c r="C539" s="2" t="s">
        <v>2054</v>
      </c>
      <c r="D539" s="2" t="s">
        <v>36</v>
      </c>
      <c r="E539" s="2" t="n">
        <v>3</v>
      </c>
      <c r="F539" s="4" t="n">
        <v>247.47</v>
      </c>
      <c r="G539" s="2" t="s">
        <v>301</v>
      </c>
      <c r="H539" s="2" t="s">
        <v>31</v>
      </c>
      <c r="I539" s="2" t="s">
        <v>54</v>
      </c>
      <c r="J539" s="2" t="s">
        <v>2055</v>
      </c>
      <c r="K539" s="2" t="n">
        <v>4</v>
      </c>
      <c r="L539" s="2" t="s">
        <v>25</v>
      </c>
      <c r="M539" s="2" t="s">
        <v>49</v>
      </c>
      <c r="N539" s="4" t="n">
        <v>742.41</v>
      </c>
      <c r="O539" s="2" t="str">
        <f aca="false">IF(COUNTIF($A$2:$A$1201,A539)&gt;1,"DUPLICATE","Unique")</f>
        <v>Unique</v>
      </c>
      <c r="P539" s="2" t="str">
        <f aca="false">IF(L539="","MISSING","OK")</f>
        <v>OK</v>
      </c>
      <c r="Q539" s="2" t="str">
        <f aca="false">IF(ISNUMBER(B539),"OK","BAD DATE")</f>
        <v>OK</v>
      </c>
      <c r="R539" s="2" t="str">
        <f aca="false">IF(ROUND(F539,2)=F539,"OK","FIX")</f>
        <v>OK</v>
      </c>
    </row>
    <row r="540" customFormat="false" ht="15" hidden="false" customHeight="false" outlineLevel="0" collapsed="false">
      <c r="A540" s="2" t="s">
        <v>2056</v>
      </c>
      <c r="B540" s="3" t="n">
        <v>45436</v>
      </c>
      <c r="C540" s="2" t="s">
        <v>2057</v>
      </c>
      <c r="D540" s="2" t="s">
        <v>29</v>
      </c>
      <c r="E540" s="2" t="n">
        <v>3</v>
      </c>
      <c r="F540" s="4" t="n">
        <v>490.74</v>
      </c>
      <c r="G540" s="2" t="s">
        <v>2058</v>
      </c>
      <c r="H540" s="2" t="s">
        <v>69</v>
      </c>
      <c r="I540" s="2" t="s">
        <v>23</v>
      </c>
      <c r="J540" s="2" t="s">
        <v>2059</v>
      </c>
      <c r="K540" s="2" t="n">
        <v>3</v>
      </c>
      <c r="L540" s="2" t="s">
        <v>85</v>
      </c>
      <c r="M540" s="2" t="s">
        <v>42</v>
      </c>
      <c r="N540" s="4" t="n">
        <v>1472.22</v>
      </c>
      <c r="O540" s="2" t="str">
        <f aca="false">IF(COUNTIF($A$2:$A$1201,A540)&gt;1,"DUPLICATE","Unique")</f>
        <v>Unique</v>
      </c>
      <c r="P540" s="2" t="str">
        <f aca="false">IF(L540="","MISSING","OK")</f>
        <v>OK</v>
      </c>
      <c r="Q540" s="2" t="str">
        <f aca="false">IF(ISNUMBER(B540),"OK","BAD DATE")</f>
        <v>OK</v>
      </c>
      <c r="R540" s="2" t="str">
        <f aca="false">IF(ROUND(F540,2)=F540,"OK","FIX")</f>
        <v>OK</v>
      </c>
    </row>
    <row r="541" customFormat="false" ht="15" hidden="false" customHeight="false" outlineLevel="0" collapsed="false">
      <c r="A541" s="2" t="s">
        <v>2060</v>
      </c>
      <c r="B541" s="3" t="n">
        <v>45706</v>
      </c>
      <c r="C541" s="2" t="s">
        <v>2061</v>
      </c>
      <c r="D541" s="2" t="s">
        <v>77</v>
      </c>
      <c r="E541" s="2" t="n">
        <v>3</v>
      </c>
      <c r="F541" s="4" t="n">
        <v>531.72</v>
      </c>
      <c r="G541" s="2" t="s">
        <v>2062</v>
      </c>
      <c r="H541" s="2" t="s">
        <v>64</v>
      </c>
      <c r="I541" s="2" t="s">
        <v>54</v>
      </c>
      <c r="J541" s="2" t="s">
        <v>2063</v>
      </c>
      <c r="K541" s="2" t="n">
        <v>7</v>
      </c>
      <c r="L541" s="2" t="s">
        <v>25</v>
      </c>
      <c r="M541" s="2" t="s">
        <v>80</v>
      </c>
      <c r="N541" s="4" t="n">
        <v>1595.16</v>
      </c>
      <c r="O541" s="2" t="str">
        <f aca="false">IF(COUNTIF($A$2:$A$1201,A541)&gt;1,"DUPLICATE","Unique")</f>
        <v>Unique</v>
      </c>
      <c r="P541" s="2" t="str">
        <f aca="false">IF(L541="","MISSING","OK")</f>
        <v>OK</v>
      </c>
      <c r="Q541" s="2" t="str">
        <f aca="false">IF(ISNUMBER(B541),"OK","BAD DATE")</f>
        <v>OK</v>
      </c>
      <c r="R541" s="2" t="str">
        <f aca="false">IF(ROUND(F541,2)=F541,"OK","FIX")</f>
        <v>OK</v>
      </c>
    </row>
    <row r="542" customFormat="false" ht="15" hidden="false" customHeight="false" outlineLevel="0" collapsed="false">
      <c r="A542" s="2" t="s">
        <v>2064</v>
      </c>
      <c r="B542" s="3" t="n">
        <v>45320</v>
      </c>
      <c r="C542" s="2" t="s">
        <v>2065</v>
      </c>
      <c r="D542" s="2" t="s">
        <v>62</v>
      </c>
      <c r="E542" s="2" t="n">
        <v>5</v>
      </c>
      <c r="F542" s="4" t="n">
        <v>648.65</v>
      </c>
      <c r="G542" s="2" t="s">
        <v>2066</v>
      </c>
      <c r="H542" s="2" t="s">
        <v>31</v>
      </c>
      <c r="I542" s="2" t="s">
        <v>93</v>
      </c>
      <c r="J542" s="2" t="s">
        <v>2067</v>
      </c>
      <c r="K542" s="2" t="n">
        <v>7</v>
      </c>
      <c r="L542" s="2"/>
      <c r="M542" s="2" t="s">
        <v>33</v>
      </c>
      <c r="N542" s="4" t="n">
        <v>3243.25</v>
      </c>
      <c r="O542" s="2" t="str">
        <f aca="false">IF(COUNTIF($A$2:$A$1201,A542)&gt;1,"DUPLICATE","Unique")</f>
        <v>Unique</v>
      </c>
      <c r="P542" s="2" t="str">
        <f aca="false">IF(L542="","MISSING","OK")</f>
        <v>MISSING</v>
      </c>
      <c r="Q542" s="2" t="str">
        <f aca="false">IF(ISNUMBER(B542),"OK","BAD DATE")</f>
        <v>OK</v>
      </c>
      <c r="R542" s="2" t="str">
        <f aca="false">IF(ROUND(F542,2)=F542,"OK","FIX")</f>
        <v>OK</v>
      </c>
    </row>
    <row r="543" customFormat="false" ht="15" hidden="false" customHeight="false" outlineLevel="0" collapsed="false">
      <c r="A543" s="2" t="s">
        <v>2068</v>
      </c>
      <c r="B543" s="3" t="n">
        <v>45145</v>
      </c>
      <c r="C543" s="2" t="s">
        <v>2069</v>
      </c>
      <c r="D543" s="2" t="s">
        <v>52</v>
      </c>
      <c r="E543" s="2" t="n">
        <v>5</v>
      </c>
      <c r="F543" s="4" t="n">
        <v>456.06</v>
      </c>
      <c r="G543" s="2" t="s">
        <v>2070</v>
      </c>
      <c r="H543" s="2" t="s">
        <v>69</v>
      </c>
      <c r="I543" s="2" t="s">
        <v>93</v>
      </c>
      <c r="J543" s="2" t="s">
        <v>2071</v>
      </c>
      <c r="K543" s="2" t="n">
        <v>10</v>
      </c>
      <c r="L543" s="2"/>
      <c r="M543" s="2" t="s">
        <v>26</v>
      </c>
      <c r="N543" s="4" t="n">
        <v>2280.3</v>
      </c>
      <c r="O543" s="2" t="str">
        <f aca="false">IF(COUNTIF($A$2:$A$1201,A543)&gt;1,"DUPLICATE","Unique")</f>
        <v>Unique</v>
      </c>
      <c r="P543" s="2" t="str">
        <f aca="false">IF(L543="","MISSING","OK")</f>
        <v>MISSING</v>
      </c>
      <c r="Q543" s="2" t="str">
        <f aca="false">IF(ISNUMBER(B543),"OK","BAD DATE")</f>
        <v>OK</v>
      </c>
      <c r="R543" s="2" t="str">
        <f aca="false">IF(ROUND(F543,2)=F543,"OK","FIX")</f>
        <v>OK</v>
      </c>
    </row>
    <row r="544" customFormat="false" ht="15" hidden="false" customHeight="false" outlineLevel="0" collapsed="false">
      <c r="A544" s="2" t="s">
        <v>2072</v>
      </c>
      <c r="B544" s="3" t="n">
        <v>45244</v>
      </c>
      <c r="C544" s="2" t="s">
        <v>2073</v>
      </c>
      <c r="D544" s="2" t="s">
        <v>36</v>
      </c>
      <c r="E544" s="2" t="n">
        <v>1</v>
      </c>
      <c r="F544" s="4" t="n">
        <v>17.98</v>
      </c>
      <c r="G544" s="2" t="s">
        <v>58</v>
      </c>
      <c r="H544" s="2" t="s">
        <v>69</v>
      </c>
      <c r="I544" s="2" t="s">
        <v>39</v>
      </c>
      <c r="J544" s="2" t="s">
        <v>2074</v>
      </c>
      <c r="K544" s="2" t="n">
        <v>6</v>
      </c>
      <c r="L544" s="2" t="s">
        <v>41</v>
      </c>
      <c r="M544" s="2" t="s">
        <v>42</v>
      </c>
      <c r="N544" s="4" t="n">
        <v>17.98</v>
      </c>
      <c r="O544" s="2" t="str">
        <f aca="false">IF(COUNTIF($A$2:$A$1201,A544)&gt;1,"DUPLICATE","Unique")</f>
        <v>Unique</v>
      </c>
      <c r="P544" s="2" t="str">
        <f aca="false">IF(L544="","MISSING","OK")</f>
        <v>OK</v>
      </c>
      <c r="Q544" s="2" t="str">
        <f aca="false">IF(ISNUMBER(B544),"OK","BAD DATE")</f>
        <v>OK</v>
      </c>
      <c r="R544" s="2" t="str">
        <f aca="false">IF(ROUND(F544,2)=F544,"OK","FIX")</f>
        <v>OK</v>
      </c>
    </row>
    <row r="545" customFormat="false" ht="15" hidden="false" customHeight="false" outlineLevel="0" collapsed="false">
      <c r="A545" s="2" t="s">
        <v>2075</v>
      </c>
      <c r="B545" s="3" t="n">
        <v>45360</v>
      </c>
      <c r="C545" s="2" t="s">
        <v>2076</v>
      </c>
      <c r="D545" s="2" t="s">
        <v>77</v>
      </c>
      <c r="E545" s="2" t="n">
        <v>5</v>
      </c>
      <c r="F545" s="4" t="n">
        <v>269.86</v>
      </c>
      <c r="G545" s="2" t="s">
        <v>735</v>
      </c>
      <c r="H545" s="2" t="s">
        <v>69</v>
      </c>
      <c r="I545" s="2" t="s">
        <v>23</v>
      </c>
      <c r="J545" s="2" t="s">
        <v>2077</v>
      </c>
      <c r="K545" s="2" t="n">
        <v>6</v>
      </c>
      <c r="L545" s="2" t="s">
        <v>85</v>
      </c>
      <c r="M545" s="2" t="s">
        <v>49</v>
      </c>
      <c r="N545" s="4" t="n">
        <v>1349.3</v>
      </c>
      <c r="O545" s="2" t="str">
        <f aca="false">IF(COUNTIF($A$2:$A$1201,A545)&gt;1,"DUPLICATE","Unique")</f>
        <v>Unique</v>
      </c>
      <c r="P545" s="2" t="str">
        <f aca="false">IF(L545="","MISSING","OK")</f>
        <v>OK</v>
      </c>
      <c r="Q545" s="2" t="str">
        <f aca="false">IF(ISNUMBER(B545),"OK","BAD DATE")</f>
        <v>OK</v>
      </c>
      <c r="R545" s="2" t="str">
        <f aca="false">IF(ROUND(F545,2)=F545,"OK","FIX")</f>
        <v>OK</v>
      </c>
    </row>
    <row r="546" customFormat="false" ht="15" hidden="false" customHeight="false" outlineLevel="0" collapsed="false">
      <c r="A546" s="2" t="s">
        <v>2078</v>
      </c>
      <c r="B546" s="3" t="n">
        <v>45361</v>
      </c>
      <c r="C546" s="2" t="s">
        <v>2079</v>
      </c>
      <c r="D546" s="2" t="s">
        <v>52</v>
      </c>
      <c r="E546" s="2" t="n">
        <v>5</v>
      </c>
      <c r="F546" s="4" t="n">
        <v>31.96</v>
      </c>
      <c r="G546" s="2" t="s">
        <v>1519</v>
      </c>
      <c r="H546" s="2" t="s">
        <v>38</v>
      </c>
      <c r="I546" s="2" t="s">
        <v>47</v>
      </c>
      <c r="J546" s="2" t="s">
        <v>2080</v>
      </c>
      <c r="K546" s="2" t="n">
        <v>5</v>
      </c>
      <c r="L546" s="2" t="s">
        <v>41</v>
      </c>
      <c r="M546" s="2" t="s">
        <v>33</v>
      </c>
      <c r="N546" s="4" t="n">
        <v>159.8</v>
      </c>
      <c r="O546" s="2" t="str">
        <f aca="false">IF(COUNTIF($A$2:$A$1201,A546)&gt;1,"DUPLICATE","Unique")</f>
        <v>Unique</v>
      </c>
      <c r="P546" s="2" t="str">
        <f aca="false">IF(L546="","MISSING","OK")</f>
        <v>OK</v>
      </c>
      <c r="Q546" s="2" t="str">
        <f aca="false">IF(ISNUMBER(B546),"OK","BAD DATE")</f>
        <v>OK</v>
      </c>
      <c r="R546" s="2" t="str">
        <f aca="false">IF(ROUND(F546,2)=F546,"OK","FIX")</f>
        <v>OK</v>
      </c>
    </row>
    <row r="547" customFormat="false" ht="15" hidden="false" customHeight="false" outlineLevel="0" collapsed="false">
      <c r="A547" s="2" t="s">
        <v>2081</v>
      </c>
      <c r="B547" s="3" t="n">
        <v>45279</v>
      </c>
      <c r="C547" s="2" t="s">
        <v>2082</v>
      </c>
      <c r="D547" s="2" t="s">
        <v>20</v>
      </c>
      <c r="E547" s="2" t="n">
        <v>2</v>
      </c>
      <c r="F547" s="4" t="n">
        <v>98.47</v>
      </c>
      <c r="G547" s="2" t="s">
        <v>2083</v>
      </c>
      <c r="H547" s="2" t="s">
        <v>69</v>
      </c>
      <c r="I547" s="2" t="s">
        <v>47</v>
      </c>
      <c r="J547" s="2" t="s">
        <v>2084</v>
      </c>
      <c r="K547" s="2" t="n">
        <v>3</v>
      </c>
      <c r="L547" s="2"/>
      <c r="M547" s="2" t="s">
        <v>26</v>
      </c>
      <c r="N547" s="4" t="n">
        <v>196.94</v>
      </c>
      <c r="O547" s="2" t="str">
        <f aca="false">IF(COUNTIF($A$2:$A$1201,A547)&gt;1,"DUPLICATE","Unique")</f>
        <v>Unique</v>
      </c>
      <c r="P547" s="2" t="str">
        <f aca="false">IF(L547="","MISSING","OK")</f>
        <v>MISSING</v>
      </c>
      <c r="Q547" s="2" t="str">
        <f aca="false">IF(ISNUMBER(B547),"OK","BAD DATE")</f>
        <v>OK</v>
      </c>
      <c r="R547" s="2" t="str">
        <f aca="false">IF(ROUND(F547,2)=F547,"OK","FIX")</f>
        <v>OK</v>
      </c>
    </row>
    <row r="548" customFormat="false" ht="15" hidden="false" customHeight="false" outlineLevel="0" collapsed="false">
      <c r="A548" s="2" t="s">
        <v>2085</v>
      </c>
      <c r="B548" s="3" t="n">
        <v>45352</v>
      </c>
      <c r="C548" s="2" t="s">
        <v>2086</v>
      </c>
      <c r="D548" s="2" t="s">
        <v>20</v>
      </c>
      <c r="E548" s="2" t="n">
        <v>1</v>
      </c>
      <c r="F548" s="4" t="n">
        <v>158.68</v>
      </c>
      <c r="G548" s="2" t="s">
        <v>21</v>
      </c>
      <c r="H548" s="2" t="s">
        <v>38</v>
      </c>
      <c r="I548" s="2" t="s">
        <v>47</v>
      </c>
      <c r="J548" s="2" t="s">
        <v>2087</v>
      </c>
      <c r="K548" s="2" t="n">
        <v>6</v>
      </c>
      <c r="L548" s="2" t="s">
        <v>85</v>
      </c>
      <c r="M548" s="2" t="s">
        <v>26</v>
      </c>
      <c r="N548" s="4" t="n">
        <v>158.68</v>
      </c>
      <c r="O548" s="2" t="str">
        <f aca="false">IF(COUNTIF($A$2:$A$1201,A548)&gt;1,"DUPLICATE","Unique")</f>
        <v>Unique</v>
      </c>
      <c r="P548" s="2" t="str">
        <f aca="false">IF(L548="","MISSING","OK")</f>
        <v>OK</v>
      </c>
      <c r="Q548" s="2" t="str">
        <f aca="false">IF(ISNUMBER(B548),"OK","BAD DATE")</f>
        <v>OK</v>
      </c>
      <c r="R548" s="2" t="str">
        <f aca="false">IF(ROUND(F548,2)=F548,"OK","FIX")</f>
        <v>OK</v>
      </c>
    </row>
    <row r="549" customFormat="false" ht="15" hidden="false" customHeight="false" outlineLevel="0" collapsed="false">
      <c r="A549" s="2" t="s">
        <v>2088</v>
      </c>
      <c r="B549" s="3" t="n">
        <v>45158</v>
      </c>
      <c r="C549" s="2" t="s">
        <v>2089</v>
      </c>
      <c r="D549" s="2" t="s">
        <v>29</v>
      </c>
      <c r="E549" s="2" t="n">
        <v>1</v>
      </c>
      <c r="F549" s="4" t="n">
        <v>613.98</v>
      </c>
      <c r="G549" s="2" t="s">
        <v>2090</v>
      </c>
      <c r="H549" s="2" t="s">
        <v>31</v>
      </c>
      <c r="I549" s="2" t="s">
        <v>54</v>
      </c>
      <c r="J549" s="2" t="s">
        <v>2091</v>
      </c>
      <c r="K549" s="2" t="n">
        <v>4</v>
      </c>
      <c r="L549" s="2" t="s">
        <v>41</v>
      </c>
      <c r="M549" s="2" t="s">
        <v>49</v>
      </c>
      <c r="N549" s="4" t="n">
        <v>613.98</v>
      </c>
      <c r="O549" s="2" t="str">
        <f aca="false">IF(COUNTIF($A$2:$A$1201,A549)&gt;1,"DUPLICATE","Unique")</f>
        <v>Unique</v>
      </c>
      <c r="P549" s="2" t="str">
        <f aca="false">IF(L549="","MISSING","OK")</f>
        <v>OK</v>
      </c>
      <c r="Q549" s="2" t="str">
        <f aca="false">IF(ISNUMBER(B549),"OK","BAD DATE")</f>
        <v>OK</v>
      </c>
      <c r="R549" s="2" t="str">
        <f aca="false">IF(ROUND(F549,2)=F549,"OK","FIX")</f>
        <v>OK</v>
      </c>
    </row>
    <row r="550" customFormat="false" ht="15" hidden="false" customHeight="false" outlineLevel="0" collapsed="false">
      <c r="A550" s="2" t="s">
        <v>2092</v>
      </c>
      <c r="B550" s="3" t="n">
        <v>45296</v>
      </c>
      <c r="C550" s="2" t="s">
        <v>2093</v>
      </c>
      <c r="D550" s="2" t="s">
        <v>52</v>
      </c>
      <c r="E550" s="2" t="n">
        <v>3</v>
      </c>
      <c r="F550" s="4" t="n">
        <v>426.12</v>
      </c>
      <c r="G550" s="2" t="s">
        <v>426</v>
      </c>
      <c r="H550" s="2" t="s">
        <v>31</v>
      </c>
      <c r="I550" s="2" t="s">
        <v>54</v>
      </c>
      <c r="J550" s="2" t="s">
        <v>2094</v>
      </c>
      <c r="K550" s="2" t="n">
        <v>5</v>
      </c>
      <c r="L550" s="2" t="s">
        <v>85</v>
      </c>
      <c r="M550" s="2" t="s">
        <v>26</v>
      </c>
      <c r="N550" s="4" t="n">
        <v>1278.36</v>
      </c>
      <c r="O550" s="2" t="str">
        <f aca="false">IF(COUNTIF($A$2:$A$1201,A550)&gt;1,"DUPLICATE","Unique")</f>
        <v>Unique</v>
      </c>
      <c r="P550" s="2" t="str">
        <f aca="false">IF(L550="","MISSING","OK")</f>
        <v>OK</v>
      </c>
      <c r="Q550" s="2" t="str">
        <f aca="false">IF(ISNUMBER(B550),"OK","BAD DATE")</f>
        <v>OK</v>
      </c>
      <c r="R550" s="2" t="str">
        <f aca="false">IF(ROUND(F550,2)=F550,"OK","FIX")</f>
        <v>OK</v>
      </c>
    </row>
    <row r="551" customFormat="false" ht="15" hidden="false" customHeight="false" outlineLevel="0" collapsed="false">
      <c r="A551" s="2" t="s">
        <v>2095</v>
      </c>
      <c r="B551" s="3" t="n">
        <v>45713</v>
      </c>
      <c r="C551" s="2" t="s">
        <v>2096</v>
      </c>
      <c r="D551" s="2" t="s">
        <v>20</v>
      </c>
      <c r="E551" s="2" t="n">
        <v>4</v>
      </c>
      <c r="F551" s="4" t="n">
        <v>629.88</v>
      </c>
      <c r="G551" s="2" t="s">
        <v>2097</v>
      </c>
      <c r="H551" s="2" t="s">
        <v>22</v>
      </c>
      <c r="I551" s="2" t="s">
        <v>39</v>
      </c>
      <c r="J551" s="2" t="s">
        <v>2098</v>
      </c>
      <c r="K551" s="2" t="n">
        <v>8</v>
      </c>
      <c r="L551" s="2" t="s">
        <v>85</v>
      </c>
      <c r="M551" s="2" t="s">
        <v>26</v>
      </c>
      <c r="N551" s="4" t="n">
        <v>2519.52</v>
      </c>
      <c r="O551" s="2" t="str">
        <f aca="false">IF(COUNTIF($A$2:$A$1201,A551)&gt;1,"DUPLICATE","Unique")</f>
        <v>Unique</v>
      </c>
      <c r="P551" s="2" t="str">
        <f aca="false">IF(L551="","MISSING","OK")</f>
        <v>OK</v>
      </c>
      <c r="Q551" s="2" t="str">
        <f aca="false">IF(ISNUMBER(B551),"OK","BAD DATE")</f>
        <v>OK</v>
      </c>
      <c r="R551" s="2" t="str">
        <f aca="false">IF(ROUND(F551,2)=F551,"OK","FIX")</f>
        <v>OK</v>
      </c>
    </row>
    <row r="552" customFormat="false" ht="15" hidden="false" customHeight="false" outlineLevel="0" collapsed="false">
      <c r="A552" s="2" t="s">
        <v>2099</v>
      </c>
      <c r="B552" s="3" t="n">
        <v>45228</v>
      </c>
      <c r="C552" s="2" t="s">
        <v>2100</v>
      </c>
      <c r="D552" s="2" t="s">
        <v>62</v>
      </c>
      <c r="E552" s="2" t="n">
        <v>4</v>
      </c>
      <c r="F552" s="4" t="n">
        <v>228.91</v>
      </c>
      <c r="G552" s="2" t="s">
        <v>603</v>
      </c>
      <c r="H552" s="2" t="s">
        <v>69</v>
      </c>
      <c r="I552" s="2" t="s">
        <v>23</v>
      </c>
      <c r="J552" s="2" t="s">
        <v>2101</v>
      </c>
      <c r="K552" s="2" t="n">
        <v>4</v>
      </c>
      <c r="L552" s="2" t="s">
        <v>41</v>
      </c>
      <c r="M552" s="2" t="s">
        <v>80</v>
      </c>
      <c r="N552" s="4" t="n">
        <v>915.64</v>
      </c>
      <c r="O552" s="2" t="str">
        <f aca="false">IF(COUNTIF($A$2:$A$1201,A552)&gt;1,"DUPLICATE","Unique")</f>
        <v>Unique</v>
      </c>
      <c r="P552" s="2" t="str">
        <f aca="false">IF(L552="","MISSING","OK")</f>
        <v>OK</v>
      </c>
      <c r="Q552" s="2" t="str">
        <f aca="false">IF(ISNUMBER(B552),"OK","BAD DATE")</f>
        <v>OK</v>
      </c>
      <c r="R552" s="2" t="str">
        <f aca="false">IF(ROUND(F552,2)=F552,"OK","FIX")</f>
        <v>OK</v>
      </c>
    </row>
    <row r="553" customFormat="false" ht="15" hidden="false" customHeight="false" outlineLevel="0" collapsed="false">
      <c r="A553" s="2" t="s">
        <v>2102</v>
      </c>
      <c r="B553" s="3" t="n">
        <v>45064</v>
      </c>
      <c r="C553" s="2" t="s">
        <v>2103</v>
      </c>
      <c r="D553" s="2" t="s">
        <v>62</v>
      </c>
      <c r="E553" s="2" t="n">
        <v>1</v>
      </c>
      <c r="F553" s="4" t="n">
        <v>120.98</v>
      </c>
      <c r="G553" s="2" t="s">
        <v>541</v>
      </c>
      <c r="H553" s="2" t="s">
        <v>22</v>
      </c>
      <c r="I553" s="2" t="s">
        <v>54</v>
      </c>
      <c r="J553" s="2" t="s">
        <v>2104</v>
      </c>
      <c r="K553" s="2" t="n">
        <v>6</v>
      </c>
      <c r="L553" s="2" t="s">
        <v>85</v>
      </c>
      <c r="M553" s="2" t="s">
        <v>42</v>
      </c>
      <c r="N553" s="4" t="n">
        <v>120.98</v>
      </c>
      <c r="O553" s="2" t="str">
        <f aca="false">IF(COUNTIF($A$2:$A$1201,A553)&gt;1,"DUPLICATE","Unique")</f>
        <v>Unique</v>
      </c>
      <c r="P553" s="2" t="str">
        <f aca="false">IF(L553="","MISSING","OK")</f>
        <v>OK</v>
      </c>
      <c r="Q553" s="2" t="str">
        <f aca="false">IF(ISNUMBER(B553),"OK","BAD DATE")</f>
        <v>OK</v>
      </c>
      <c r="R553" s="2" t="str">
        <f aca="false">IF(ROUND(F553,2)=F553,"OK","FIX")</f>
        <v>OK</v>
      </c>
    </row>
    <row r="554" customFormat="false" ht="15" hidden="false" customHeight="false" outlineLevel="0" collapsed="false">
      <c r="A554" s="2" t="s">
        <v>2105</v>
      </c>
      <c r="B554" s="3" t="n">
        <v>45199</v>
      </c>
      <c r="C554" s="2" t="s">
        <v>2106</v>
      </c>
      <c r="D554" s="2" t="s">
        <v>45</v>
      </c>
      <c r="E554" s="2" t="n">
        <v>4</v>
      </c>
      <c r="F554" s="4" t="n">
        <v>425.18</v>
      </c>
      <c r="G554" s="2" t="s">
        <v>1960</v>
      </c>
      <c r="H554" s="2" t="s">
        <v>31</v>
      </c>
      <c r="I554" s="2" t="s">
        <v>47</v>
      </c>
      <c r="J554" s="2" t="s">
        <v>2107</v>
      </c>
      <c r="K554" s="2" t="n">
        <v>8</v>
      </c>
      <c r="L554" s="2" t="s">
        <v>85</v>
      </c>
      <c r="M554" s="2" t="s">
        <v>49</v>
      </c>
      <c r="N554" s="4" t="n">
        <v>1700.72</v>
      </c>
      <c r="O554" s="2" t="str">
        <f aca="false">IF(COUNTIF($A$2:$A$1201,A554)&gt;1,"DUPLICATE","Unique")</f>
        <v>Unique</v>
      </c>
      <c r="P554" s="2" t="str">
        <f aca="false">IF(L554="","MISSING","OK")</f>
        <v>OK</v>
      </c>
      <c r="Q554" s="2" t="str">
        <f aca="false">IF(ISNUMBER(B554),"OK","BAD DATE")</f>
        <v>OK</v>
      </c>
      <c r="R554" s="2" t="str">
        <f aca="false">IF(ROUND(F554,2)=F554,"OK","FIX")</f>
        <v>OK</v>
      </c>
    </row>
    <row r="555" customFormat="false" ht="15" hidden="false" customHeight="false" outlineLevel="0" collapsed="false">
      <c r="A555" s="2" t="s">
        <v>2108</v>
      </c>
      <c r="B555" s="3" t="n">
        <v>45161</v>
      </c>
      <c r="C555" s="2" t="s">
        <v>2109</v>
      </c>
      <c r="D555" s="2" t="s">
        <v>29</v>
      </c>
      <c r="E555" s="2" t="n">
        <v>2</v>
      </c>
      <c r="F555" s="4" t="n">
        <v>333.83</v>
      </c>
      <c r="G555" s="2" t="s">
        <v>2110</v>
      </c>
      <c r="H555" s="2" t="s">
        <v>64</v>
      </c>
      <c r="I555" s="2" t="s">
        <v>39</v>
      </c>
      <c r="J555" s="2" t="s">
        <v>2111</v>
      </c>
      <c r="K555" s="2" t="n">
        <v>4</v>
      </c>
      <c r="L555" s="2" t="s">
        <v>41</v>
      </c>
      <c r="M555" s="2" t="s">
        <v>33</v>
      </c>
      <c r="N555" s="4" t="n">
        <v>667.66</v>
      </c>
      <c r="O555" s="2" t="str">
        <f aca="false">IF(COUNTIF($A$2:$A$1201,A555)&gt;1,"DUPLICATE","Unique")</f>
        <v>Unique</v>
      </c>
      <c r="P555" s="2" t="str">
        <f aca="false">IF(L555="","MISSING","OK")</f>
        <v>OK</v>
      </c>
      <c r="Q555" s="2" t="str">
        <f aca="false">IF(ISNUMBER(B555),"OK","BAD DATE")</f>
        <v>OK</v>
      </c>
      <c r="R555" s="2" t="str">
        <f aca="false">IF(ROUND(F555,2)=F555,"OK","FIX")</f>
        <v>OK</v>
      </c>
    </row>
    <row r="556" customFormat="false" ht="15" hidden="false" customHeight="false" outlineLevel="0" collapsed="false">
      <c r="A556" s="2" t="s">
        <v>2112</v>
      </c>
      <c r="B556" s="3" t="n">
        <v>45807</v>
      </c>
      <c r="C556" s="2" t="s">
        <v>2113</v>
      </c>
      <c r="D556" s="2" t="s">
        <v>62</v>
      </c>
      <c r="E556" s="2" t="n">
        <v>2</v>
      </c>
      <c r="F556" s="4" t="n">
        <v>492.9</v>
      </c>
      <c r="G556" s="2" t="s">
        <v>941</v>
      </c>
      <c r="H556" s="2" t="s">
        <v>69</v>
      </c>
      <c r="I556" s="2" t="s">
        <v>47</v>
      </c>
      <c r="J556" s="2" t="s">
        <v>2114</v>
      </c>
      <c r="K556" s="2" t="n">
        <v>5</v>
      </c>
      <c r="L556" s="2" t="s">
        <v>41</v>
      </c>
      <c r="M556" s="2" t="s">
        <v>26</v>
      </c>
      <c r="N556" s="4" t="n">
        <v>985.8</v>
      </c>
      <c r="O556" s="2" t="str">
        <f aca="false">IF(COUNTIF($A$2:$A$1201,A556)&gt;1,"DUPLICATE","Unique")</f>
        <v>Unique</v>
      </c>
      <c r="P556" s="2" t="str">
        <f aca="false">IF(L556="","MISSING","OK")</f>
        <v>OK</v>
      </c>
      <c r="Q556" s="2" t="str">
        <f aca="false">IF(ISNUMBER(B556),"OK","BAD DATE")</f>
        <v>OK</v>
      </c>
      <c r="R556" s="2" t="str">
        <f aca="false">IF(ROUND(F556,2)=F556,"OK","FIX")</f>
        <v>OK</v>
      </c>
    </row>
    <row r="557" customFormat="false" ht="15" hidden="false" customHeight="false" outlineLevel="0" collapsed="false">
      <c r="A557" s="2" t="s">
        <v>2115</v>
      </c>
      <c r="B557" s="3" t="n">
        <v>44933</v>
      </c>
      <c r="C557" s="2" t="s">
        <v>2116</v>
      </c>
      <c r="D557" s="2" t="s">
        <v>36</v>
      </c>
      <c r="E557" s="2" t="n">
        <v>1</v>
      </c>
      <c r="F557" s="4" t="n">
        <v>92.04</v>
      </c>
      <c r="G557" s="2" t="s">
        <v>83</v>
      </c>
      <c r="H557" s="2" t="s">
        <v>69</v>
      </c>
      <c r="I557" s="2" t="s">
        <v>23</v>
      </c>
      <c r="J557" s="2" t="s">
        <v>2117</v>
      </c>
      <c r="K557" s="2" t="n">
        <v>2</v>
      </c>
      <c r="L557" s="2"/>
      <c r="M557" s="2" t="s">
        <v>49</v>
      </c>
      <c r="N557" s="4" t="n">
        <v>92.04</v>
      </c>
      <c r="O557" s="2" t="str">
        <f aca="false">IF(COUNTIF($A$2:$A$1201,A557)&gt;1,"DUPLICATE","Unique")</f>
        <v>Unique</v>
      </c>
      <c r="P557" s="2" t="str">
        <f aca="false">IF(L557="","MISSING","OK")</f>
        <v>MISSING</v>
      </c>
      <c r="Q557" s="2" t="str">
        <f aca="false">IF(ISNUMBER(B557),"OK","BAD DATE")</f>
        <v>OK</v>
      </c>
      <c r="R557" s="2" t="str">
        <f aca="false">IF(ROUND(F557,2)=F557,"OK","FIX")</f>
        <v>OK</v>
      </c>
    </row>
    <row r="558" customFormat="false" ht="15" hidden="false" customHeight="false" outlineLevel="0" collapsed="false">
      <c r="A558" s="2" t="s">
        <v>2118</v>
      </c>
      <c r="B558" s="3" t="n">
        <v>44954</v>
      </c>
      <c r="C558" s="2" t="s">
        <v>2119</v>
      </c>
      <c r="D558" s="2" t="s">
        <v>62</v>
      </c>
      <c r="E558" s="2" t="n">
        <v>1</v>
      </c>
      <c r="F558" s="4" t="n">
        <v>654.27</v>
      </c>
      <c r="G558" s="2" t="s">
        <v>2120</v>
      </c>
      <c r="H558" s="2" t="s">
        <v>64</v>
      </c>
      <c r="I558" s="2" t="s">
        <v>93</v>
      </c>
      <c r="J558" s="2" t="s">
        <v>2121</v>
      </c>
      <c r="K558" s="2" t="n">
        <v>2</v>
      </c>
      <c r="L558" s="2" t="s">
        <v>25</v>
      </c>
      <c r="M558" s="2" t="s">
        <v>49</v>
      </c>
      <c r="N558" s="4" t="n">
        <v>654.27</v>
      </c>
      <c r="O558" s="2" t="str">
        <f aca="false">IF(COUNTIF($A$2:$A$1201,A558)&gt;1,"DUPLICATE","Unique")</f>
        <v>Unique</v>
      </c>
      <c r="P558" s="2" t="str">
        <f aca="false">IF(L558="","MISSING","OK")</f>
        <v>OK</v>
      </c>
      <c r="Q558" s="2" t="str">
        <f aca="false">IF(ISNUMBER(B558),"OK","BAD DATE")</f>
        <v>OK</v>
      </c>
      <c r="R558" s="2" t="str">
        <f aca="false">IF(ROUND(F558,2)=F558,"OK","FIX")</f>
        <v>OK</v>
      </c>
    </row>
    <row r="559" customFormat="false" ht="15" hidden="false" customHeight="false" outlineLevel="0" collapsed="false">
      <c r="A559" s="2" t="s">
        <v>2122</v>
      </c>
      <c r="B559" s="3" t="n">
        <v>45106</v>
      </c>
      <c r="C559" s="2" t="s">
        <v>2123</v>
      </c>
      <c r="D559" s="2" t="s">
        <v>36</v>
      </c>
      <c r="E559" s="2" t="n">
        <v>1</v>
      </c>
      <c r="F559" s="4" t="n">
        <v>56.2</v>
      </c>
      <c r="G559" s="2" t="s">
        <v>2124</v>
      </c>
      <c r="H559" s="2" t="s">
        <v>22</v>
      </c>
      <c r="I559" s="2" t="s">
        <v>93</v>
      </c>
      <c r="J559" s="2" t="s">
        <v>2125</v>
      </c>
      <c r="K559" s="2" t="n">
        <v>1</v>
      </c>
      <c r="L559" s="2" t="s">
        <v>85</v>
      </c>
      <c r="M559" s="2" t="s">
        <v>49</v>
      </c>
      <c r="N559" s="4" t="n">
        <v>56.2</v>
      </c>
      <c r="O559" s="2" t="str">
        <f aca="false">IF(COUNTIF($A$2:$A$1201,A559)&gt;1,"DUPLICATE","Unique")</f>
        <v>Unique</v>
      </c>
      <c r="P559" s="2" t="str">
        <f aca="false">IF(L559="","MISSING","OK")</f>
        <v>OK</v>
      </c>
      <c r="Q559" s="2" t="str">
        <f aca="false">IF(ISNUMBER(B559),"OK","BAD DATE")</f>
        <v>OK</v>
      </c>
      <c r="R559" s="2" t="str">
        <f aca="false">IF(ROUND(F559,2)=F559,"OK","FIX")</f>
        <v>OK</v>
      </c>
    </row>
    <row r="560" customFormat="false" ht="15" hidden="false" customHeight="false" outlineLevel="0" collapsed="false">
      <c r="A560" s="2" t="s">
        <v>2126</v>
      </c>
      <c r="B560" s="3" t="n">
        <v>45489</v>
      </c>
      <c r="C560" s="2" t="s">
        <v>2127</v>
      </c>
      <c r="D560" s="2" t="s">
        <v>29</v>
      </c>
      <c r="E560" s="2" t="n">
        <v>4</v>
      </c>
      <c r="F560" s="4" t="n">
        <v>628.12</v>
      </c>
      <c r="G560" s="2" t="s">
        <v>2128</v>
      </c>
      <c r="H560" s="2" t="s">
        <v>31</v>
      </c>
      <c r="I560" s="2" t="s">
        <v>54</v>
      </c>
      <c r="J560" s="2" t="s">
        <v>2129</v>
      </c>
      <c r="K560" s="2" t="n">
        <v>6</v>
      </c>
      <c r="L560" s="2" t="s">
        <v>85</v>
      </c>
      <c r="M560" s="2" t="s">
        <v>26</v>
      </c>
      <c r="N560" s="4" t="n">
        <v>2512.48</v>
      </c>
      <c r="O560" s="2" t="str">
        <f aca="false">IF(COUNTIF($A$2:$A$1201,A560)&gt;1,"DUPLICATE","Unique")</f>
        <v>Unique</v>
      </c>
      <c r="P560" s="2" t="str">
        <f aca="false">IF(L560="","MISSING","OK")</f>
        <v>OK</v>
      </c>
      <c r="Q560" s="2" t="str">
        <f aca="false">IF(ISNUMBER(B560),"OK","BAD DATE")</f>
        <v>OK</v>
      </c>
      <c r="R560" s="2" t="str">
        <f aca="false">IF(ROUND(F560,2)=F560,"OK","FIX")</f>
        <v>OK</v>
      </c>
    </row>
    <row r="561" customFormat="false" ht="15" hidden="false" customHeight="false" outlineLevel="0" collapsed="false">
      <c r="A561" s="2" t="s">
        <v>2130</v>
      </c>
      <c r="B561" s="3" t="n">
        <v>45397</v>
      </c>
      <c r="C561" s="2" t="s">
        <v>2131</v>
      </c>
      <c r="D561" s="2" t="s">
        <v>77</v>
      </c>
      <c r="E561" s="2" t="n">
        <v>3</v>
      </c>
      <c r="F561" s="4" t="n">
        <v>157.4</v>
      </c>
      <c r="G561" s="2" t="s">
        <v>1916</v>
      </c>
      <c r="H561" s="2" t="s">
        <v>22</v>
      </c>
      <c r="I561" s="2" t="s">
        <v>39</v>
      </c>
      <c r="J561" s="2" t="s">
        <v>2132</v>
      </c>
      <c r="K561" s="2" t="n">
        <v>7</v>
      </c>
      <c r="L561" s="2" t="s">
        <v>85</v>
      </c>
      <c r="M561" s="2" t="s">
        <v>42</v>
      </c>
      <c r="N561" s="4" t="n">
        <v>472.2</v>
      </c>
      <c r="O561" s="2" t="str">
        <f aca="false">IF(COUNTIF($A$2:$A$1201,A561)&gt;1,"DUPLICATE","Unique")</f>
        <v>Unique</v>
      </c>
      <c r="P561" s="2" t="str">
        <f aca="false">IF(L561="","MISSING","OK")</f>
        <v>OK</v>
      </c>
      <c r="Q561" s="2" t="str">
        <f aca="false">IF(ISNUMBER(B561),"OK","BAD DATE")</f>
        <v>OK</v>
      </c>
      <c r="R561" s="2" t="str">
        <f aca="false">IF(ROUND(F561,2)=F561,"OK","FIX")</f>
        <v>OK</v>
      </c>
    </row>
    <row r="562" customFormat="false" ht="15" hidden="false" customHeight="false" outlineLevel="0" collapsed="false">
      <c r="A562" s="2" t="s">
        <v>2133</v>
      </c>
      <c r="B562" s="3" t="n">
        <v>44957</v>
      </c>
      <c r="C562" s="2" t="s">
        <v>2134</v>
      </c>
      <c r="D562" s="2" t="s">
        <v>20</v>
      </c>
      <c r="E562" s="2" t="n">
        <v>4</v>
      </c>
      <c r="F562" s="4" t="n">
        <v>588.85</v>
      </c>
      <c r="G562" s="2" t="s">
        <v>2135</v>
      </c>
      <c r="H562" s="2" t="s">
        <v>64</v>
      </c>
      <c r="I562" s="2" t="s">
        <v>93</v>
      </c>
      <c r="J562" s="2" t="s">
        <v>2136</v>
      </c>
      <c r="K562" s="2" t="n">
        <v>7</v>
      </c>
      <c r="L562" s="2"/>
      <c r="M562" s="2" t="s">
        <v>42</v>
      </c>
      <c r="N562" s="4" t="n">
        <v>2355.4</v>
      </c>
      <c r="O562" s="2" t="str">
        <f aca="false">IF(COUNTIF($A$2:$A$1201,A562)&gt;1,"DUPLICATE","Unique")</f>
        <v>Unique</v>
      </c>
      <c r="P562" s="2" t="str">
        <f aca="false">IF(L562="","MISSING","OK")</f>
        <v>MISSING</v>
      </c>
      <c r="Q562" s="2" t="str">
        <f aca="false">IF(ISNUMBER(B562),"OK","BAD DATE")</f>
        <v>OK</v>
      </c>
      <c r="R562" s="2" t="str">
        <f aca="false">IF(ROUND(F562,2)=F562,"OK","FIX")</f>
        <v>OK</v>
      </c>
    </row>
    <row r="563" customFormat="false" ht="15" hidden="false" customHeight="false" outlineLevel="0" collapsed="false">
      <c r="A563" s="2" t="s">
        <v>2137</v>
      </c>
      <c r="B563" s="3" t="n">
        <v>44957</v>
      </c>
      <c r="C563" s="2" t="s">
        <v>2138</v>
      </c>
      <c r="D563" s="2" t="s">
        <v>52</v>
      </c>
      <c r="E563" s="2" t="n">
        <v>2</v>
      </c>
      <c r="F563" s="4" t="n">
        <v>494.78</v>
      </c>
      <c r="G563" s="2" t="s">
        <v>2139</v>
      </c>
      <c r="H563" s="2" t="s">
        <v>31</v>
      </c>
      <c r="I563" s="2" t="s">
        <v>23</v>
      </c>
      <c r="J563" s="2" t="s">
        <v>2140</v>
      </c>
      <c r="K563" s="2" t="n">
        <v>2</v>
      </c>
      <c r="L563" s="2"/>
      <c r="M563" s="2" t="s">
        <v>80</v>
      </c>
      <c r="N563" s="4" t="n">
        <v>989.56</v>
      </c>
      <c r="O563" s="2" t="str">
        <f aca="false">IF(COUNTIF($A$2:$A$1201,A563)&gt;1,"DUPLICATE","Unique")</f>
        <v>Unique</v>
      </c>
      <c r="P563" s="2" t="str">
        <f aca="false">IF(L563="","MISSING","OK")</f>
        <v>MISSING</v>
      </c>
      <c r="Q563" s="2" t="str">
        <f aca="false">IF(ISNUMBER(B563),"OK","BAD DATE")</f>
        <v>OK</v>
      </c>
      <c r="R563" s="2" t="str">
        <f aca="false">IF(ROUND(F563,2)=F563,"OK","FIX")</f>
        <v>OK</v>
      </c>
    </row>
    <row r="564" customFormat="false" ht="15" hidden="false" customHeight="false" outlineLevel="0" collapsed="false">
      <c r="A564" s="2" t="s">
        <v>2141</v>
      </c>
      <c r="B564" s="3" t="n">
        <v>45205</v>
      </c>
      <c r="C564" s="2" t="s">
        <v>2142</v>
      </c>
      <c r="D564" s="2" t="s">
        <v>62</v>
      </c>
      <c r="E564" s="2" t="n">
        <v>3</v>
      </c>
      <c r="F564" s="4" t="n">
        <v>663.93</v>
      </c>
      <c r="G564" s="2" t="s">
        <v>426</v>
      </c>
      <c r="H564" s="2" t="s">
        <v>64</v>
      </c>
      <c r="I564" s="2" t="s">
        <v>47</v>
      </c>
      <c r="J564" s="2" t="s">
        <v>2143</v>
      </c>
      <c r="K564" s="2" t="n">
        <v>6</v>
      </c>
      <c r="L564" s="2" t="s">
        <v>41</v>
      </c>
      <c r="M564" s="2" t="s">
        <v>42</v>
      </c>
      <c r="N564" s="4" t="n">
        <v>1991.79</v>
      </c>
      <c r="O564" s="2" t="str">
        <f aca="false">IF(COUNTIF($A$2:$A$1201,A564)&gt;1,"DUPLICATE","Unique")</f>
        <v>Unique</v>
      </c>
      <c r="P564" s="2" t="str">
        <f aca="false">IF(L564="","MISSING","OK")</f>
        <v>OK</v>
      </c>
      <c r="Q564" s="2" t="str">
        <f aca="false">IF(ISNUMBER(B564),"OK","BAD DATE")</f>
        <v>OK</v>
      </c>
      <c r="R564" s="2" t="str">
        <f aca="false">IF(ROUND(F564,2)=F564,"OK","FIX")</f>
        <v>OK</v>
      </c>
    </row>
    <row r="565" customFormat="false" ht="15" hidden="false" customHeight="false" outlineLevel="0" collapsed="false">
      <c r="A565" s="2" t="s">
        <v>2144</v>
      </c>
      <c r="B565" s="3" t="n">
        <v>45272</v>
      </c>
      <c r="C565" s="2" t="s">
        <v>2145</v>
      </c>
      <c r="D565" s="2" t="s">
        <v>62</v>
      </c>
      <c r="E565" s="2" t="n">
        <v>1</v>
      </c>
      <c r="F565" s="4" t="n">
        <v>132.68</v>
      </c>
      <c r="G565" s="2" t="s">
        <v>2146</v>
      </c>
      <c r="H565" s="2" t="s">
        <v>22</v>
      </c>
      <c r="I565" s="2" t="s">
        <v>47</v>
      </c>
      <c r="J565" s="2" t="s">
        <v>2147</v>
      </c>
      <c r="K565" s="2" t="n">
        <v>1</v>
      </c>
      <c r="L565" s="2" t="s">
        <v>25</v>
      </c>
      <c r="M565" s="2" t="s">
        <v>33</v>
      </c>
      <c r="N565" s="4" t="n">
        <v>132.68</v>
      </c>
      <c r="O565" s="2" t="str">
        <f aca="false">IF(COUNTIF($A$2:$A$1201,A565)&gt;1,"DUPLICATE","Unique")</f>
        <v>Unique</v>
      </c>
      <c r="P565" s="2" t="str">
        <f aca="false">IF(L565="","MISSING","OK")</f>
        <v>OK</v>
      </c>
      <c r="Q565" s="2" t="str">
        <f aca="false">IF(ISNUMBER(B565),"OK","BAD DATE")</f>
        <v>OK</v>
      </c>
      <c r="R565" s="2" t="str">
        <f aca="false">IF(ROUND(F565,2)=F565,"OK","FIX")</f>
        <v>OK</v>
      </c>
    </row>
    <row r="566" customFormat="false" ht="15" hidden="false" customHeight="false" outlineLevel="0" collapsed="false">
      <c r="A566" s="2" t="s">
        <v>2148</v>
      </c>
      <c r="B566" s="3" t="n">
        <v>45755</v>
      </c>
      <c r="C566" s="2" t="s">
        <v>2149</v>
      </c>
      <c r="D566" s="2" t="s">
        <v>77</v>
      </c>
      <c r="E566" s="2" t="n">
        <v>5</v>
      </c>
      <c r="F566" s="4" t="n">
        <v>364.28</v>
      </c>
      <c r="G566" s="2" t="s">
        <v>2150</v>
      </c>
      <c r="H566" s="2" t="s">
        <v>38</v>
      </c>
      <c r="I566" s="2" t="s">
        <v>39</v>
      </c>
      <c r="J566" s="2" t="s">
        <v>2151</v>
      </c>
      <c r="K566" s="2" t="n">
        <v>5</v>
      </c>
      <c r="L566" s="2" t="s">
        <v>85</v>
      </c>
      <c r="M566" s="2" t="s">
        <v>80</v>
      </c>
      <c r="N566" s="4" t="n">
        <v>1821.4</v>
      </c>
      <c r="O566" s="2" t="str">
        <f aca="false">IF(COUNTIF($A$2:$A$1201,A566)&gt;1,"DUPLICATE","Unique")</f>
        <v>Unique</v>
      </c>
      <c r="P566" s="2" t="str">
        <f aca="false">IF(L566="","MISSING","OK")</f>
        <v>OK</v>
      </c>
      <c r="Q566" s="2" t="str">
        <f aca="false">IF(ISNUMBER(B566),"OK","BAD DATE")</f>
        <v>OK</v>
      </c>
      <c r="R566" s="2" t="str">
        <f aca="false">IF(ROUND(F566,2)=F566,"OK","FIX")</f>
        <v>OK</v>
      </c>
    </row>
    <row r="567" customFormat="false" ht="15" hidden="false" customHeight="false" outlineLevel="0" collapsed="false">
      <c r="A567" s="2" t="s">
        <v>2152</v>
      </c>
      <c r="B567" s="3" t="n">
        <v>45060</v>
      </c>
      <c r="C567" s="2" t="s">
        <v>2153</v>
      </c>
      <c r="D567" s="2" t="s">
        <v>36</v>
      </c>
      <c r="E567" s="2" t="n">
        <v>5</v>
      </c>
      <c r="F567" s="4" t="n">
        <v>307.98</v>
      </c>
      <c r="G567" s="2" t="s">
        <v>1794</v>
      </c>
      <c r="H567" s="2" t="s">
        <v>31</v>
      </c>
      <c r="I567" s="2" t="s">
        <v>93</v>
      </c>
      <c r="J567" s="2" t="s">
        <v>2154</v>
      </c>
      <c r="K567" s="2" t="n">
        <v>10</v>
      </c>
      <c r="L567" s="2"/>
      <c r="M567" s="2" t="s">
        <v>49</v>
      </c>
      <c r="N567" s="4" t="n">
        <v>1539.9</v>
      </c>
      <c r="O567" s="2" t="str">
        <f aca="false">IF(COUNTIF($A$2:$A$1201,A567)&gt;1,"DUPLICATE","Unique")</f>
        <v>Unique</v>
      </c>
      <c r="P567" s="2" t="str">
        <f aca="false">IF(L567="","MISSING","OK")</f>
        <v>MISSING</v>
      </c>
      <c r="Q567" s="2" t="str">
        <f aca="false">IF(ISNUMBER(B567),"OK","BAD DATE")</f>
        <v>OK</v>
      </c>
      <c r="R567" s="2" t="str">
        <f aca="false">IF(ROUND(F567,2)=F567,"OK","FIX")</f>
        <v>OK</v>
      </c>
    </row>
    <row r="568" customFormat="false" ht="15" hidden="false" customHeight="false" outlineLevel="0" collapsed="false">
      <c r="A568" s="2" t="s">
        <v>2155</v>
      </c>
      <c r="B568" s="3" t="n">
        <v>45400</v>
      </c>
      <c r="C568" s="2" t="s">
        <v>2156</v>
      </c>
      <c r="D568" s="2" t="s">
        <v>29</v>
      </c>
      <c r="E568" s="2" t="n">
        <v>4</v>
      </c>
      <c r="F568" s="4" t="n">
        <v>162.71</v>
      </c>
      <c r="G568" s="2" t="s">
        <v>2157</v>
      </c>
      <c r="H568" s="2" t="s">
        <v>69</v>
      </c>
      <c r="I568" s="2" t="s">
        <v>39</v>
      </c>
      <c r="J568" s="2" t="s">
        <v>2158</v>
      </c>
      <c r="K568" s="2" t="n">
        <v>7</v>
      </c>
      <c r="L568" s="2" t="s">
        <v>41</v>
      </c>
      <c r="M568" s="2" t="s">
        <v>42</v>
      </c>
      <c r="N568" s="4" t="n">
        <v>650.84</v>
      </c>
      <c r="O568" s="2" t="str">
        <f aca="false">IF(COUNTIF($A$2:$A$1201,A568)&gt;1,"DUPLICATE","Unique")</f>
        <v>Unique</v>
      </c>
      <c r="P568" s="2" t="str">
        <f aca="false">IF(L568="","MISSING","OK")</f>
        <v>OK</v>
      </c>
      <c r="Q568" s="2" t="str">
        <f aca="false">IF(ISNUMBER(B568),"OK","BAD DATE")</f>
        <v>OK</v>
      </c>
      <c r="R568" s="2" t="str">
        <f aca="false">IF(ROUND(F568,2)=F568,"OK","FIX")</f>
        <v>OK</v>
      </c>
    </row>
    <row r="569" customFormat="false" ht="15" hidden="false" customHeight="false" outlineLevel="0" collapsed="false">
      <c r="A569" s="2" t="s">
        <v>2159</v>
      </c>
      <c r="B569" s="3" t="n">
        <v>45565</v>
      </c>
      <c r="C569" s="2" t="s">
        <v>2160</v>
      </c>
      <c r="D569" s="2" t="s">
        <v>45</v>
      </c>
      <c r="E569" s="2" t="n">
        <v>5</v>
      </c>
      <c r="F569" s="4" t="n">
        <v>492.94</v>
      </c>
      <c r="G569" s="2" t="s">
        <v>1047</v>
      </c>
      <c r="H569" s="2" t="s">
        <v>69</v>
      </c>
      <c r="I569" s="2" t="s">
        <v>23</v>
      </c>
      <c r="J569" s="2" t="s">
        <v>2161</v>
      </c>
      <c r="K569" s="2" t="n">
        <v>10</v>
      </c>
      <c r="L569" s="2" t="s">
        <v>41</v>
      </c>
      <c r="M569" s="2" t="s">
        <v>42</v>
      </c>
      <c r="N569" s="4" t="n">
        <v>2464.7</v>
      </c>
      <c r="O569" s="2" t="str">
        <f aca="false">IF(COUNTIF($A$2:$A$1201,A569)&gt;1,"DUPLICATE","Unique")</f>
        <v>Unique</v>
      </c>
      <c r="P569" s="2" t="str">
        <f aca="false">IF(L569="","MISSING","OK")</f>
        <v>OK</v>
      </c>
      <c r="Q569" s="2" t="str">
        <f aca="false">IF(ISNUMBER(B569),"OK","BAD DATE")</f>
        <v>OK</v>
      </c>
      <c r="R569" s="2" t="str">
        <f aca="false">IF(ROUND(F569,2)=F569,"OK","FIX")</f>
        <v>OK</v>
      </c>
    </row>
    <row r="570" customFormat="false" ht="15" hidden="false" customHeight="false" outlineLevel="0" collapsed="false">
      <c r="A570" s="2" t="s">
        <v>2162</v>
      </c>
      <c r="B570" s="3" t="n">
        <v>44995</v>
      </c>
      <c r="C570" s="2" t="s">
        <v>2163</v>
      </c>
      <c r="D570" s="2" t="s">
        <v>62</v>
      </c>
      <c r="E570" s="2" t="n">
        <v>2</v>
      </c>
      <c r="F570" s="4" t="n">
        <v>343.99</v>
      </c>
      <c r="G570" s="2" t="s">
        <v>1435</v>
      </c>
      <c r="H570" s="2" t="s">
        <v>31</v>
      </c>
      <c r="I570" s="2" t="s">
        <v>54</v>
      </c>
      <c r="J570" s="2" t="s">
        <v>2164</v>
      </c>
      <c r="K570" s="2" t="n">
        <v>4</v>
      </c>
      <c r="L570" s="2"/>
      <c r="M570" s="2" t="s">
        <v>80</v>
      </c>
      <c r="N570" s="4" t="n">
        <v>687.98</v>
      </c>
      <c r="O570" s="2" t="str">
        <f aca="false">IF(COUNTIF($A$2:$A$1201,A570)&gt;1,"DUPLICATE","Unique")</f>
        <v>Unique</v>
      </c>
      <c r="P570" s="2" t="str">
        <f aca="false">IF(L570="","MISSING","OK")</f>
        <v>MISSING</v>
      </c>
      <c r="Q570" s="2" t="str">
        <f aca="false">IF(ISNUMBER(B570),"OK","BAD DATE")</f>
        <v>OK</v>
      </c>
      <c r="R570" s="2" t="str">
        <f aca="false">IF(ROUND(F570,2)=F570,"OK","FIX")</f>
        <v>OK</v>
      </c>
    </row>
    <row r="571" customFormat="false" ht="15" hidden="false" customHeight="false" outlineLevel="0" collapsed="false">
      <c r="A571" s="2" t="s">
        <v>2165</v>
      </c>
      <c r="B571" s="3" t="n">
        <v>45738</v>
      </c>
      <c r="C571" s="2" t="s">
        <v>2166</v>
      </c>
      <c r="D571" s="2" t="s">
        <v>77</v>
      </c>
      <c r="E571" s="2" t="n">
        <v>5</v>
      </c>
      <c r="F571" s="4" t="n">
        <v>250.68</v>
      </c>
      <c r="G571" s="2" t="s">
        <v>1819</v>
      </c>
      <c r="H571" s="2" t="s">
        <v>69</v>
      </c>
      <c r="I571" s="2" t="s">
        <v>23</v>
      </c>
      <c r="J571" s="2" t="s">
        <v>2167</v>
      </c>
      <c r="K571" s="2" t="n">
        <v>8</v>
      </c>
      <c r="L571" s="2" t="s">
        <v>25</v>
      </c>
      <c r="M571" s="2" t="s">
        <v>26</v>
      </c>
      <c r="N571" s="4" t="n">
        <v>1253.4</v>
      </c>
      <c r="O571" s="2" t="str">
        <f aca="false">IF(COUNTIF($A$2:$A$1201,A571)&gt;1,"DUPLICATE","Unique")</f>
        <v>Unique</v>
      </c>
      <c r="P571" s="2" t="str">
        <f aca="false">IF(L571="","MISSING","OK")</f>
        <v>OK</v>
      </c>
      <c r="Q571" s="2" t="str">
        <f aca="false">IF(ISNUMBER(B571),"OK","BAD DATE")</f>
        <v>OK</v>
      </c>
      <c r="R571" s="2" t="str">
        <f aca="false">IF(ROUND(F571,2)=F571,"OK","FIX")</f>
        <v>OK</v>
      </c>
    </row>
    <row r="572" customFormat="false" ht="15" hidden="false" customHeight="false" outlineLevel="0" collapsed="false">
      <c r="A572" s="2" t="s">
        <v>2168</v>
      </c>
      <c r="B572" s="3" t="n">
        <v>45653</v>
      </c>
      <c r="C572" s="2" t="s">
        <v>2169</v>
      </c>
      <c r="D572" s="2" t="s">
        <v>77</v>
      </c>
      <c r="E572" s="2" t="n">
        <v>2</v>
      </c>
      <c r="F572" s="4" t="n">
        <v>362.14</v>
      </c>
      <c r="G572" s="2" t="s">
        <v>498</v>
      </c>
      <c r="H572" s="2" t="s">
        <v>22</v>
      </c>
      <c r="I572" s="2" t="s">
        <v>93</v>
      </c>
      <c r="J572" s="2" t="s">
        <v>2170</v>
      </c>
      <c r="K572" s="2" t="n">
        <v>2</v>
      </c>
      <c r="L572" s="2" t="s">
        <v>25</v>
      </c>
      <c r="M572" s="2" t="s">
        <v>26</v>
      </c>
      <c r="N572" s="4" t="n">
        <v>724.28</v>
      </c>
      <c r="O572" s="2" t="str">
        <f aca="false">IF(COUNTIF($A$2:$A$1201,A572)&gt;1,"DUPLICATE","Unique")</f>
        <v>Unique</v>
      </c>
      <c r="P572" s="2" t="str">
        <f aca="false">IF(L572="","MISSING","OK")</f>
        <v>OK</v>
      </c>
      <c r="Q572" s="2" t="str">
        <f aca="false">IF(ISNUMBER(B572),"OK","BAD DATE")</f>
        <v>OK</v>
      </c>
      <c r="R572" s="2" t="str">
        <f aca="false">IF(ROUND(F572,2)=F572,"OK","FIX")</f>
        <v>OK</v>
      </c>
    </row>
    <row r="573" customFormat="false" ht="15" hidden="false" customHeight="false" outlineLevel="0" collapsed="false">
      <c r="A573" s="2" t="s">
        <v>2171</v>
      </c>
      <c r="B573" s="3" t="n">
        <v>45619</v>
      </c>
      <c r="C573" s="2" t="s">
        <v>2172</v>
      </c>
      <c r="D573" s="2" t="s">
        <v>36</v>
      </c>
      <c r="E573" s="2" t="n">
        <v>1</v>
      </c>
      <c r="F573" s="4" t="n">
        <v>214.08</v>
      </c>
      <c r="G573" s="2" t="s">
        <v>1842</v>
      </c>
      <c r="H573" s="2" t="s">
        <v>64</v>
      </c>
      <c r="I573" s="2" t="s">
        <v>47</v>
      </c>
      <c r="J573" s="2" t="s">
        <v>2173</v>
      </c>
      <c r="K573" s="2" t="n">
        <v>2</v>
      </c>
      <c r="L573" s="2" t="s">
        <v>85</v>
      </c>
      <c r="M573" s="2" t="s">
        <v>80</v>
      </c>
      <c r="N573" s="4" t="n">
        <v>214.08</v>
      </c>
      <c r="O573" s="2" t="str">
        <f aca="false">IF(COUNTIF($A$2:$A$1201,A573)&gt;1,"DUPLICATE","Unique")</f>
        <v>Unique</v>
      </c>
      <c r="P573" s="2" t="str">
        <f aca="false">IF(L573="","MISSING","OK")</f>
        <v>OK</v>
      </c>
      <c r="Q573" s="2" t="str">
        <f aca="false">IF(ISNUMBER(B573),"OK","BAD DATE")</f>
        <v>OK</v>
      </c>
      <c r="R573" s="2" t="str">
        <f aca="false">IF(ROUND(F573,2)=F573,"OK","FIX")</f>
        <v>OK</v>
      </c>
    </row>
    <row r="574" customFormat="false" ht="15" hidden="false" customHeight="false" outlineLevel="0" collapsed="false">
      <c r="A574" s="2" t="s">
        <v>2174</v>
      </c>
      <c r="B574" s="3" t="n">
        <v>45241</v>
      </c>
      <c r="C574" s="2" t="s">
        <v>2175</v>
      </c>
      <c r="D574" s="2" t="s">
        <v>52</v>
      </c>
      <c r="E574" s="2" t="n">
        <v>1</v>
      </c>
      <c r="F574" s="4" t="n">
        <v>70.32</v>
      </c>
      <c r="G574" s="2" t="s">
        <v>1485</v>
      </c>
      <c r="H574" s="2" t="s">
        <v>69</v>
      </c>
      <c r="I574" s="2" t="s">
        <v>47</v>
      </c>
      <c r="J574" s="2" t="s">
        <v>2176</v>
      </c>
      <c r="K574" s="2" t="n">
        <v>4</v>
      </c>
      <c r="L574" s="2" t="s">
        <v>85</v>
      </c>
      <c r="M574" s="2" t="s">
        <v>49</v>
      </c>
      <c r="N574" s="4" t="n">
        <v>70.32</v>
      </c>
      <c r="O574" s="2" t="str">
        <f aca="false">IF(COUNTIF($A$2:$A$1201,A574)&gt;1,"DUPLICATE","Unique")</f>
        <v>Unique</v>
      </c>
      <c r="P574" s="2" t="str">
        <f aca="false">IF(L574="","MISSING","OK")</f>
        <v>OK</v>
      </c>
      <c r="Q574" s="2" t="str">
        <f aca="false">IF(ISNUMBER(B574),"OK","BAD DATE")</f>
        <v>OK</v>
      </c>
      <c r="R574" s="2" t="str">
        <f aca="false">IF(ROUND(F574,2)=F574,"OK","FIX")</f>
        <v>OK</v>
      </c>
    </row>
    <row r="575" customFormat="false" ht="15" hidden="false" customHeight="false" outlineLevel="0" collapsed="false">
      <c r="A575" s="2" t="s">
        <v>2177</v>
      </c>
      <c r="B575" s="3" t="n">
        <v>44951</v>
      </c>
      <c r="C575" s="2" t="s">
        <v>2178</v>
      </c>
      <c r="D575" s="2" t="s">
        <v>45</v>
      </c>
      <c r="E575" s="2" t="n">
        <v>5</v>
      </c>
      <c r="F575" s="4" t="n">
        <v>421.42</v>
      </c>
      <c r="G575" s="2" t="s">
        <v>470</v>
      </c>
      <c r="H575" s="2" t="s">
        <v>22</v>
      </c>
      <c r="I575" s="2" t="s">
        <v>39</v>
      </c>
      <c r="J575" s="2" t="s">
        <v>2179</v>
      </c>
      <c r="K575" s="2" t="n">
        <v>7</v>
      </c>
      <c r="L575" s="2"/>
      <c r="M575" s="2" t="s">
        <v>26</v>
      </c>
      <c r="N575" s="4" t="n">
        <v>2107.1</v>
      </c>
      <c r="O575" s="2" t="str">
        <f aca="false">IF(COUNTIF($A$2:$A$1201,A575)&gt;1,"DUPLICATE","Unique")</f>
        <v>Unique</v>
      </c>
      <c r="P575" s="2" t="str">
        <f aca="false">IF(L575="","MISSING","OK")</f>
        <v>MISSING</v>
      </c>
      <c r="Q575" s="2" t="str">
        <f aca="false">IF(ISNUMBER(B575),"OK","BAD DATE")</f>
        <v>OK</v>
      </c>
      <c r="R575" s="2" t="str">
        <f aca="false">IF(ROUND(F575,2)=F575,"OK","FIX")</f>
        <v>OK</v>
      </c>
    </row>
    <row r="576" customFormat="false" ht="15" hidden="false" customHeight="false" outlineLevel="0" collapsed="false">
      <c r="A576" s="2" t="s">
        <v>2180</v>
      </c>
      <c r="B576" s="3" t="n">
        <v>45315</v>
      </c>
      <c r="C576" s="2" t="s">
        <v>2181</v>
      </c>
      <c r="D576" s="2" t="s">
        <v>45</v>
      </c>
      <c r="E576" s="2" t="n">
        <v>5</v>
      </c>
      <c r="F576" s="4" t="n">
        <v>384.69</v>
      </c>
      <c r="G576" s="2" t="s">
        <v>46</v>
      </c>
      <c r="H576" s="2" t="s">
        <v>38</v>
      </c>
      <c r="I576" s="2" t="s">
        <v>93</v>
      </c>
      <c r="J576" s="2" t="s">
        <v>2182</v>
      </c>
      <c r="K576" s="2" t="n">
        <v>6</v>
      </c>
      <c r="L576" s="2" t="s">
        <v>41</v>
      </c>
      <c r="M576" s="2" t="s">
        <v>42</v>
      </c>
      <c r="N576" s="4" t="n">
        <v>1923.45</v>
      </c>
      <c r="O576" s="2" t="str">
        <f aca="false">IF(COUNTIF($A$2:$A$1201,A576)&gt;1,"DUPLICATE","Unique")</f>
        <v>Unique</v>
      </c>
      <c r="P576" s="2" t="str">
        <f aca="false">IF(L576="","MISSING","OK")</f>
        <v>OK</v>
      </c>
      <c r="Q576" s="2" t="str">
        <f aca="false">IF(ISNUMBER(B576),"OK","BAD DATE")</f>
        <v>OK</v>
      </c>
      <c r="R576" s="2" t="str">
        <f aca="false">IF(ROUND(F576,2)=F576,"OK","FIX")</f>
        <v>OK</v>
      </c>
    </row>
    <row r="577" customFormat="false" ht="15" hidden="false" customHeight="false" outlineLevel="0" collapsed="false">
      <c r="A577" s="2" t="s">
        <v>2183</v>
      </c>
      <c r="B577" s="3" t="n">
        <v>45084</v>
      </c>
      <c r="C577" s="2" t="s">
        <v>2184</v>
      </c>
      <c r="D577" s="2" t="s">
        <v>45</v>
      </c>
      <c r="E577" s="2" t="n">
        <v>5</v>
      </c>
      <c r="F577" s="4" t="n">
        <v>448.15</v>
      </c>
      <c r="G577" s="2" t="s">
        <v>2185</v>
      </c>
      <c r="H577" s="2" t="s">
        <v>64</v>
      </c>
      <c r="I577" s="2" t="s">
        <v>47</v>
      </c>
      <c r="J577" s="2" t="s">
        <v>2186</v>
      </c>
      <c r="K577" s="2" t="n">
        <v>7</v>
      </c>
      <c r="L577" s="2" t="s">
        <v>25</v>
      </c>
      <c r="M577" s="2" t="s">
        <v>80</v>
      </c>
      <c r="N577" s="4" t="n">
        <v>2240.75</v>
      </c>
      <c r="O577" s="2" t="str">
        <f aca="false">IF(COUNTIF($A$2:$A$1201,A577)&gt;1,"DUPLICATE","Unique")</f>
        <v>Unique</v>
      </c>
      <c r="P577" s="2" t="str">
        <f aca="false">IF(L577="","MISSING","OK")</f>
        <v>OK</v>
      </c>
      <c r="Q577" s="2" t="str">
        <f aca="false">IF(ISNUMBER(B577),"OK","BAD DATE")</f>
        <v>OK</v>
      </c>
      <c r="R577" s="2" t="str">
        <f aca="false">IF(ROUND(F577,2)=F577,"OK","FIX")</f>
        <v>OK</v>
      </c>
    </row>
    <row r="578" customFormat="false" ht="15" hidden="false" customHeight="false" outlineLevel="0" collapsed="false">
      <c r="A578" s="2" t="s">
        <v>2187</v>
      </c>
      <c r="B578" s="3" t="n">
        <v>45441</v>
      </c>
      <c r="C578" s="2" t="s">
        <v>2188</v>
      </c>
      <c r="D578" s="2" t="s">
        <v>62</v>
      </c>
      <c r="E578" s="2" t="n">
        <v>5</v>
      </c>
      <c r="F578" s="4" t="n">
        <v>79.08</v>
      </c>
      <c r="G578" s="2" t="s">
        <v>1419</v>
      </c>
      <c r="H578" s="2" t="s">
        <v>69</v>
      </c>
      <c r="I578" s="2" t="s">
        <v>93</v>
      </c>
      <c r="J578" s="2" t="s">
        <v>2189</v>
      </c>
      <c r="K578" s="2" t="n">
        <v>8</v>
      </c>
      <c r="L578" s="2"/>
      <c r="M578" s="2" t="s">
        <v>49</v>
      </c>
      <c r="N578" s="4" t="n">
        <v>395.4</v>
      </c>
      <c r="O578" s="2" t="str">
        <f aca="false">IF(COUNTIF($A$2:$A$1201,A578)&gt;1,"DUPLICATE","Unique")</f>
        <v>Unique</v>
      </c>
      <c r="P578" s="2" t="str">
        <f aca="false">IF(L578="","MISSING","OK")</f>
        <v>MISSING</v>
      </c>
      <c r="Q578" s="2" t="str">
        <f aca="false">IF(ISNUMBER(B578),"OK","BAD DATE")</f>
        <v>OK</v>
      </c>
      <c r="R578" s="2" t="str">
        <f aca="false">IF(ROUND(F578,2)=F578,"OK","FIX")</f>
        <v>OK</v>
      </c>
    </row>
    <row r="579" customFormat="false" ht="15" hidden="false" customHeight="false" outlineLevel="0" collapsed="false">
      <c r="A579" s="2" t="s">
        <v>2190</v>
      </c>
      <c r="B579" s="3" t="n">
        <v>44948</v>
      </c>
      <c r="C579" s="2" t="s">
        <v>2191</v>
      </c>
      <c r="D579" s="2" t="s">
        <v>36</v>
      </c>
      <c r="E579" s="2" t="n">
        <v>4</v>
      </c>
      <c r="F579" s="4" t="n">
        <v>185.41</v>
      </c>
      <c r="G579" s="2" t="s">
        <v>375</v>
      </c>
      <c r="H579" s="2" t="s">
        <v>31</v>
      </c>
      <c r="I579" s="2" t="s">
        <v>47</v>
      </c>
      <c r="J579" s="2" t="s">
        <v>2192</v>
      </c>
      <c r="K579" s="2" t="n">
        <v>9</v>
      </c>
      <c r="L579" s="2" t="s">
        <v>85</v>
      </c>
      <c r="M579" s="2" t="s">
        <v>80</v>
      </c>
      <c r="N579" s="4" t="n">
        <v>741.64</v>
      </c>
      <c r="O579" s="2" t="str">
        <f aca="false">IF(COUNTIF($A$2:$A$1201,A579)&gt;1,"DUPLICATE","Unique")</f>
        <v>Unique</v>
      </c>
      <c r="P579" s="2" t="str">
        <f aca="false">IF(L579="","MISSING","OK")</f>
        <v>OK</v>
      </c>
      <c r="Q579" s="2" t="str">
        <f aca="false">IF(ISNUMBER(B579),"OK","BAD DATE")</f>
        <v>OK</v>
      </c>
      <c r="R579" s="2" t="str">
        <f aca="false">IF(ROUND(F579,2)=F579,"OK","FIX")</f>
        <v>OK</v>
      </c>
    </row>
    <row r="580" customFormat="false" ht="15" hidden="false" customHeight="false" outlineLevel="0" collapsed="false">
      <c r="A580" s="2" t="s">
        <v>2193</v>
      </c>
      <c r="B580" s="3" t="n">
        <v>45575</v>
      </c>
      <c r="C580" s="2" t="s">
        <v>2194</v>
      </c>
      <c r="D580" s="2" t="s">
        <v>20</v>
      </c>
      <c r="E580" s="2" t="n">
        <v>5</v>
      </c>
      <c r="F580" s="4" t="n">
        <v>566.07</v>
      </c>
      <c r="G580" s="2" t="s">
        <v>125</v>
      </c>
      <c r="H580" s="2" t="s">
        <v>38</v>
      </c>
      <c r="I580" s="2" t="s">
        <v>54</v>
      </c>
      <c r="J580" s="2" t="s">
        <v>2195</v>
      </c>
      <c r="K580" s="2" t="n">
        <v>6</v>
      </c>
      <c r="L580" s="2" t="s">
        <v>25</v>
      </c>
      <c r="M580" s="2" t="s">
        <v>26</v>
      </c>
      <c r="N580" s="4" t="n">
        <v>2830.35</v>
      </c>
      <c r="O580" s="2" t="str">
        <f aca="false">IF(COUNTIF($A$2:$A$1201,A580)&gt;1,"DUPLICATE","Unique")</f>
        <v>Unique</v>
      </c>
      <c r="P580" s="2" t="str">
        <f aca="false">IF(L580="","MISSING","OK")</f>
        <v>OK</v>
      </c>
      <c r="Q580" s="2" t="str">
        <f aca="false">IF(ISNUMBER(B580),"OK","BAD DATE")</f>
        <v>OK</v>
      </c>
      <c r="R580" s="2" t="str">
        <f aca="false">IF(ROUND(F580,2)=F580,"OK","FIX")</f>
        <v>OK</v>
      </c>
    </row>
    <row r="581" customFormat="false" ht="15" hidden="false" customHeight="false" outlineLevel="0" collapsed="false">
      <c r="A581" s="2" t="s">
        <v>2196</v>
      </c>
      <c r="B581" s="3" t="n">
        <v>45081</v>
      </c>
      <c r="C581" s="2" t="s">
        <v>2197</v>
      </c>
      <c r="D581" s="2" t="s">
        <v>36</v>
      </c>
      <c r="E581" s="2" t="n">
        <v>2</v>
      </c>
      <c r="F581" s="4" t="n">
        <v>187.88</v>
      </c>
      <c r="G581" s="2" t="s">
        <v>1271</v>
      </c>
      <c r="H581" s="2" t="s">
        <v>31</v>
      </c>
      <c r="I581" s="2" t="s">
        <v>23</v>
      </c>
      <c r="J581" s="2" t="s">
        <v>2198</v>
      </c>
      <c r="K581" s="2" t="n">
        <v>4</v>
      </c>
      <c r="L581" s="2" t="s">
        <v>85</v>
      </c>
      <c r="M581" s="2" t="s">
        <v>49</v>
      </c>
      <c r="N581" s="4" t="n">
        <v>375.76</v>
      </c>
      <c r="O581" s="2" t="str">
        <f aca="false">IF(COUNTIF($A$2:$A$1201,A581)&gt;1,"DUPLICATE","Unique")</f>
        <v>Unique</v>
      </c>
      <c r="P581" s="2" t="str">
        <f aca="false">IF(L581="","MISSING","OK")</f>
        <v>OK</v>
      </c>
      <c r="Q581" s="2" t="str">
        <f aca="false">IF(ISNUMBER(B581),"OK","BAD DATE")</f>
        <v>OK</v>
      </c>
      <c r="R581" s="2" t="str">
        <f aca="false">IF(ROUND(F581,2)=F581,"OK","FIX")</f>
        <v>OK</v>
      </c>
    </row>
    <row r="582" customFormat="false" ht="15" hidden="false" customHeight="false" outlineLevel="0" collapsed="false">
      <c r="A582" s="2" t="s">
        <v>2199</v>
      </c>
      <c r="B582" s="3" t="n">
        <v>45244</v>
      </c>
      <c r="C582" s="2" t="s">
        <v>2200</v>
      </c>
      <c r="D582" s="2" t="s">
        <v>20</v>
      </c>
      <c r="E582" s="2" t="n">
        <v>2</v>
      </c>
      <c r="F582" s="4" t="n">
        <v>255.99</v>
      </c>
      <c r="G582" s="2" t="s">
        <v>2201</v>
      </c>
      <c r="H582" s="2" t="s">
        <v>38</v>
      </c>
      <c r="I582" s="2" t="s">
        <v>54</v>
      </c>
      <c r="J582" s="2" t="s">
        <v>2202</v>
      </c>
      <c r="K582" s="2" t="n">
        <v>4</v>
      </c>
      <c r="L582" s="2" t="s">
        <v>25</v>
      </c>
      <c r="M582" s="2" t="s">
        <v>26</v>
      </c>
      <c r="N582" s="4" t="n">
        <v>511.98</v>
      </c>
      <c r="O582" s="2" t="str">
        <f aca="false">IF(COUNTIF($A$2:$A$1201,A582)&gt;1,"DUPLICATE","Unique")</f>
        <v>Unique</v>
      </c>
      <c r="P582" s="2" t="str">
        <f aca="false">IF(L582="","MISSING","OK")</f>
        <v>OK</v>
      </c>
      <c r="Q582" s="2" t="str">
        <f aca="false">IF(ISNUMBER(B582),"OK","BAD DATE")</f>
        <v>OK</v>
      </c>
      <c r="R582" s="2" t="str">
        <f aca="false">IF(ROUND(F582,2)=F582,"OK","FIX")</f>
        <v>OK</v>
      </c>
    </row>
    <row r="583" customFormat="false" ht="15" hidden="false" customHeight="false" outlineLevel="0" collapsed="false">
      <c r="A583" s="2" t="s">
        <v>2203</v>
      </c>
      <c r="B583" s="3" t="n">
        <v>45607</v>
      </c>
      <c r="C583" s="2" t="s">
        <v>2204</v>
      </c>
      <c r="D583" s="2" t="s">
        <v>62</v>
      </c>
      <c r="E583" s="2" t="n">
        <v>1</v>
      </c>
      <c r="F583" s="4" t="n">
        <v>627.34</v>
      </c>
      <c r="G583" s="2" t="s">
        <v>105</v>
      </c>
      <c r="H583" s="2" t="s">
        <v>31</v>
      </c>
      <c r="I583" s="2" t="s">
        <v>54</v>
      </c>
      <c r="J583" s="2" t="s">
        <v>2205</v>
      </c>
      <c r="K583" s="2" t="n">
        <v>1</v>
      </c>
      <c r="L583" s="2"/>
      <c r="M583" s="2" t="s">
        <v>33</v>
      </c>
      <c r="N583" s="4" t="n">
        <v>627.34</v>
      </c>
      <c r="O583" s="2" t="str">
        <f aca="false">IF(COUNTIF($A$2:$A$1201,A583)&gt;1,"DUPLICATE","Unique")</f>
        <v>Unique</v>
      </c>
      <c r="P583" s="2" t="str">
        <f aca="false">IF(L583="","MISSING","OK")</f>
        <v>MISSING</v>
      </c>
      <c r="Q583" s="2" t="str">
        <f aca="false">IF(ISNUMBER(B583),"OK","BAD DATE")</f>
        <v>OK</v>
      </c>
      <c r="R583" s="2" t="str">
        <f aca="false">IF(ROUND(F583,2)=F583,"OK","FIX")</f>
        <v>OK</v>
      </c>
    </row>
    <row r="584" customFormat="false" ht="15" hidden="false" customHeight="false" outlineLevel="0" collapsed="false">
      <c r="A584" s="2" t="s">
        <v>2206</v>
      </c>
      <c r="B584" s="3" t="n">
        <v>45341</v>
      </c>
      <c r="C584" s="2" t="s">
        <v>2207</v>
      </c>
      <c r="D584" s="2" t="s">
        <v>36</v>
      </c>
      <c r="E584" s="2" t="n">
        <v>3</v>
      </c>
      <c r="F584" s="4" t="n">
        <v>474.14</v>
      </c>
      <c r="G584" s="2" t="s">
        <v>1529</v>
      </c>
      <c r="H584" s="2" t="s">
        <v>64</v>
      </c>
      <c r="I584" s="2" t="s">
        <v>23</v>
      </c>
      <c r="J584" s="2" t="s">
        <v>2208</v>
      </c>
      <c r="K584" s="2" t="n">
        <v>8</v>
      </c>
      <c r="L584" s="2" t="s">
        <v>85</v>
      </c>
      <c r="M584" s="2" t="s">
        <v>80</v>
      </c>
      <c r="N584" s="4" t="n">
        <v>1422.42</v>
      </c>
      <c r="O584" s="2" t="str">
        <f aca="false">IF(COUNTIF($A$2:$A$1201,A584)&gt;1,"DUPLICATE","Unique")</f>
        <v>Unique</v>
      </c>
      <c r="P584" s="2" t="str">
        <f aca="false">IF(L584="","MISSING","OK")</f>
        <v>OK</v>
      </c>
      <c r="Q584" s="2" t="str">
        <f aca="false">IF(ISNUMBER(B584),"OK","BAD DATE")</f>
        <v>OK</v>
      </c>
      <c r="R584" s="2" t="str">
        <f aca="false">IF(ROUND(F584,2)=F584,"OK","FIX")</f>
        <v>OK</v>
      </c>
    </row>
    <row r="585" customFormat="false" ht="15" hidden="false" customHeight="false" outlineLevel="0" collapsed="false">
      <c r="A585" s="2" t="s">
        <v>2209</v>
      </c>
      <c r="B585" s="3" t="n">
        <v>45823</v>
      </c>
      <c r="C585" s="2" t="s">
        <v>2210</v>
      </c>
      <c r="D585" s="2" t="s">
        <v>45</v>
      </c>
      <c r="E585" s="2" t="n">
        <v>3</v>
      </c>
      <c r="F585" s="4" t="n">
        <v>154.37</v>
      </c>
      <c r="G585" s="2" t="s">
        <v>169</v>
      </c>
      <c r="H585" s="2" t="s">
        <v>64</v>
      </c>
      <c r="I585" s="2" t="s">
        <v>54</v>
      </c>
      <c r="J585" s="2" t="s">
        <v>2211</v>
      </c>
      <c r="K585" s="2" t="n">
        <v>4</v>
      </c>
      <c r="L585" s="2"/>
      <c r="M585" s="2" t="s">
        <v>26</v>
      </c>
      <c r="N585" s="4" t="n">
        <v>463.11</v>
      </c>
      <c r="O585" s="2" t="str">
        <f aca="false">IF(COUNTIF($A$2:$A$1201,A585)&gt;1,"DUPLICATE","Unique")</f>
        <v>Unique</v>
      </c>
      <c r="P585" s="2" t="str">
        <f aca="false">IF(L585="","MISSING","OK")</f>
        <v>MISSING</v>
      </c>
      <c r="Q585" s="2" t="str">
        <f aca="false">IF(ISNUMBER(B585),"OK","BAD DATE")</f>
        <v>OK</v>
      </c>
      <c r="R585" s="2" t="str">
        <f aca="false">IF(ROUND(F585,2)=F585,"OK","FIX")</f>
        <v>OK</v>
      </c>
    </row>
    <row r="586" customFormat="false" ht="15" hidden="false" customHeight="false" outlineLevel="0" collapsed="false">
      <c r="A586" s="2" t="s">
        <v>2212</v>
      </c>
      <c r="B586" s="3" t="n">
        <v>45737</v>
      </c>
      <c r="C586" s="2" t="s">
        <v>2213</v>
      </c>
      <c r="D586" s="2" t="s">
        <v>45</v>
      </c>
      <c r="E586" s="2" t="n">
        <v>4</v>
      </c>
      <c r="F586" s="4" t="n">
        <v>145.05</v>
      </c>
      <c r="G586" s="2" t="s">
        <v>2214</v>
      </c>
      <c r="H586" s="2" t="s">
        <v>31</v>
      </c>
      <c r="I586" s="2" t="s">
        <v>54</v>
      </c>
      <c r="J586" s="2" t="s">
        <v>2215</v>
      </c>
      <c r="K586" s="2" t="n">
        <v>6</v>
      </c>
      <c r="L586" s="2" t="s">
        <v>25</v>
      </c>
      <c r="M586" s="2" t="s">
        <v>80</v>
      </c>
      <c r="N586" s="4" t="n">
        <v>580.2</v>
      </c>
      <c r="O586" s="2" t="str">
        <f aca="false">IF(COUNTIF($A$2:$A$1201,A586)&gt;1,"DUPLICATE","Unique")</f>
        <v>Unique</v>
      </c>
      <c r="P586" s="2" t="str">
        <f aca="false">IF(L586="","MISSING","OK")</f>
        <v>OK</v>
      </c>
      <c r="Q586" s="2" t="str">
        <f aca="false">IF(ISNUMBER(B586),"OK","BAD DATE")</f>
        <v>OK</v>
      </c>
      <c r="R586" s="2" t="str">
        <f aca="false">IF(ROUND(F586,2)=F586,"OK","FIX")</f>
        <v>OK</v>
      </c>
    </row>
    <row r="587" customFormat="false" ht="15" hidden="false" customHeight="false" outlineLevel="0" collapsed="false">
      <c r="A587" s="2" t="s">
        <v>2216</v>
      </c>
      <c r="B587" s="3" t="n">
        <v>45158</v>
      </c>
      <c r="C587" s="2" t="s">
        <v>2217</v>
      </c>
      <c r="D587" s="2" t="s">
        <v>36</v>
      </c>
      <c r="E587" s="2" t="n">
        <v>4</v>
      </c>
      <c r="F587" s="4" t="n">
        <v>67.08</v>
      </c>
      <c r="G587" s="2" t="s">
        <v>1412</v>
      </c>
      <c r="H587" s="2" t="s">
        <v>69</v>
      </c>
      <c r="I587" s="2" t="s">
        <v>47</v>
      </c>
      <c r="J587" s="2" t="s">
        <v>2218</v>
      </c>
      <c r="K587" s="2" t="n">
        <v>8</v>
      </c>
      <c r="L587" s="2" t="s">
        <v>85</v>
      </c>
      <c r="M587" s="2" t="s">
        <v>80</v>
      </c>
      <c r="N587" s="4" t="n">
        <v>268.32</v>
      </c>
      <c r="O587" s="2" t="str">
        <f aca="false">IF(COUNTIF($A$2:$A$1201,A587)&gt;1,"DUPLICATE","Unique")</f>
        <v>Unique</v>
      </c>
      <c r="P587" s="2" t="str">
        <f aca="false">IF(L587="","MISSING","OK")</f>
        <v>OK</v>
      </c>
      <c r="Q587" s="2" t="str">
        <f aca="false">IF(ISNUMBER(B587),"OK","BAD DATE")</f>
        <v>OK</v>
      </c>
      <c r="R587" s="2" t="str">
        <f aca="false">IF(ROUND(F587,2)=F587,"OK","FIX")</f>
        <v>OK</v>
      </c>
    </row>
    <row r="588" customFormat="false" ht="15" hidden="false" customHeight="false" outlineLevel="0" collapsed="false">
      <c r="A588" s="2" t="s">
        <v>2219</v>
      </c>
      <c r="B588" s="3" t="n">
        <v>45606</v>
      </c>
      <c r="C588" s="2" t="s">
        <v>2220</v>
      </c>
      <c r="D588" s="2" t="s">
        <v>20</v>
      </c>
      <c r="E588" s="2" t="n">
        <v>1</v>
      </c>
      <c r="F588" s="4" t="n">
        <v>522.08</v>
      </c>
      <c r="G588" s="2" t="s">
        <v>2221</v>
      </c>
      <c r="H588" s="2" t="s">
        <v>64</v>
      </c>
      <c r="I588" s="2" t="s">
        <v>47</v>
      </c>
      <c r="J588" s="2" t="s">
        <v>2222</v>
      </c>
      <c r="K588" s="2" t="n">
        <v>5</v>
      </c>
      <c r="L588" s="2" t="s">
        <v>41</v>
      </c>
      <c r="M588" s="2" t="s">
        <v>33</v>
      </c>
      <c r="N588" s="4" t="n">
        <v>522.08</v>
      </c>
      <c r="O588" s="2" t="str">
        <f aca="false">IF(COUNTIF($A$2:$A$1201,A588)&gt;1,"DUPLICATE","Unique")</f>
        <v>Unique</v>
      </c>
      <c r="P588" s="2" t="str">
        <f aca="false">IF(L588="","MISSING","OK")</f>
        <v>OK</v>
      </c>
      <c r="Q588" s="2" t="str">
        <f aca="false">IF(ISNUMBER(B588),"OK","BAD DATE")</f>
        <v>OK</v>
      </c>
      <c r="R588" s="2" t="str">
        <f aca="false">IF(ROUND(F588,2)=F588,"OK","FIX")</f>
        <v>OK</v>
      </c>
    </row>
    <row r="589" customFormat="false" ht="15" hidden="false" customHeight="false" outlineLevel="0" collapsed="false">
      <c r="A589" s="2" t="s">
        <v>2223</v>
      </c>
      <c r="B589" s="3" t="n">
        <v>45089</v>
      </c>
      <c r="C589" s="2" t="s">
        <v>2224</v>
      </c>
      <c r="D589" s="2" t="s">
        <v>20</v>
      </c>
      <c r="E589" s="2" t="n">
        <v>5</v>
      </c>
      <c r="F589" s="4" t="n">
        <v>514.6</v>
      </c>
      <c r="G589" s="2" t="s">
        <v>2225</v>
      </c>
      <c r="H589" s="2" t="s">
        <v>64</v>
      </c>
      <c r="I589" s="2" t="s">
        <v>54</v>
      </c>
      <c r="J589" s="2" t="s">
        <v>2226</v>
      </c>
      <c r="K589" s="2" t="n">
        <v>10</v>
      </c>
      <c r="L589" s="2" t="s">
        <v>41</v>
      </c>
      <c r="M589" s="2" t="s">
        <v>26</v>
      </c>
      <c r="N589" s="4" t="n">
        <v>2573</v>
      </c>
      <c r="O589" s="2" t="str">
        <f aca="false">IF(COUNTIF($A$2:$A$1201,A589)&gt;1,"DUPLICATE","Unique")</f>
        <v>Unique</v>
      </c>
      <c r="P589" s="2" t="str">
        <f aca="false">IF(L589="","MISSING","OK")</f>
        <v>OK</v>
      </c>
      <c r="Q589" s="2" t="str">
        <f aca="false">IF(ISNUMBER(B589),"OK","BAD DATE")</f>
        <v>OK</v>
      </c>
      <c r="R589" s="2" t="str">
        <f aca="false">IF(ROUND(F589,2)=F589,"OK","FIX")</f>
        <v>OK</v>
      </c>
    </row>
    <row r="590" customFormat="false" ht="15" hidden="false" customHeight="false" outlineLevel="0" collapsed="false">
      <c r="A590" s="2" t="s">
        <v>2227</v>
      </c>
      <c r="B590" s="3" t="n">
        <v>45636</v>
      </c>
      <c r="C590" s="2" t="s">
        <v>2228</v>
      </c>
      <c r="D590" s="2" t="s">
        <v>20</v>
      </c>
      <c r="E590" s="2" t="n">
        <v>4</v>
      </c>
      <c r="F590" s="4" t="n">
        <v>577.82</v>
      </c>
      <c r="G590" s="2" t="s">
        <v>277</v>
      </c>
      <c r="H590" s="2" t="s">
        <v>38</v>
      </c>
      <c r="I590" s="2" t="s">
        <v>54</v>
      </c>
      <c r="J590" s="2" t="s">
        <v>2229</v>
      </c>
      <c r="K590" s="2" t="n">
        <v>9</v>
      </c>
      <c r="L590" s="2"/>
      <c r="M590" s="2" t="s">
        <v>80</v>
      </c>
      <c r="N590" s="4" t="n">
        <v>2311.28</v>
      </c>
      <c r="O590" s="2" t="str">
        <f aca="false">IF(COUNTIF($A$2:$A$1201,A590)&gt;1,"DUPLICATE","Unique")</f>
        <v>Unique</v>
      </c>
      <c r="P590" s="2" t="str">
        <f aca="false">IF(L590="","MISSING","OK")</f>
        <v>MISSING</v>
      </c>
      <c r="Q590" s="2" t="str">
        <f aca="false">IF(ISNUMBER(B590),"OK","BAD DATE")</f>
        <v>OK</v>
      </c>
      <c r="R590" s="2" t="str">
        <f aca="false">IF(ROUND(F590,2)=F590,"OK","FIX")</f>
        <v>OK</v>
      </c>
    </row>
    <row r="591" customFormat="false" ht="15" hidden="false" customHeight="false" outlineLevel="0" collapsed="false">
      <c r="A591" s="2" t="s">
        <v>2230</v>
      </c>
      <c r="B591" s="3" t="n">
        <v>45698</v>
      </c>
      <c r="C591" s="2" t="s">
        <v>2231</v>
      </c>
      <c r="D591" s="2" t="s">
        <v>62</v>
      </c>
      <c r="E591" s="2" t="n">
        <v>2</v>
      </c>
      <c r="F591" s="4" t="n">
        <v>500.8</v>
      </c>
      <c r="G591" s="2" t="s">
        <v>2232</v>
      </c>
      <c r="H591" s="2" t="s">
        <v>69</v>
      </c>
      <c r="I591" s="2" t="s">
        <v>54</v>
      </c>
      <c r="J591" s="2" t="s">
        <v>2233</v>
      </c>
      <c r="K591" s="2" t="n">
        <v>3</v>
      </c>
      <c r="L591" s="2" t="s">
        <v>41</v>
      </c>
      <c r="M591" s="2" t="s">
        <v>33</v>
      </c>
      <c r="N591" s="4" t="n">
        <v>1001.6</v>
      </c>
      <c r="O591" s="2" t="str">
        <f aca="false">IF(COUNTIF($A$2:$A$1201,A591)&gt;1,"DUPLICATE","Unique")</f>
        <v>Unique</v>
      </c>
      <c r="P591" s="2" t="str">
        <f aca="false">IF(L591="","MISSING","OK")</f>
        <v>OK</v>
      </c>
      <c r="Q591" s="2" t="str">
        <f aca="false">IF(ISNUMBER(B591),"OK","BAD DATE")</f>
        <v>OK</v>
      </c>
      <c r="R591" s="2" t="str">
        <f aca="false">IF(ROUND(F591,2)=F591,"OK","FIX")</f>
        <v>OK</v>
      </c>
    </row>
    <row r="592" customFormat="false" ht="15" hidden="false" customHeight="false" outlineLevel="0" collapsed="false">
      <c r="A592" s="2" t="s">
        <v>2234</v>
      </c>
      <c r="B592" s="3" t="n">
        <v>45179</v>
      </c>
      <c r="C592" s="2" t="s">
        <v>2235</v>
      </c>
      <c r="D592" s="2" t="s">
        <v>52</v>
      </c>
      <c r="E592" s="2" t="n">
        <v>2</v>
      </c>
      <c r="F592" s="4" t="n">
        <v>461.13</v>
      </c>
      <c r="G592" s="2" t="s">
        <v>2236</v>
      </c>
      <c r="H592" s="2" t="s">
        <v>64</v>
      </c>
      <c r="I592" s="2" t="s">
        <v>47</v>
      </c>
      <c r="J592" s="2" t="s">
        <v>2237</v>
      </c>
      <c r="K592" s="2" t="n">
        <v>4</v>
      </c>
      <c r="L592" s="2"/>
      <c r="M592" s="2" t="s">
        <v>42</v>
      </c>
      <c r="N592" s="4" t="n">
        <v>922.26</v>
      </c>
      <c r="O592" s="2" t="str">
        <f aca="false">IF(COUNTIF($A$2:$A$1201,A592)&gt;1,"DUPLICATE","Unique")</f>
        <v>Unique</v>
      </c>
      <c r="P592" s="2" t="str">
        <f aca="false">IF(L592="","MISSING","OK")</f>
        <v>MISSING</v>
      </c>
      <c r="Q592" s="2" t="str">
        <f aca="false">IF(ISNUMBER(B592),"OK","BAD DATE")</f>
        <v>OK</v>
      </c>
      <c r="R592" s="2" t="str">
        <f aca="false">IF(ROUND(F592,2)=F592,"OK","FIX")</f>
        <v>OK</v>
      </c>
    </row>
    <row r="593" customFormat="false" ht="15" hidden="false" customHeight="false" outlineLevel="0" collapsed="false">
      <c r="A593" s="2" t="s">
        <v>2238</v>
      </c>
      <c r="B593" s="3" t="n">
        <v>45614</v>
      </c>
      <c r="C593" s="2" t="s">
        <v>2239</v>
      </c>
      <c r="D593" s="2" t="s">
        <v>62</v>
      </c>
      <c r="E593" s="2" t="n">
        <v>1</v>
      </c>
      <c r="F593" s="4" t="n">
        <v>605.28</v>
      </c>
      <c r="G593" s="2" t="s">
        <v>2240</v>
      </c>
      <c r="H593" s="2" t="s">
        <v>64</v>
      </c>
      <c r="I593" s="2" t="s">
        <v>23</v>
      </c>
      <c r="J593" s="2" t="s">
        <v>2241</v>
      </c>
      <c r="K593" s="2" t="n">
        <v>3</v>
      </c>
      <c r="L593" s="2" t="s">
        <v>41</v>
      </c>
      <c r="M593" s="2" t="s">
        <v>33</v>
      </c>
      <c r="N593" s="4" t="n">
        <v>605.28</v>
      </c>
      <c r="O593" s="2" t="str">
        <f aca="false">IF(COUNTIF($A$2:$A$1201,A593)&gt;1,"DUPLICATE","Unique")</f>
        <v>Unique</v>
      </c>
      <c r="P593" s="2" t="str">
        <f aca="false">IF(L593="","MISSING","OK")</f>
        <v>OK</v>
      </c>
      <c r="Q593" s="2" t="str">
        <f aca="false">IF(ISNUMBER(B593),"OK","BAD DATE")</f>
        <v>OK</v>
      </c>
      <c r="R593" s="2" t="str">
        <f aca="false">IF(ROUND(F593,2)=F593,"OK","FIX")</f>
        <v>OK</v>
      </c>
    </row>
    <row r="594" customFormat="false" ht="15" hidden="false" customHeight="false" outlineLevel="0" collapsed="false">
      <c r="A594" s="2" t="s">
        <v>2242</v>
      </c>
      <c r="B594" s="3" t="n">
        <v>45405</v>
      </c>
      <c r="C594" s="2" t="s">
        <v>2243</v>
      </c>
      <c r="D594" s="2" t="s">
        <v>29</v>
      </c>
      <c r="E594" s="2" t="n">
        <v>3</v>
      </c>
      <c r="F594" s="4" t="n">
        <v>204.27</v>
      </c>
      <c r="G594" s="2" t="s">
        <v>2025</v>
      </c>
      <c r="H594" s="2" t="s">
        <v>31</v>
      </c>
      <c r="I594" s="2" t="s">
        <v>47</v>
      </c>
      <c r="J594" s="2" t="s">
        <v>2244</v>
      </c>
      <c r="K594" s="2" t="n">
        <v>4</v>
      </c>
      <c r="L594" s="2"/>
      <c r="M594" s="2" t="s">
        <v>80</v>
      </c>
      <c r="N594" s="4" t="n">
        <v>612.81</v>
      </c>
      <c r="O594" s="2" t="str">
        <f aca="false">IF(COUNTIF($A$2:$A$1201,A594)&gt;1,"DUPLICATE","Unique")</f>
        <v>Unique</v>
      </c>
      <c r="P594" s="2" t="str">
        <f aca="false">IF(L594="","MISSING","OK")</f>
        <v>MISSING</v>
      </c>
      <c r="Q594" s="2" t="str">
        <f aca="false">IF(ISNUMBER(B594),"OK","BAD DATE")</f>
        <v>OK</v>
      </c>
      <c r="R594" s="2" t="str">
        <f aca="false">IF(ROUND(F594,2)=F594,"OK","FIX")</f>
        <v>OK</v>
      </c>
    </row>
    <row r="595" customFormat="false" ht="15" hidden="false" customHeight="false" outlineLevel="0" collapsed="false">
      <c r="A595" s="2" t="s">
        <v>2245</v>
      </c>
      <c r="B595" s="3" t="n">
        <v>45140</v>
      </c>
      <c r="C595" s="2" t="s">
        <v>2246</v>
      </c>
      <c r="D595" s="2" t="s">
        <v>20</v>
      </c>
      <c r="E595" s="2" t="n">
        <v>1</v>
      </c>
      <c r="F595" s="4" t="n">
        <v>489.8</v>
      </c>
      <c r="G595" s="2" t="s">
        <v>569</v>
      </c>
      <c r="H595" s="2" t="s">
        <v>64</v>
      </c>
      <c r="I595" s="2" t="s">
        <v>23</v>
      </c>
      <c r="J595" s="2" t="s">
        <v>2247</v>
      </c>
      <c r="K595" s="2" t="n">
        <v>4</v>
      </c>
      <c r="L595" s="2" t="s">
        <v>41</v>
      </c>
      <c r="M595" s="2" t="s">
        <v>49</v>
      </c>
      <c r="N595" s="4" t="n">
        <v>489.8</v>
      </c>
      <c r="O595" s="2" t="str">
        <f aca="false">IF(COUNTIF($A$2:$A$1201,A595)&gt;1,"DUPLICATE","Unique")</f>
        <v>Unique</v>
      </c>
      <c r="P595" s="2" t="str">
        <f aca="false">IF(L595="","MISSING","OK")</f>
        <v>OK</v>
      </c>
      <c r="Q595" s="2" t="str">
        <f aca="false">IF(ISNUMBER(B595),"OK","BAD DATE")</f>
        <v>OK</v>
      </c>
      <c r="R595" s="2" t="str">
        <f aca="false">IF(ROUND(F595,2)=F595,"OK","FIX")</f>
        <v>OK</v>
      </c>
    </row>
    <row r="596" customFormat="false" ht="15" hidden="false" customHeight="false" outlineLevel="0" collapsed="false">
      <c r="A596" s="2" t="s">
        <v>2248</v>
      </c>
      <c r="B596" s="3" t="n">
        <v>45343</v>
      </c>
      <c r="C596" s="2" t="s">
        <v>2249</v>
      </c>
      <c r="D596" s="2" t="s">
        <v>29</v>
      </c>
      <c r="E596" s="2" t="n">
        <v>5</v>
      </c>
      <c r="F596" s="4" t="n">
        <v>72.64</v>
      </c>
      <c r="G596" s="2" t="s">
        <v>584</v>
      </c>
      <c r="H596" s="2" t="s">
        <v>38</v>
      </c>
      <c r="I596" s="2" t="s">
        <v>39</v>
      </c>
      <c r="J596" s="2" t="s">
        <v>2250</v>
      </c>
      <c r="K596" s="2" t="n">
        <v>7</v>
      </c>
      <c r="L596" s="2"/>
      <c r="M596" s="2" t="s">
        <v>42</v>
      </c>
      <c r="N596" s="4" t="n">
        <v>363.2</v>
      </c>
      <c r="O596" s="2" t="str">
        <f aca="false">IF(COUNTIF($A$2:$A$1201,A596)&gt;1,"DUPLICATE","Unique")</f>
        <v>Unique</v>
      </c>
      <c r="P596" s="2" t="str">
        <f aca="false">IF(L596="","MISSING","OK")</f>
        <v>MISSING</v>
      </c>
      <c r="Q596" s="2" t="str">
        <f aca="false">IF(ISNUMBER(B596),"OK","BAD DATE")</f>
        <v>OK</v>
      </c>
      <c r="R596" s="2" t="str">
        <f aca="false">IF(ROUND(F596,2)=F596,"OK","FIX")</f>
        <v>OK</v>
      </c>
    </row>
    <row r="597" customFormat="false" ht="15" hidden="false" customHeight="false" outlineLevel="0" collapsed="false">
      <c r="A597" s="2" t="s">
        <v>2251</v>
      </c>
      <c r="B597" s="3" t="n">
        <v>45667</v>
      </c>
      <c r="C597" s="2" t="s">
        <v>2252</v>
      </c>
      <c r="D597" s="2" t="s">
        <v>52</v>
      </c>
      <c r="E597" s="2" t="n">
        <v>2</v>
      </c>
      <c r="F597" s="4" t="n">
        <v>385.16</v>
      </c>
      <c r="G597" s="2" t="s">
        <v>2253</v>
      </c>
      <c r="H597" s="2" t="s">
        <v>31</v>
      </c>
      <c r="I597" s="2" t="s">
        <v>93</v>
      </c>
      <c r="J597" s="2" t="s">
        <v>2254</v>
      </c>
      <c r="K597" s="2" t="n">
        <v>7</v>
      </c>
      <c r="L597" s="2" t="s">
        <v>25</v>
      </c>
      <c r="M597" s="2" t="s">
        <v>42</v>
      </c>
      <c r="N597" s="4" t="n">
        <v>770.32</v>
      </c>
      <c r="O597" s="2" t="str">
        <f aca="false">IF(COUNTIF($A$2:$A$1201,A597)&gt;1,"DUPLICATE","Unique")</f>
        <v>Unique</v>
      </c>
      <c r="P597" s="2" t="str">
        <f aca="false">IF(L597="","MISSING","OK")</f>
        <v>OK</v>
      </c>
      <c r="Q597" s="2" t="str">
        <f aca="false">IF(ISNUMBER(B597),"OK","BAD DATE")</f>
        <v>OK</v>
      </c>
      <c r="R597" s="2" t="str">
        <f aca="false">IF(ROUND(F597,2)=F597,"OK","FIX")</f>
        <v>OK</v>
      </c>
    </row>
    <row r="598" customFormat="false" ht="15" hidden="false" customHeight="false" outlineLevel="0" collapsed="false">
      <c r="A598" s="2" t="s">
        <v>2255</v>
      </c>
      <c r="B598" s="3" t="n">
        <v>45089</v>
      </c>
      <c r="C598" s="2" t="s">
        <v>2256</v>
      </c>
      <c r="D598" s="2" t="s">
        <v>77</v>
      </c>
      <c r="E598" s="2" t="n">
        <v>3</v>
      </c>
      <c r="F598" s="4" t="n">
        <v>606.41</v>
      </c>
      <c r="G598" s="2" t="s">
        <v>2257</v>
      </c>
      <c r="H598" s="2" t="s">
        <v>22</v>
      </c>
      <c r="I598" s="2" t="s">
        <v>47</v>
      </c>
      <c r="J598" s="2" t="s">
        <v>2258</v>
      </c>
      <c r="K598" s="2" t="n">
        <v>7</v>
      </c>
      <c r="L598" s="2" t="s">
        <v>41</v>
      </c>
      <c r="M598" s="2" t="s">
        <v>49</v>
      </c>
      <c r="N598" s="4" t="n">
        <v>1819.23</v>
      </c>
      <c r="O598" s="2" t="str">
        <f aca="false">IF(COUNTIF($A$2:$A$1201,A598)&gt;1,"DUPLICATE","Unique")</f>
        <v>Unique</v>
      </c>
      <c r="P598" s="2" t="str">
        <f aca="false">IF(L598="","MISSING","OK")</f>
        <v>OK</v>
      </c>
      <c r="Q598" s="2" t="str">
        <f aca="false">IF(ISNUMBER(B598),"OK","BAD DATE")</f>
        <v>OK</v>
      </c>
      <c r="R598" s="2" t="str">
        <f aca="false">IF(ROUND(F598,2)=F598,"OK","FIX")</f>
        <v>OK</v>
      </c>
    </row>
    <row r="599" customFormat="false" ht="15" hidden="false" customHeight="false" outlineLevel="0" collapsed="false">
      <c r="A599" s="2" t="s">
        <v>2259</v>
      </c>
      <c r="B599" s="3" t="n">
        <v>45621</v>
      </c>
      <c r="C599" s="2" t="s">
        <v>2260</v>
      </c>
      <c r="D599" s="2" t="s">
        <v>77</v>
      </c>
      <c r="E599" s="2" t="n">
        <v>2</v>
      </c>
      <c r="F599" s="4" t="n">
        <v>211.82</v>
      </c>
      <c r="G599" s="2" t="s">
        <v>2261</v>
      </c>
      <c r="H599" s="2" t="s">
        <v>64</v>
      </c>
      <c r="I599" s="2" t="s">
        <v>39</v>
      </c>
      <c r="J599" s="2" t="s">
        <v>2262</v>
      </c>
      <c r="K599" s="2" t="n">
        <v>4</v>
      </c>
      <c r="L599" s="2" t="s">
        <v>85</v>
      </c>
      <c r="M599" s="2" t="s">
        <v>42</v>
      </c>
      <c r="N599" s="4" t="n">
        <v>423.64</v>
      </c>
      <c r="O599" s="2" t="str">
        <f aca="false">IF(COUNTIF($A$2:$A$1201,A599)&gt;1,"DUPLICATE","Unique")</f>
        <v>Unique</v>
      </c>
      <c r="P599" s="2" t="str">
        <f aca="false">IF(L599="","MISSING","OK")</f>
        <v>OK</v>
      </c>
      <c r="Q599" s="2" t="str">
        <f aca="false">IF(ISNUMBER(B599),"OK","BAD DATE")</f>
        <v>OK</v>
      </c>
      <c r="R599" s="2" t="str">
        <f aca="false">IF(ROUND(F599,2)=F599,"OK","FIX")</f>
        <v>OK</v>
      </c>
    </row>
    <row r="600" customFormat="false" ht="15" hidden="false" customHeight="false" outlineLevel="0" collapsed="false">
      <c r="A600" s="2" t="s">
        <v>2263</v>
      </c>
      <c r="B600" s="3" t="n">
        <v>45408</v>
      </c>
      <c r="C600" s="2" t="s">
        <v>2264</v>
      </c>
      <c r="D600" s="2" t="s">
        <v>77</v>
      </c>
      <c r="E600" s="2" t="n">
        <v>5</v>
      </c>
      <c r="F600" s="4" t="n">
        <v>495.35</v>
      </c>
      <c r="G600" s="2" t="s">
        <v>1348</v>
      </c>
      <c r="H600" s="2" t="s">
        <v>38</v>
      </c>
      <c r="I600" s="2" t="s">
        <v>93</v>
      </c>
      <c r="J600" s="2" t="s">
        <v>2265</v>
      </c>
      <c r="K600" s="2" t="n">
        <v>5</v>
      </c>
      <c r="L600" s="2"/>
      <c r="M600" s="2" t="s">
        <v>49</v>
      </c>
      <c r="N600" s="4" t="n">
        <v>2476.75</v>
      </c>
      <c r="O600" s="2" t="str">
        <f aca="false">IF(COUNTIF($A$2:$A$1201,A600)&gt;1,"DUPLICATE","Unique")</f>
        <v>Unique</v>
      </c>
      <c r="P600" s="2" t="str">
        <f aca="false">IF(L600="","MISSING","OK")</f>
        <v>MISSING</v>
      </c>
      <c r="Q600" s="2" t="str">
        <f aca="false">IF(ISNUMBER(B600),"OK","BAD DATE")</f>
        <v>OK</v>
      </c>
      <c r="R600" s="2" t="str">
        <f aca="false">IF(ROUND(F600,2)=F600,"OK","FIX")</f>
        <v>OK</v>
      </c>
    </row>
    <row r="601" customFormat="false" ht="15" hidden="false" customHeight="false" outlineLevel="0" collapsed="false">
      <c r="A601" s="2" t="s">
        <v>2266</v>
      </c>
      <c r="B601" s="3" t="n">
        <v>45107</v>
      </c>
      <c r="C601" s="2" t="s">
        <v>2267</v>
      </c>
      <c r="D601" s="2" t="s">
        <v>45</v>
      </c>
      <c r="E601" s="2" t="n">
        <v>3</v>
      </c>
      <c r="F601" s="4" t="n">
        <v>556.99</v>
      </c>
      <c r="G601" s="2" t="s">
        <v>1613</v>
      </c>
      <c r="H601" s="2" t="s">
        <v>31</v>
      </c>
      <c r="I601" s="2" t="s">
        <v>39</v>
      </c>
      <c r="J601" s="2" t="s">
        <v>2268</v>
      </c>
      <c r="K601" s="2" t="n">
        <v>4</v>
      </c>
      <c r="L601" s="2" t="s">
        <v>41</v>
      </c>
      <c r="M601" s="2" t="s">
        <v>49</v>
      </c>
      <c r="N601" s="4" t="n">
        <v>1670.97</v>
      </c>
      <c r="O601" s="2" t="str">
        <f aca="false">IF(COUNTIF($A$2:$A$1201,A601)&gt;1,"DUPLICATE","Unique")</f>
        <v>Unique</v>
      </c>
      <c r="P601" s="2" t="str">
        <f aca="false">IF(L601="","MISSING","OK")</f>
        <v>OK</v>
      </c>
      <c r="Q601" s="2" t="str">
        <f aca="false">IF(ISNUMBER(B601),"OK","BAD DATE")</f>
        <v>OK</v>
      </c>
      <c r="R601" s="2" t="str">
        <f aca="false">IF(ROUND(F601,2)=F601,"OK","FIX")</f>
        <v>OK</v>
      </c>
    </row>
    <row r="602" customFormat="false" ht="15" hidden="false" customHeight="false" outlineLevel="0" collapsed="false">
      <c r="A602" s="2" t="s">
        <v>2269</v>
      </c>
      <c r="B602" s="3" t="n">
        <v>45072</v>
      </c>
      <c r="C602" s="2" t="s">
        <v>2270</v>
      </c>
      <c r="D602" s="2" t="s">
        <v>52</v>
      </c>
      <c r="E602" s="2" t="n">
        <v>1</v>
      </c>
      <c r="F602" s="4" t="n">
        <v>72.31</v>
      </c>
      <c r="G602" s="2" t="s">
        <v>1051</v>
      </c>
      <c r="H602" s="2" t="s">
        <v>64</v>
      </c>
      <c r="I602" s="2" t="s">
        <v>39</v>
      </c>
      <c r="J602" s="2" t="s">
        <v>2271</v>
      </c>
      <c r="K602" s="2" t="n">
        <v>1</v>
      </c>
      <c r="L602" s="2" t="s">
        <v>41</v>
      </c>
      <c r="M602" s="2" t="s">
        <v>49</v>
      </c>
      <c r="N602" s="4" t="n">
        <v>72.31</v>
      </c>
      <c r="O602" s="2" t="str">
        <f aca="false">IF(COUNTIF($A$2:$A$1201,A602)&gt;1,"DUPLICATE","Unique")</f>
        <v>Unique</v>
      </c>
      <c r="P602" s="2" t="str">
        <f aca="false">IF(L602="","MISSING","OK")</f>
        <v>OK</v>
      </c>
      <c r="Q602" s="2" t="str">
        <f aca="false">IF(ISNUMBER(B602),"OK","BAD DATE")</f>
        <v>OK</v>
      </c>
      <c r="R602" s="2" t="str">
        <f aca="false">IF(ROUND(F602,2)=F602,"OK","FIX")</f>
        <v>OK</v>
      </c>
    </row>
    <row r="603" customFormat="false" ht="15" hidden="false" customHeight="false" outlineLevel="0" collapsed="false">
      <c r="A603" s="2" t="s">
        <v>2272</v>
      </c>
      <c r="B603" s="3" t="n">
        <v>45201</v>
      </c>
      <c r="C603" s="2" t="s">
        <v>2273</v>
      </c>
      <c r="D603" s="2" t="s">
        <v>20</v>
      </c>
      <c r="E603" s="2" t="n">
        <v>5</v>
      </c>
      <c r="F603" s="4" t="n">
        <v>24.82</v>
      </c>
      <c r="G603" s="2" t="s">
        <v>2274</v>
      </c>
      <c r="H603" s="2" t="s">
        <v>38</v>
      </c>
      <c r="I603" s="2" t="s">
        <v>23</v>
      </c>
      <c r="J603" s="2" t="s">
        <v>2275</v>
      </c>
      <c r="K603" s="2" t="n">
        <v>10</v>
      </c>
      <c r="L603" s="2"/>
      <c r="M603" s="2" t="s">
        <v>33</v>
      </c>
      <c r="N603" s="4" t="n">
        <v>124.1</v>
      </c>
      <c r="O603" s="2" t="str">
        <f aca="false">IF(COUNTIF($A$2:$A$1201,A603)&gt;1,"DUPLICATE","Unique")</f>
        <v>Unique</v>
      </c>
      <c r="P603" s="2" t="str">
        <f aca="false">IF(L603="","MISSING","OK")</f>
        <v>MISSING</v>
      </c>
      <c r="Q603" s="2" t="str">
        <f aca="false">IF(ISNUMBER(B603),"OK","BAD DATE")</f>
        <v>OK</v>
      </c>
      <c r="R603" s="2" t="str">
        <f aca="false">IF(ROUND(F603,2)=F603,"OK","FIX")</f>
        <v>OK</v>
      </c>
    </row>
    <row r="604" customFormat="false" ht="15" hidden="false" customHeight="false" outlineLevel="0" collapsed="false">
      <c r="A604" s="2" t="s">
        <v>2276</v>
      </c>
      <c r="B604" s="3" t="n">
        <v>45356</v>
      </c>
      <c r="C604" s="2" t="s">
        <v>1862</v>
      </c>
      <c r="D604" s="2" t="s">
        <v>36</v>
      </c>
      <c r="E604" s="2" t="n">
        <v>4</v>
      </c>
      <c r="F604" s="4" t="n">
        <v>26.04</v>
      </c>
      <c r="G604" s="2" t="s">
        <v>1866</v>
      </c>
      <c r="H604" s="2" t="s">
        <v>31</v>
      </c>
      <c r="I604" s="2" t="s">
        <v>93</v>
      </c>
      <c r="J604" s="2" t="s">
        <v>2277</v>
      </c>
      <c r="K604" s="2" t="n">
        <v>5</v>
      </c>
      <c r="L604" s="2" t="s">
        <v>25</v>
      </c>
      <c r="M604" s="2" t="s">
        <v>26</v>
      </c>
      <c r="N604" s="4" t="n">
        <v>104.16</v>
      </c>
      <c r="O604" s="2" t="str">
        <f aca="false">IF(COUNTIF($A$2:$A$1201,A604)&gt;1,"DUPLICATE","Unique")</f>
        <v>Unique</v>
      </c>
      <c r="P604" s="2" t="str">
        <f aca="false">IF(L604="","MISSING","OK")</f>
        <v>OK</v>
      </c>
      <c r="Q604" s="2" t="str">
        <f aca="false">IF(ISNUMBER(B604),"OK","BAD DATE")</f>
        <v>OK</v>
      </c>
      <c r="R604" s="2" t="str">
        <f aca="false">IF(ROUND(F604,2)=F604,"OK","FIX")</f>
        <v>OK</v>
      </c>
    </row>
    <row r="605" customFormat="false" ht="15" hidden="false" customHeight="false" outlineLevel="0" collapsed="false">
      <c r="A605" s="2" t="s">
        <v>2278</v>
      </c>
      <c r="B605" s="3" t="n">
        <v>45569</v>
      </c>
      <c r="C605" s="2" t="s">
        <v>2279</v>
      </c>
      <c r="D605" s="2" t="s">
        <v>36</v>
      </c>
      <c r="E605" s="2" t="n">
        <v>1</v>
      </c>
      <c r="F605" s="4" t="n">
        <v>657.07</v>
      </c>
      <c r="G605" s="2" t="s">
        <v>2280</v>
      </c>
      <c r="H605" s="2" t="s">
        <v>69</v>
      </c>
      <c r="I605" s="2" t="s">
        <v>93</v>
      </c>
      <c r="J605" s="2" t="s">
        <v>2281</v>
      </c>
      <c r="K605" s="2" t="n">
        <v>4</v>
      </c>
      <c r="L605" s="2" t="s">
        <v>25</v>
      </c>
      <c r="M605" s="2" t="s">
        <v>80</v>
      </c>
      <c r="N605" s="4" t="n">
        <v>657.07</v>
      </c>
      <c r="O605" s="2" t="str">
        <f aca="false">IF(COUNTIF($A$2:$A$1201,A605)&gt;1,"DUPLICATE","Unique")</f>
        <v>Unique</v>
      </c>
      <c r="P605" s="2" t="str">
        <f aca="false">IF(L605="","MISSING","OK")</f>
        <v>OK</v>
      </c>
      <c r="Q605" s="2" t="str">
        <f aca="false">IF(ISNUMBER(B605),"OK","BAD DATE")</f>
        <v>OK</v>
      </c>
      <c r="R605" s="2" t="str">
        <f aca="false">IF(ROUND(F605,2)=F605,"OK","FIX")</f>
        <v>OK</v>
      </c>
    </row>
    <row r="606" customFormat="false" ht="15" hidden="false" customHeight="false" outlineLevel="0" collapsed="false">
      <c r="A606" s="2" t="s">
        <v>2282</v>
      </c>
      <c r="B606" s="3" t="n">
        <v>45830</v>
      </c>
      <c r="C606" s="2" t="s">
        <v>2283</v>
      </c>
      <c r="D606" s="2" t="s">
        <v>45</v>
      </c>
      <c r="E606" s="2" t="n">
        <v>3</v>
      </c>
      <c r="F606" s="4" t="n">
        <v>32.62</v>
      </c>
      <c r="G606" s="2" t="s">
        <v>1187</v>
      </c>
      <c r="H606" s="2" t="s">
        <v>22</v>
      </c>
      <c r="I606" s="2" t="s">
        <v>54</v>
      </c>
      <c r="J606" s="2" t="s">
        <v>2284</v>
      </c>
      <c r="K606" s="2" t="n">
        <v>6</v>
      </c>
      <c r="L606" s="2"/>
      <c r="M606" s="2" t="s">
        <v>49</v>
      </c>
      <c r="N606" s="4" t="n">
        <v>97.86</v>
      </c>
      <c r="O606" s="2" t="str">
        <f aca="false">IF(COUNTIF($A$2:$A$1201,A606)&gt;1,"DUPLICATE","Unique")</f>
        <v>Unique</v>
      </c>
      <c r="P606" s="2" t="str">
        <f aca="false">IF(L606="","MISSING","OK")</f>
        <v>MISSING</v>
      </c>
      <c r="Q606" s="2" t="str">
        <f aca="false">IF(ISNUMBER(B606),"OK","BAD DATE")</f>
        <v>OK</v>
      </c>
      <c r="R606" s="2" t="str">
        <f aca="false">IF(ROUND(F606,2)=F606,"OK","FIX")</f>
        <v>OK</v>
      </c>
    </row>
    <row r="607" customFormat="false" ht="15" hidden="false" customHeight="false" outlineLevel="0" collapsed="false">
      <c r="A607" s="2" t="s">
        <v>2285</v>
      </c>
      <c r="B607" s="3" t="n">
        <v>45422</v>
      </c>
      <c r="C607" s="2" t="s">
        <v>2286</v>
      </c>
      <c r="D607" s="2" t="s">
        <v>20</v>
      </c>
      <c r="E607" s="2" t="n">
        <v>2</v>
      </c>
      <c r="F607" s="4" t="n">
        <v>228.91</v>
      </c>
      <c r="G607" s="2" t="s">
        <v>2287</v>
      </c>
      <c r="H607" s="2" t="s">
        <v>22</v>
      </c>
      <c r="I607" s="2" t="s">
        <v>23</v>
      </c>
      <c r="J607" s="2" t="s">
        <v>2288</v>
      </c>
      <c r="K607" s="2" t="n">
        <v>4</v>
      </c>
      <c r="L607" s="2" t="s">
        <v>25</v>
      </c>
      <c r="M607" s="2" t="s">
        <v>33</v>
      </c>
      <c r="N607" s="4" t="n">
        <v>457.82</v>
      </c>
      <c r="O607" s="2" t="str">
        <f aca="false">IF(COUNTIF($A$2:$A$1201,A607)&gt;1,"DUPLICATE","Unique")</f>
        <v>Unique</v>
      </c>
      <c r="P607" s="2" t="str">
        <f aca="false">IF(L607="","MISSING","OK")</f>
        <v>OK</v>
      </c>
      <c r="Q607" s="2" t="str">
        <f aca="false">IF(ISNUMBER(B607),"OK","BAD DATE")</f>
        <v>OK</v>
      </c>
      <c r="R607" s="2" t="str">
        <f aca="false">IF(ROUND(F607,2)=F607,"OK","FIX")</f>
        <v>OK</v>
      </c>
    </row>
    <row r="608" customFormat="false" ht="15" hidden="false" customHeight="false" outlineLevel="0" collapsed="false">
      <c r="A608" s="2" t="s">
        <v>2289</v>
      </c>
      <c r="B608" s="3" t="n">
        <v>45602</v>
      </c>
      <c r="C608" s="2" t="s">
        <v>2290</v>
      </c>
      <c r="D608" s="2" t="s">
        <v>62</v>
      </c>
      <c r="E608" s="2" t="n">
        <v>3</v>
      </c>
      <c r="F608" s="4" t="n">
        <v>274.75</v>
      </c>
      <c r="G608" s="2" t="s">
        <v>960</v>
      </c>
      <c r="H608" s="2" t="s">
        <v>69</v>
      </c>
      <c r="I608" s="2" t="s">
        <v>39</v>
      </c>
      <c r="J608" s="2" t="s">
        <v>2291</v>
      </c>
      <c r="K608" s="2" t="n">
        <v>3</v>
      </c>
      <c r="L608" s="2" t="s">
        <v>25</v>
      </c>
      <c r="M608" s="2" t="s">
        <v>80</v>
      </c>
      <c r="N608" s="4" t="n">
        <v>824.25</v>
      </c>
      <c r="O608" s="2" t="str">
        <f aca="false">IF(COUNTIF($A$2:$A$1201,A608)&gt;1,"DUPLICATE","Unique")</f>
        <v>Unique</v>
      </c>
      <c r="P608" s="2" t="str">
        <f aca="false">IF(L608="","MISSING","OK")</f>
        <v>OK</v>
      </c>
      <c r="Q608" s="2" t="str">
        <f aca="false">IF(ISNUMBER(B608),"OK","BAD DATE")</f>
        <v>OK</v>
      </c>
      <c r="R608" s="2" t="str">
        <f aca="false">IF(ROUND(F608,2)=F608,"OK","FIX")</f>
        <v>OK</v>
      </c>
    </row>
    <row r="609" customFormat="false" ht="15" hidden="false" customHeight="false" outlineLevel="0" collapsed="false">
      <c r="A609" s="2" t="s">
        <v>2292</v>
      </c>
      <c r="B609" s="3" t="n">
        <v>45808</v>
      </c>
      <c r="C609" s="2" t="s">
        <v>2293</v>
      </c>
      <c r="D609" s="2" t="s">
        <v>52</v>
      </c>
      <c r="E609" s="2" t="n">
        <v>4</v>
      </c>
      <c r="F609" s="4" t="n">
        <v>634.05</v>
      </c>
      <c r="G609" s="2" t="s">
        <v>2294</v>
      </c>
      <c r="H609" s="2" t="s">
        <v>69</v>
      </c>
      <c r="I609" s="2" t="s">
        <v>23</v>
      </c>
      <c r="J609" s="2" t="s">
        <v>2295</v>
      </c>
      <c r="K609" s="2" t="n">
        <v>6</v>
      </c>
      <c r="L609" s="2" t="s">
        <v>25</v>
      </c>
      <c r="M609" s="2" t="s">
        <v>80</v>
      </c>
      <c r="N609" s="4" t="n">
        <v>2536.2</v>
      </c>
      <c r="O609" s="2" t="str">
        <f aca="false">IF(COUNTIF($A$2:$A$1201,A609)&gt;1,"DUPLICATE","Unique")</f>
        <v>Unique</v>
      </c>
      <c r="P609" s="2" t="str">
        <f aca="false">IF(L609="","MISSING","OK")</f>
        <v>OK</v>
      </c>
      <c r="Q609" s="2" t="str">
        <f aca="false">IF(ISNUMBER(B609),"OK","BAD DATE")</f>
        <v>OK</v>
      </c>
      <c r="R609" s="2" t="str">
        <f aca="false">IF(ROUND(F609,2)=F609,"OK","FIX")</f>
        <v>OK</v>
      </c>
    </row>
    <row r="610" customFormat="false" ht="15" hidden="false" customHeight="false" outlineLevel="0" collapsed="false">
      <c r="A610" s="2" t="s">
        <v>2296</v>
      </c>
      <c r="B610" s="3" t="n">
        <v>45497</v>
      </c>
      <c r="C610" s="2" t="s">
        <v>2297</v>
      </c>
      <c r="D610" s="2" t="s">
        <v>62</v>
      </c>
      <c r="E610" s="2" t="n">
        <v>5</v>
      </c>
      <c r="F610" s="4" t="n">
        <v>543.16</v>
      </c>
      <c r="G610" s="2" t="s">
        <v>2298</v>
      </c>
      <c r="H610" s="2" t="s">
        <v>31</v>
      </c>
      <c r="I610" s="2" t="s">
        <v>39</v>
      </c>
      <c r="J610" s="2" t="s">
        <v>2299</v>
      </c>
      <c r="K610" s="2" t="n">
        <v>6</v>
      </c>
      <c r="L610" s="2" t="s">
        <v>25</v>
      </c>
      <c r="M610" s="2" t="s">
        <v>26</v>
      </c>
      <c r="N610" s="4" t="n">
        <v>2715.8</v>
      </c>
      <c r="O610" s="2" t="str">
        <f aca="false">IF(COUNTIF($A$2:$A$1201,A610)&gt;1,"DUPLICATE","Unique")</f>
        <v>Unique</v>
      </c>
      <c r="P610" s="2" t="str">
        <f aca="false">IF(L610="","MISSING","OK")</f>
        <v>OK</v>
      </c>
      <c r="Q610" s="2" t="str">
        <f aca="false">IF(ISNUMBER(B610),"OK","BAD DATE")</f>
        <v>OK</v>
      </c>
      <c r="R610" s="2" t="str">
        <f aca="false">IF(ROUND(F610,2)=F610,"OK","FIX")</f>
        <v>OK</v>
      </c>
    </row>
    <row r="611" customFormat="false" ht="15" hidden="false" customHeight="false" outlineLevel="0" collapsed="false">
      <c r="A611" s="2" t="s">
        <v>2300</v>
      </c>
      <c r="B611" s="3" t="n">
        <v>45684</v>
      </c>
      <c r="C611" s="2" t="s">
        <v>2301</v>
      </c>
      <c r="D611" s="2" t="s">
        <v>45</v>
      </c>
      <c r="E611" s="2" t="n">
        <v>3</v>
      </c>
      <c r="F611" s="4" t="n">
        <v>449.13</v>
      </c>
      <c r="G611" s="2" t="s">
        <v>2302</v>
      </c>
      <c r="H611" s="2" t="s">
        <v>69</v>
      </c>
      <c r="I611" s="2" t="s">
        <v>47</v>
      </c>
      <c r="J611" s="2" t="s">
        <v>2303</v>
      </c>
      <c r="K611" s="2" t="n">
        <v>5</v>
      </c>
      <c r="L611" s="2" t="s">
        <v>85</v>
      </c>
      <c r="M611" s="2" t="s">
        <v>33</v>
      </c>
      <c r="N611" s="4" t="n">
        <v>1347.39</v>
      </c>
      <c r="O611" s="2" t="str">
        <f aca="false">IF(COUNTIF($A$2:$A$1201,A611)&gt;1,"DUPLICATE","Unique")</f>
        <v>Unique</v>
      </c>
      <c r="P611" s="2" t="str">
        <f aca="false">IF(L611="","MISSING","OK")</f>
        <v>OK</v>
      </c>
      <c r="Q611" s="2" t="str">
        <f aca="false">IF(ISNUMBER(B611),"OK","BAD DATE")</f>
        <v>OK</v>
      </c>
      <c r="R611" s="2" t="str">
        <f aca="false">IF(ROUND(F611,2)=F611,"OK","FIX")</f>
        <v>OK</v>
      </c>
    </row>
    <row r="612" customFormat="false" ht="15" hidden="false" customHeight="false" outlineLevel="0" collapsed="false">
      <c r="A612" s="2" t="s">
        <v>2304</v>
      </c>
      <c r="B612" s="3" t="n">
        <v>45459</v>
      </c>
      <c r="C612" s="2" t="s">
        <v>2305</v>
      </c>
      <c r="D612" s="2" t="s">
        <v>77</v>
      </c>
      <c r="E612" s="2" t="n">
        <v>5</v>
      </c>
      <c r="F612" s="4" t="n">
        <v>389.62</v>
      </c>
      <c r="G612" s="2" t="s">
        <v>257</v>
      </c>
      <c r="H612" s="2" t="s">
        <v>69</v>
      </c>
      <c r="I612" s="2" t="s">
        <v>47</v>
      </c>
      <c r="J612" s="2" t="s">
        <v>2306</v>
      </c>
      <c r="K612" s="2" t="n">
        <v>7</v>
      </c>
      <c r="L612" s="2" t="s">
        <v>41</v>
      </c>
      <c r="M612" s="2" t="s">
        <v>49</v>
      </c>
      <c r="N612" s="4" t="n">
        <v>1948.1</v>
      </c>
      <c r="O612" s="2" t="str">
        <f aca="false">IF(COUNTIF($A$2:$A$1201,A612)&gt;1,"DUPLICATE","Unique")</f>
        <v>Unique</v>
      </c>
      <c r="P612" s="2" t="str">
        <f aca="false">IF(L612="","MISSING","OK")</f>
        <v>OK</v>
      </c>
      <c r="Q612" s="2" t="str">
        <f aca="false">IF(ISNUMBER(B612),"OK","BAD DATE")</f>
        <v>OK</v>
      </c>
      <c r="R612" s="2" t="str">
        <f aca="false">IF(ROUND(F612,2)=F612,"OK","FIX")</f>
        <v>OK</v>
      </c>
    </row>
    <row r="613" customFormat="false" ht="15" hidden="false" customHeight="false" outlineLevel="0" collapsed="false">
      <c r="A613" s="2" t="s">
        <v>2307</v>
      </c>
      <c r="B613" s="3" t="n">
        <v>45037</v>
      </c>
      <c r="C613" s="2" t="s">
        <v>2308</v>
      </c>
      <c r="D613" s="2" t="s">
        <v>77</v>
      </c>
      <c r="E613" s="2" t="n">
        <v>1</v>
      </c>
      <c r="F613" s="4" t="n">
        <v>305.17</v>
      </c>
      <c r="G613" s="2" t="s">
        <v>2261</v>
      </c>
      <c r="H613" s="2" t="s">
        <v>64</v>
      </c>
      <c r="I613" s="2" t="s">
        <v>47</v>
      </c>
      <c r="J613" s="2" t="s">
        <v>2309</v>
      </c>
      <c r="K613" s="2" t="n">
        <v>3</v>
      </c>
      <c r="L613" s="2" t="s">
        <v>85</v>
      </c>
      <c r="M613" s="2" t="s">
        <v>33</v>
      </c>
      <c r="N613" s="4" t="n">
        <v>305.17</v>
      </c>
      <c r="O613" s="2" t="str">
        <f aca="false">IF(COUNTIF($A$2:$A$1201,A613)&gt;1,"DUPLICATE","Unique")</f>
        <v>Unique</v>
      </c>
      <c r="P613" s="2" t="str">
        <f aca="false">IF(L613="","MISSING","OK")</f>
        <v>OK</v>
      </c>
      <c r="Q613" s="2" t="str">
        <f aca="false">IF(ISNUMBER(B613),"OK","BAD DATE")</f>
        <v>OK</v>
      </c>
      <c r="R613" s="2" t="str">
        <f aca="false">IF(ROUND(F613,2)=F613,"OK","FIX")</f>
        <v>OK</v>
      </c>
    </row>
    <row r="614" customFormat="false" ht="15" hidden="false" customHeight="false" outlineLevel="0" collapsed="false">
      <c r="A614" s="2" t="s">
        <v>2310</v>
      </c>
      <c r="B614" s="3" t="n">
        <v>45079</v>
      </c>
      <c r="C614" s="2" t="s">
        <v>2311</v>
      </c>
      <c r="D614" s="2" t="s">
        <v>45</v>
      </c>
      <c r="E614" s="2" t="n">
        <v>3</v>
      </c>
      <c r="F614" s="4" t="n">
        <v>445.12</v>
      </c>
      <c r="G614" s="2" t="s">
        <v>1264</v>
      </c>
      <c r="H614" s="2" t="s">
        <v>64</v>
      </c>
      <c r="I614" s="2" t="s">
        <v>39</v>
      </c>
      <c r="J614" s="2" t="s">
        <v>2312</v>
      </c>
      <c r="K614" s="2" t="n">
        <v>8</v>
      </c>
      <c r="L614" s="2"/>
      <c r="M614" s="2" t="s">
        <v>80</v>
      </c>
      <c r="N614" s="4" t="n">
        <v>1335.36</v>
      </c>
      <c r="O614" s="2" t="str">
        <f aca="false">IF(COUNTIF($A$2:$A$1201,A614)&gt;1,"DUPLICATE","Unique")</f>
        <v>Unique</v>
      </c>
      <c r="P614" s="2" t="str">
        <f aca="false">IF(L614="","MISSING","OK")</f>
        <v>MISSING</v>
      </c>
      <c r="Q614" s="2" t="str">
        <f aca="false">IF(ISNUMBER(B614),"OK","BAD DATE")</f>
        <v>OK</v>
      </c>
      <c r="R614" s="2" t="str">
        <f aca="false">IF(ROUND(F614,2)=F614,"OK","FIX")</f>
        <v>OK</v>
      </c>
    </row>
    <row r="615" customFormat="false" ht="15" hidden="false" customHeight="false" outlineLevel="0" collapsed="false">
      <c r="A615" s="2" t="s">
        <v>2313</v>
      </c>
      <c r="B615" s="3" t="n">
        <v>45645</v>
      </c>
      <c r="C615" s="2" t="s">
        <v>2314</v>
      </c>
      <c r="D615" s="2" t="s">
        <v>62</v>
      </c>
      <c r="E615" s="2" t="n">
        <v>2</v>
      </c>
      <c r="F615" s="4" t="n">
        <v>230.36</v>
      </c>
      <c r="G615" s="2" t="s">
        <v>2315</v>
      </c>
      <c r="H615" s="2" t="s">
        <v>31</v>
      </c>
      <c r="I615" s="2" t="s">
        <v>47</v>
      </c>
      <c r="J615" s="2" t="s">
        <v>2316</v>
      </c>
      <c r="K615" s="2" t="n">
        <v>4</v>
      </c>
      <c r="L615" s="2" t="s">
        <v>85</v>
      </c>
      <c r="M615" s="2" t="s">
        <v>42</v>
      </c>
      <c r="N615" s="4" t="n">
        <v>460.72</v>
      </c>
      <c r="O615" s="2" t="str">
        <f aca="false">IF(COUNTIF($A$2:$A$1201,A615)&gt;1,"DUPLICATE","Unique")</f>
        <v>Unique</v>
      </c>
      <c r="P615" s="2" t="str">
        <f aca="false">IF(L615="","MISSING","OK")</f>
        <v>OK</v>
      </c>
      <c r="Q615" s="2" t="str">
        <f aca="false">IF(ISNUMBER(B615),"OK","BAD DATE")</f>
        <v>OK</v>
      </c>
      <c r="R615" s="2" t="str">
        <f aca="false">IF(ROUND(F615,2)=F615,"OK","FIX")</f>
        <v>OK</v>
      </c>
    </row>
    <row r="616" customFormat="false" ht="15" hidden="false" customHeight="false" outlineLevel="0" collapsed="false">
      <c r="A616" s="2" t="s">
        <v>2317</v>
      </c>
      <c r="B616" s="3" t="n">
        <v>45359</v>
      </c>
      <c r="C616" s="2" t="s">
        <v>2318</v>
      </c>
      <c r="D616" s="2" t="s">
        <v>29</v>
      </c>
      <c r="E616" s="2" t="n">
        <v>1</v>
      </c>
      <c r="F616" s="4" t="n">
        <v>96.81</v>
      </c>
      <c r="G616" s="2" t="s">
        <v>510</v>
      </c>
      <c r="H616" s="2" t="s">
        <v>64</v>
      </c>
      <c r="I616" s="2" t="s">
        <v>39</v>
      </c>
      <c r="J616" s="2" t="s">
        <v>2319</v>
      </c>
      <c r="K616" s="2" t="n">
        <v>3</v>
      </c>
      <c r="L616" s="2"/>
      <c r="M616" s="2" t="s">
        <v>33</v>
      </c>
      <c r="N616" s="4" t="n">
        <v>96.81</v>
      </c>
      <c r="O616" s="2" t="str">
        <f aca="false">IF(COUNTIF($A$2:$A$1201,A616)&gt;1,"DUPLICATE","Unique")</f>
        <v>Unique</v>
      </c>
      <c r="P616" s="2" t="str">
        <f aca="false">IF(L616="","MISSING","OK")</f>
        <v>MISSING</v>
      </c>
      <c r="Q616" s="2" t="str">
        <f aca="false">IF(ISNUMBER(B616),"OK","BAD DATE")</f>
        <v>OK</v>
      </c>
      <c r="R616" s="2" t="str">
        <f aca="false">IF(ROUND(F616,2)=F616,"OK","FIX")</f>
        <v>OK</v>
      </c>
    </row>
    <row r="617" customFormat="false" ht="15" hidden="false" customHeight="false" outlineLevel="0" collapsed="false">
      <c r="A617" s="2" t="s">
        <v>2320</v>
      </c>
      <c r="B617" s="3" t="n">
        <v>45723</v>
      </c>
      <c r="C617" s="2" t="s">
        <v>2321</v>
      </c>
      <c r="D617" s="2" t="s">
        <v>20</v>
      </c>
      <c r="E617" s="2" t="n">
        <v>5</v>
      </c>
      <c r="F617" s="4" t="n">
        <v>460.14</v>
      </c>
      <c r="G617" s="2" t="s">
        <v>1187</v>
      </c>
      <c r="H617" s="2" t="s">
        <v>38</v>
      </c>
      <c r="I617" s="2" t="s">
        <v>47</v>
      </c>
      <c r="J617" s="2" t="s">
        <v>2322</v>
      </c>
      <c r="K617" s="2" t="n">
        <v>10</v>
      </c>
      <c r="L617" s="2" t="s">
        <v>85</v>
      </c>
      <c r="M617" s="2" t="s">
        <v>49</v>
      </c>
      <c r="N617" s="4" t="n">
        <v>2300.7</v>
      </c>
      <c r="O617" s="2" t="str">
        <f aca="false">IF(COUNTIF($A$2:$A$1201,A617)&gt;1,"DUPLICATE","Unique")</f>
        <v>Unique</v>
      </c>
      <c r="P617" s="2" t="str">
        <f aca="false">IF(L617="","MISSING","OK")</f>
        <v>OK</v>
      </c>
      <c r="Q617" s="2" t="str">
        <f aca="false">IF(ISNUMBER(B617),"OK","BAD DATE")</f>
        <v>OK</v>
      </c>
      <c r="R617" s="2" t="str">
        <f aca="false">IF(ROUND(F617,2)=F617,"OK","FIX")</f>
        <v>OK</v>
      </c>
    </row>
    <row r="618" customFormat="false" ht="15" hidden="false" customHeight="false" outlineLevel="0" collapsed="false">
      <c r="A618" s="2" t="s">
        <v>2323</v>
      </c>
      <c r="B618" s="3" t="n">
        <v>45582</v>
      </c>
      <c r="C618" s="2" t="s">
        <v>2324</v>
      </c>
      <c r="D618" s="2" t="s">
        <v>36</v>
      </c>
      <c r="E618" s="2" t="n">
        <v>3</v>
      </c>
      <c r="F618" s="4" t="n">
        <v>601.6</v>
      </c>
      <c r="G618" s="2" t="s">
        <v>2325</v>
      </c>
      <c r="H618" s="2" t="s">
        <v>38</v>
      </c>
      <c r="I618" s="2" t="s">
        <v>39</v>
      </c>
      <c r="J618" s="2" t="s">
        <v>2326</v>
      </c>
      <c r="K618" s="2" t="n">
        <v>7</v>
      </c>
      <c r="L618" s="2" t="s">
        <v>25</v>
      </c>
      <c r="M618" s="2" t="s">
        <v>49</v>
      </c>
      <c r="N618" s="4" t="n">
        <v>1804.8</v>
      </c>
      <c r="O618" s="2" t="str">
        <f aca="false">IF(COUNTIF($A$2:$A$1201,A618)&gt;1,"DUPLICATE","Unique")</f>
        <v>Unique</v>
      </c>
      <c r="P618" s="2" t="str">
        <f aca="false">IF(L618="","MISSING","OK")</f>
        <v>OK</v>
      </c>
      <c r="Q618" s="2" t="str">
        <f aca="false">IF(ISNUMBER(B618),"OK","BAD DATE")</f>
        <v>OK</v>
      </c>
      <c r="R618" s="2" t="str">
        <f aca="false">IF(ROUND(F618,2)=F618,"OK","FIX")</f>
        <v>OK</v>
      </c>
    </row>
    <row r="619" customFormat="false" ht="15" hidden="false" customHeight="false" outlineLevel="0" collapsed="false">
      <c r="A619" s="2" t="s">
        <v>2327</v>
      </c>
      <c r="B619" s="3" t="n">
        <v>45330</v>
      </c>
      <c r="C619" s="2" t="s">
        <v>2328</v>
      </c>
      <c r="D619" s="2" t="s">
        <v>36</v>
      </c>
      <c r="E619" s="2" t="n">
        <v>3</v>
      </c>
      <c r="F619" s="4" t="n">
        <v>184.47</v>
      </c>
      <c r="G619" s="2" t="s">
        <v>2329</v>
      </c>
      <c r="H619" s="2" t="s">
        <v>31</v>
      </c>
      <c r="I619" s="2" t="s">
        <v>39</v>
      </c>
      <c r="J619" s="2" t="s">
        <v>2330</v>
      </c>
      <c r="K619" s="2" t="n">
        <v>4</v>
      </c>
      <c r="L619" s="2"/>
      <c r="M619" s="2" t="s">
        <v>33</v>
      </c>
      <c r="N619" s="4" t="n">
        <v>553.41</v>
      </c>
      <c r="O619" s="2" t="str">
        <f aca="false">IF(COUNTIF($A$2:$A$1201,A619)&gt;1,"DUPLICATE","Unique")</f>
        <v>Unique</v>
      </c>
      <c r="P619" s="2" t="str">
        <f aca="false">IF(L619="","MISSING","OK")</f>
        <v>MISSING</v>
      </c>
      <c r="Q619" s="2" t="str">
        <f aca="false">IF(ISNUMBER(B619),"OK","BAD DATE")</f>
        <v>OK</v>
      </c>
      <c r="R619" s="2" t="str">
        <f aca="false">IF(ROUND(F619,2)=F619,"OK","FIX")</f>
        <v>OK</v>
      </c>
    </row>
    <row r="620" customFormat="false" ht="15" hidden="false" customHeight="false" outlineLevel="0" collapsed="false">
      <c r="A620" s="2" t="s">
        <v>2331</v>
      </c>
      <c r="B620" s="3" t="n">
        <v>45538</v>
      </c>
      <c r="C620" s="2" t="s">
        <v>2332</v>
      </c>
      <c r="D620" s="2" t="s">
        <v>36</v>
      </c>
      <c r="E620" s="2" t="n">
        <v>1</v>
      </c>
      <c r="F620" s="4" t="n">
        <v>411.34</v>
      </c>
      <c r="G620" s="2" t="s">
        <v>2333</v>
      </c>
      <c r="H620" s="2" t="s">
        <v>22</v>
      </c>
      <c r="I620" s="2" t="s">
        <v>47</v>
      </c>
      <c r="J620" s="2" t="s">
        <v>2334</v>
      </c>
      <c r="K620" s="2" t="n">
        <v>5</v>
      </c>
      <c r="L620" s="2"/>
      <c r="M620" s="2" t="s">
        <v>26</v>
      </c>
      <c r="N620" s="4" t="n">
        <v>411.34</v>
      </c>
      <c r="O620" s="2" t="str">
        <f aca="false">IF(COUNTIF($A$2:$A$1201,A620)&gt;1,"DUPLICATE","Unique")</f>
        <v>Unique</v>
      </c>
      <c r="P620" s="2" t="str">
        <f aca="false">IF(L620="","MISSING","OK")</f>
        <v>MISSING</v>
      </c>
      <c r="Q620" s="2" t="str">
        <f aca="false">IF(ISNUMBER(B620),"OK","BAD DATE")</f>
        <v>OK</v>
      </c>
      <c r="R620" s="2" t="str">
        <f aca="false">IF(ROUND(F620,2)=F620,"OK","FIX")</f>
        <v>OK</v>
      </c>
    </row>
    <row r="621" customFormat="false" ht="15" hidden="false" customHeight="false" outlineLevel="0" collapsed="false">
      <c r="A621" s="2" t="s">
        <v>2335</v>
      </c>
      <c r="B621" s="3" t="n">
        <v>45489</v>
      </c>
      <c r="C621" s="2" t="s">
        <v>2336</v>
      </c>
      <c r="D621" s="2" t="s">
        <v>62</v>
      </c>
      <c r="E621" s="2" t="n">
        <v>1</v>
      </c>
      <c r="F621" s="4" t="n">
        <v>532.89</v>
      </c>
      <c r="G621" s="2" t="s">
        <v>1873</v>
      </c>
      <c r="H621" s="2" t="s">
        <v>64</v>
      </c>
      <c r="I621" s="2" t="s">
        <v>93</v>
      </c>
      <c r="J621" s="2" t="s">
        <v>2337</v>
      </c>
      <c r="K621" s="2" t="n">
        <v>2</v>
      </c>
      <c r="L621" s="2"/>
      <c r="M621" s="2" t="s">
        <v>33</v>
      </c>
      <c r="N621" s="4" t="n">
        <v>532.89</v>
      </c>
      <c r="O621" s="2" t="str">
        <f aca="false">IF(COUNTIF($A$2:$A$1201,A621)&gt;1,"DUPLICATE","Unique")</f>
        <v>Unique</v>
      </c>
      <c r="P621" s="2" t="str">
        <f aca="false">IF(L621="","MISSING","OK")</f>
        <v>MISSING</v>
      </c>
      <c r="Q621" s="2" t="str">
        <f aca="false">IF(ISNUMBER(B621),"OK","BAD DATE")</f>
        <v>OK</v>
      </c>
      <c r="R621" s="2" t="str">
        <f aca="false">IF(ROUND(F621,2)=F621,"OK","FIX")</f>
        <v>OK</v>
      </c>
    </row>
    <row r="622" customFormat="false" ht="15" hidden="false" customHeight="false" outlineLevel="0" collapsed="false">
      <c r="A622" s="2" t="s">
        <v>2338</v>
      </c>
      <c r="B622" s="3" t="n">
        <v>45378</v>
      </c>
      <c r="C622" s="2" t="s">
        <v>2339</v>
      </c>
      <c r="D622" s="2" t="s">
        <v>36</v>
      </c>
      <c r="E622" s="2" t="n">
        <v>3</v>
      </c>
      <c r="F622" s="4" t="n">
        <v>136.34</v>
      </c>
      <c r="G622" s="2" t="s">
        <v>2340</v>
      </c>
      <c r="H622" s="2" t="s">
        <v>22</v>
      </c>
      <c r="I622" s="2" t="s">
        <v>47</v>
      </c>
      <c r="J622" s="2" t="s">
        <v>2341</v>
      </c>
      <c r="K622" s="2" t="n">
        <v>8</v>
      </c>
      <c r="L622" s="2" t="s">
        <v>25</v>
      </c>
      <c r="M622" s="2" t="s">
        <v>33</v>
      </c>
      <c r="N622" s="4" t="n">
        <v>409.02</v>
      </c>
      <c r="O622" s="2" t="str">
        <f aca="false">IF(COUNTIF($A$2:$A$1201,A622)&gt;1,"DUPLICATE","Unique")</f>
        <v>Unique</v>
      </c>
      <c r="P622" s="2" t="str">
        <f aca="false">IF(L622="","MISSING","OK")</f>
        <v>OK</v>
      </c>
      <c r="Q622" s="2" t="str">
        <f aca="false">IF(ISNUMBER(B622),"OK","BAD DATE")</f>
        <v>OK</v>
      </c>
      <c r="R622" s="2" t="str">
        <f aca="false">IF(ROUND(F622,2)=F622,"OK","FIX")</f>
        <v>OK</v>
      </c>
    </row>
    <row r="623" customFormat="false" ht="15" hidden="false" customHeight="false" outlineLevel="0" collapsed="false">
      <c r="A623" s="2" t="s">
        <v>2342</v>
      </c>
      <c r="B623" s="3" t="n">
        <v>45221</v>
      </c>
      <c r="C623" s="2" t="s">
        <v>2343</v>
      </c>
      <c r="D623" s="2" t="s">
        <v>29</v>
      </c>
      <c r="E623" s="2" t="n">
        <v>5</v>
      </c>
      <c r="F623" s="4" t="n">
        <v>476.01</v>
      </c>
      <c r="G623" s="2" t="s">
        <v>351</v>
      </c>
      <c r="H623" s="2" t="s">
        <v>38</v>
      </c>
      <c r="I623" s="2" t="s">
        <v>54</v>
      </c>
      <c r="J623" s="2" t="s">
        <v>2344</v>
      </c>
      <c r="K623" s="2" t="n">
        <v>7</v>
      </c>
      <c r="L623" s="2" t="s">
        <v>85</v>
      </c>
      <c r="M623" s="2" t="s">
        <v>80</v>
      </c>
      <c r="N623" s="4" t="n">
        <v>2380.05</v>
      </c>
      <c r="O623" s="2" t="str">
        <f aca="false">IF(COUNTIF($A$2:$A$1201,A623)&gt;1,"DUPLICATE","Unique")</f>
        <v>Unique</v>
      </c>
      <c r="P623" s="2" t="str">
        <f aca="false">IF(L623="","MISSING","OK")</f>
        <v>OK</v>
      </c>
      <c r="Q623" s="2" t="str">
        <f aca="false">IF(ISNUMBER(B623),"OK","BAD DATE")</f>
        <v>OK</v>
      </c>
      <c r="R623" s="2" t="str">
        <f aca="false">IF(ROUND(F623,2)=F623,"OK","FIX")</f>
        <v>OK</v>
      </c>
    </row>
    <row r="624" customFormat="false" ht="15" hidden="false" customHeight="false" outlineLevel="0" collapsed="false">
      <c r="A624" s="2" t="s">
        <v>2345</v>
      </c>
      <c r="B624" s="3" t="n">
        <v>45598</v>
      </c>
      <c r="C624" s="2" t="s">
        <v>2346</v>
      </c>
      <c r="D624" s="2" t="s">
        <v>77</v>
      </c>
      <c r="E624" s="2" t="n">
        <v>5</v>
      </c>
      <c r="F624" s="4" t="n">
        <v>236.38</v>
      </c>
      <c r="G624" s="2" t="s">
        <v>185</v>
      </c>
      <c r="H624" s="2" t="s">
        <v>38</v>
      </c>
      <c r="I624" s="2" t="s">
        <v>47</v>
      </c>
      <c r="J624" s="2" t="s">
        <v>2347</v>
      </c>
      <c r="K624" s="2" t="n">
        <v>7</v>
      </c>
      <c r="L624" s="2"/>
      <c r="M624" s="2" t="s">
        <v>49</v>
      </c>
      <c r="N624" s="4" t="n">
        <v>1181.9</v>
      </c>
      <c r="O624" s="2" t="str">
        <f aca="false">IF(COUNTIF($A$2:$A$1201,A624)&gt;1,"DUPLICATE","Unique")</f>
        <v>Unique</v>
      </c>
      <c r="P624" s="2" t="str">
        <f aca="false">IF(L624="","MISSING","OK")</f>
        <v>MISSING</v>
      </c>
      <c r="Q624" s="2" t="str">
        <f aca="false">IF(ISNUMBER(B624),"OK","BAD DATE")</f>
        <v>OK</v>
      </c>
      <c r="R624" s="2" t="str">
        <f aca="false">IF(ROUND(F624,2)=F624,"OK","FIX")</f>
        <v>OK</v>
      </c>
    </row>
    <row r="625" customFormat="false" ht="15" hidden="false" customHeight="false" outlineLevel="0" collapsed="false">
      <c r="A625" s="2" t="s">
        <v>2348</v>
      </c>
      <c r="B625" s="3" t="n">
        <v>45093</v>
      </c>
      <c r="C625" s="2" t="s">
        <v>2349</v>
      </c>
      <c r="D625" s="2" t="s">
        <v>52</v>
      </c>
      <c r="E625" s="2" t="n">
        <v>3</v>
      </c>
      <c r="F625" s="4" t="n">
        <v>396</v>
      </c>
      <c r="G625" s="2" t="s">
        <v>2350</v>
      </c>
      <c r="H625" s="2" t="s">
        <v>64</v>
      </c>
      <c r="I625" s="2" t="s">
        <v>39</v>
      </c>
      <c r="J625" s="2" t="s">
        <v>2351</v>
      </c>
      <c r="K625" s="2" t="n">
        <v>4</v>
      </c>
      <c r="L625" s="2" t="s">
        <v>41</v>
      </c>
      <c r="M625" s="2" t="s">
        <v>26</v>
      </c>
      <c r="N625" s="4" t="n">
        <v>1188</v>
      </c>
      <c r="O625" s="2" t="str">
        <f aca="false">IF(COUNTIF($A$2:$A$1201,A625)&gt;1,"DUPLICATE","Unique")</f>
        <v>Unique</v>
      </c>
      <c r="P625" s="2" t="str">
        <f aca="false">IF(L625="","MISSING","OK")</f>
        <v>OK</v>
      </c>
      <c r="Q625" s="2" t="str">
        <f aca="false">IF(ISNUMBER(B625),"OK","BAD DATE")</f>
        <v>OK</v>
      </c>
      <c r="R625" s="2" t="str">
        <f aca="false">IF(ROUND(F625,2)=F625,"OK","FIX")</f>
        <v>OK</v>
      </c>
    </row>
    <row r="626" customFormat="false" ht="15" hidden="false" customHeight="false" outlineLevel="0" collapsed="false">
      <c r="A626" s="2" t="s">
        <v>2352</v>
      </c>
      <c r="B626" s="3" t="n">
        <v>45307</v>
      </c>
      <c r="C626" s="2" t="s">
        <v>2353</v>
      </c>
      <c r="D626" s="2" t="s">
        <v>36</v>
      </c>
      <c r="E626" s="2" t="n">
        <v>5</v>
      </c>
      <c r="F626" s="4" t="n">
        <v>341.96</v>
      </c>
      <c r="G626" s="2" t="s">
        <v>1419</v>
      </c>
      <c r="H626" s="2" t="s">
        <v>22</v>
      </c>
      <c r="I626" s="2" t="s">
        <v>54</v>
      </c>
      <c r="J626" s="2" t="s">
        <v>2354</v>
      </c>
      <c r="K626" s="2" t="n">
        <v>6</v>
      </c>
      <c r="L626" s="2"/>
      <c r="M626" s="2" t="s">
        <v>42</v>
      </c>
      <c r="N626" s="4" t="n">
        <v>1709.8</v>
      </c>
      <c r="O626" s="2" t="str">
        <f aca="false">IF(COUNTIF($A$2:$A$1201,A626)&gt;1,"DUPLICATE","Unique")</f>
        <v>Unique</v>
      </c>
      <c r="P626" s="2" t="str">
        <f aca="false">IF(L626="","MISSING","OK")</f>
        <v>MISSING</v>
      </c>
      <c r="Q626" s="2" t="str">
        <f aca="false">IF(ISNUMBER(B626),"OK","BAD DATE")</f>
        <v>OK</v>
      </c>
      <c r="R626" s="2" t="str">
        <f aca="false">IF(ROUND(F626,2)=F626,"OK","FIX")</f>
        <v>OK</v>
      </c>
    </row>
    <row r="627" customFormat="false" ht="15" hidden="false" customHeight="false" outlineLevel="0" collapsed="false">
      <c r="A627" s="2" t="s">
        <v>2355</v>
      </c>
      <c r="B627" s="3" t="n">
        <v>45193</v>
      </c>
      <c r="C627" s="2" t="s">
        <v>2356</v>
      </c>
      <c r="D627" s="2" t="s">
        <v>36</v>
      </c>
      <c r="E627" s="2" t="n">
        <v>1</v>
      </c>
      <c r="F627" s="4" t="n">
        <v>672.89</v>
      </c>
      <c r="G627" s="2" t="s">
        <v>2357</v>
      </c>
      <c r="H627" s="2" t="s">
        <v>38</v>
      </c>
      <c r="I627" s="2" t="s">
        <v>93</v>
      </c>
      <c r="J627" s="2" t="s">
        <v>2358</v>
      </c>
      <c r="K627" s="2" t="n">
        <v>1</v>
      </c>
      <c r="L627" s="2" t="s">
        <v>85</v>
      </c>
      <c r="M627" s="2" t="s">
        <v>42</v>
      </c>
      <c r="N627" s="4" t="n">
        <v>672.89</v>
      </c>
      <c r="O627" s="2" t="str">
        <f aca="false">IF(COUNTIF($A$2:$A$1201,A627)&gt;1,"DUPLICATE","Unique")</f>
        <v>Unique</v>
      </c>
      <c r="P627" s="2" t="str">
        <f aca="false">IF(L627="","MISSING","OK")</f>
        <v>OK</v>
      </c>
      <c r="Q627" s="2" t="str">
        <f aca="false">IF(ISNUMBER(B627),"OK","BAD DATE")</f>
        <v>OK</v>
      </c>
      <c r="R627" s="2" t="str">
        <f aca="false">IF(ROUND(F627,2)=F627,"OK","FIX")</f>
        <v>OK</v>
      </c>
    </row>
    <row r="628" customFormat="false" ht="15" hidden="false" customHeight="false" outlineLevel="0" collapsed="false">
      <c r="A628" s="2" t="s">
        <v>2359</v>
      </c>
      <c r="B628" s="3" t="n">
        <v>45352</v>
      </c>
      <c r="C628" s="2" t="s">
        <v>2360</v>
      </c>
      <c r="D628" s="2" t="s">
        <v>36</v>
      </c>
      <c r="E628" s="2" t="n">
        <v>2</v>
      </c>
      <c r="F628" s="4" t="n">
        <v>657.48</v>
      </c>
      <c r="G628" s="2" t="s">
        <v>1643</v>
      </c>
      <c r="H628" s="2" t="s">
        <v>31</v>
      </c>
      <c r="I628" s="2" t="s">
        <v>23</v>
      </c>
      <c r="J628" s="2" t="s">
        <v>2361</v>
      </c>
      <c r="K628" s="2" t="n">
        <v>5</v>
      </c>
      <c r="L628" s="2" t="s">
        <v>25</v>
      </c>
      <c r="M628" s="2" t="s">
        <v>33</v>
      </c>
      <c r="N628" s="4" t="n">
        <v>1314.96</v>
      </c>
      <c r="O628" s="2" t="str">
        <f aca="false">IF(COUNTIF($A$2:$A$1201,A628)&gt;1,"DUPLICATE","Unique")</f>
        <v>Unique</v>
      </c>
      <c r="P628" s="2" t="str">
        <f aca="false">IF(L628="","MISSING","OK")</f>
        <v>OK</v>
      </c>
      <c r="Q628" s="2" t="str">
        <f aca="false">IF(ISNUMBER(B628),"OK","BAD DATE")</f>
        <v>OK</v>
      </c>
      <c r="R628" s="2" t="str">
        <f aca="false">IF(ROUND(F628,2)=F628,"OK","FIX")</f>
        <v>OK</v>
      </c>
    </row>
    <row r="629" customFormat="false" ht="15" hidden="false" customHeight="false" outlineLevel="0" collapsed="false">
      <c r="A629" s="2" t="s">
        <v>2362</v>
      </c>
      <c r="B629" s="3" t="n">
        <v>45144</v>
      </c>
      <c r="C629" s="2" t="s">
        <v>2363</v>
      </c>
      <c r="D629" s="2" t="s">
        <v>45</v>
      </c>
      <c r="E629" s="2" t="n">
        <v>3</v>
      </c>
      <c r="F629" s="4" t="n">
        <v>498.68</v>
      </c>
      <c r="G629" s="2" t="s">
        <v>2070</v>
      </c>
      <c r="H629" s="2" t="s">
        <v>31</v>
      </c>
      <c r="I629" s="2" t="s">
        <v>47</v>
      </c>
      <c r="J629" s="2" t="s">
        <v>2364</v>
      </c>
      <c r="K629" s="2" t="n">
        <v>4</v>
      </c>
      <c r="L629" s="2" t="s">
        <v>41</v>
      </c>
      <c r="M629" s="2" t="s">
        <v>42</v>
      </c>
      <c r="N629" s="4" t="n">
        <v>1496.04</v>
      </c>
      <c r="O629" s="2" t="str">
        <f aca="false">IF(COUNTIF($A$2:$A$1201,A629)&gt;1,"DUPLICATE","Unique")</f>
        <v>Unique</v>
      </c>
      <c r="P629" s="2" t="str">
        <f aca="false">IF(L629="","MISSING","OK")</f>
        <v>OK</v>
      </c>
      <c r="Q629" s="2" t="str">
        <f aca="false">IF(ISNUMBER(B629),"OK","BAD DATE")</f>
        <v>OK</v>
      </c>
      <c r="R629" s="2" t="str">
        <f aca="false">IF(ROUND(F629,2)=F629,"OK","FIX")</f>
        <v>OK</v>
      </c>
    </row>
    <row r="630" customFormat="false" ht="15" hidden="false" customHeight="false" outlineLevel="0" collapsed="false">
      <c r="A630" s="2" t="s">
        <v>2365</v>
      </c>
      <c r="B630" s="3" t="n">
        <v>45011</v>
      </c>
      <c r="C630" s="2" t="s">
        <v>2366</v>
      </c>
      <c r="D630" s="2" t="s">
        <v>52</v>
      </c>
      <c r="E630" s="2" t="n">
        <v>5</v>
      </c>
      <c r="F630" s="4" t="n">
        <v>558.63</v>
      </c>
      <c r="G630" s="2" t="s">
        <v>2367</v>
      </c>
      <c r="H630" s="2" t="s">
        <v>69</v>
      </c>
      <c r="I630" s="2" t="s">
        <v>93</v>
      </c>
      <c r="J630" s="2" t="s">
        <v>2368</v>
      </c>
      <c r="K630" s="2" t="n">
        <v>8</v>
      </c>
      <c r="L630" s="2" t="s">
        <v>41</v>
      </c>
      <c r="M630" s="2" t="s">
        <v>33</v>
      </c>
      <c r="N630" s="4" t="n">
        <v>2793.15</v>
      </c>
      <c r="O630" s="2" t="str">
        <f aca="false">IF(COUNTIF($A$2:$A$1201,A630)&gt;1,"DUPLICATE","Unique")</f>
        <v>Unique</v>
      </c>
      <c r="P630" s="2" t="str">
        <f aca="false">IF(L630="","MISSING","OK")</f>
        <v>OK</v>
      </c>
      <c r="Q630" s="2" t="str">
        <f aca="false">IF(ISNUMBER(B630),"OK","BAD DATE")</f>
        <v>OK</v>
      </c>
      <c r="R630" s="2" t="str">
        <f aca="false">IF(ROUND(F630,2)=F630,"OK","FIX")</f>
        <v>OK</v>
      </c>
    </row>
    <row r="631" customFormat="false" ht="15" hidden="false" customHeight="false" outlineLevel="0" collapsed="false">
      <c r="A631" s="2" t="s">
        <v>2369</v>
      </c>
      <c r="B631" s="3" t="n">
        <v>45114</v>
      </c>
      <c r="C631" s="2" t="s">
        <v>2370</v>
      </c>
      <c r="D631" s="2" t="s">
        <v>29</v>
      </c>
      <c r="E631" s="2" t="n">
        <v>3</v>
      </c>
      <c r="F631" s="4" t="n">
        <v>19.73</v>
      </c>
      <c r="G631" s="2" t="s">
        <v>2371</v>
      </c>
      <c r="H631" s="2" t="s">
        <v>31</v>
      </c>
      <c r="I631" s="2" t="s">
        <v>93</v>
      </c>
      <c r="J631" s="2" t="s">
        <v>2372</v>
      </c>
      <c r="K631" s="2" t="n">
        <v>3</v>
      </c>
      <c r="L631" s="2"/>
      <c r="M631" s="2" t="s">
        <v>33</v>
      </c>
      <c r="N631" s="4" t="n">
        <v>59.19</v>
      </c>
      <c r="O631" s="2" t="str">
        <f aca="false">IF(COUNTIF($A$2:$A$1201,A631)&gt;1,"DUPLICATE","Unique")</f>
        <v>Unique</v>
      </c>
      <c r="P631" s="2" t="str">
        <f aca="false">IF(L631="","MISSING","OK")</f>
        <v>MISSING</v>
      </c>
      <c r="Q631" s="2" t="str">
        <f aca="false">IF(ISNUMBER(B631),"OK","BAD DATE")</f>
        <v>OK</v>
      </c>
      <c r="R631" s="2" t="str">
        <f aca="false">IF(ROUND(F631,2)=F631,"OK","FIX")</f>
        <v>OK</v>
      </c>
    </row>
    <row r="632" customFormat="false" ht="15" hidden="false" customHeight="false" outlineLevel="0" collapsed="false">
      <c r="A632" s="2" t="s">
        <v>2373</v>
      </c>
      <c r="B632" s="3" t="n">
        <v>45100</v>
      </c>
      <c r="C632" s="2" t="s">
        <v>2374</v>
      </c>
      <c r="D632" s="2" t="s">
        <v>20</v>
      </c>
      <c r="E632" s="2" t="n">
        <v>5</v>
      </c>
      <c r="F632" s="4" t="n">
        <v>248.84</v>
      </c>
      <c r="G632" s="2" t="s">
        <v>2375</v>
      </c>
      <c r="H632" s="2" t="s">
        <v>22</v>
      </c>
      <c r="I632" s="2" t="s">
        <v>39</v>
      </c>
      <c r="J632" s="2" t="s">
        <v>2376</v>
      </c>
      <c r="K632" s="2" t="n">
        <v>10</v>
      </c>
      <c r="L632" s="2"/>
      <c r="M632" s="2" t="s">
        <v>26</v>
      </c>
      <c r="N632" s="4" t="n">
        <v>1244.2</v>
      </c>
      <c r="O632" s="2" t="str">
        <f aca="false">IF(COUNTIF($A$2:$A$1201,A632)&gt;1,"DUPLICATE","Unique")</f>
        <v>Unique</v>
      </c>
      <c r="P632" s="2" t="str">
        <f aca="false">IF(L632="","MISSING","OK")</f>
        <v>MISSING</v>
      </c>
      <c r="Q632" s="2" t="str">
        <f aca="false">IF(ISNUMBER(B632),"OK","BAD DATE")</f>
        <v>OK</v>
      </c>
      <c r="R632" s="2" t="str">
        <f aca="false">IF(ROUND(F632,2)=F632,"OK","FIX")</f>
        <v>OK</v>
      </c>
    </row>
    <row r="633" customFormat="false" ht="15" hidden="false" customHeight="false" outlineLevel="0" collapsed="false">
      <c r="A633" s="2" t="s">
        <v>2377</v>
      </c>
      <c r="B633" s="3" t="n">
        <v>45535</v>
      </c>
      <c r="C633" s="2" t="s">
        <v>2378</v>
      </c>
      <c r="D633" s="2" t="s">
        <v>45</v>
      </c>
      <c r="E633" s="2" t="n">
        <v>3</v>
      </c>
      <c r="F633" s="4" t="n">
        <v>46.11</v>
      </c>
      <c r="G633" s="2" t="s">
        <v>1105</v>
      </c>
      <c r="H633" s="2" t="s">
        <v>64</v>
      </c>
      <c r="I633" s="2" t="s">
        <v>47</v>
      </c>
      <c r="J633" s="2" t="s">
        <v>2379</v>
      </c>
      <c r="K633" s="2" t="n">
        <v>5</v>
      </c>
      <c r="L633" s="2" t="s">
        <v>85</v>
      </c>
      <c r="M633" s="2" t="s">
        <v>33</v>
      </c>
      <c r="N633" s="4" t="n">
        <v>138.33</v>
      </c>
      <c r="O633" s="2" t="str">
        <f aca="false">IF(COUNTIF($A$2:$A$1201,A633)&gt;1,"DUPLICATE","Unique")</f>
        <v>Unique</v>
      </c>
      <c r="P633" s="2" t="str">
        <f aca="false">IF(L633="","MISSING","OK")</f>
        <v>OK</v>
      </c>
      <c r="Q633" s="2" t="str">
        <f aca="false">IF(ISNUMBER(B633),"OK","BAD DATE")</f>
        <v>OK</v>
      </c>
      <c r="R633" s="2" t="str">
        <f aca="false">IF(ROUND(F633,2)=F633,"OK","FIX")</f>
        <v>OK</v>
      </c>
    </row>
    <row r="634" customFormat="false" ht="15" hidden="false" customHeight="false" outlineLevel="0" collapsed="false">
      <c r="A634" s="2" t="s">
        <v>2380</v>
      </c>
      <c r="B634" s="3" t="n">
        <v>45048</v>
      </c>
      <c r="C634" s="2" t="s">
        <v>2381</v>
      </c>
      <c r="D634" s="2" t="s">
        <v>62</v>
      </c>
      <c r="E634" s="2" t="n">
        <v>5</v>
      </c>
      <c r="F634" s="4" t="n">
        <v>678.16</v>
      </c>
      <c r="G634" s="2" t="s">
        <v>1032</v>
      </c>
      <c r="H634" s="2" t="s">
        <v>64</v>
      </c>
      <c r="I634" s="2" t="s">
        <v>54</v>
      </c>
      <c r="J634" s="2" t="s">
        <v>2382</v>
      </c>
      <c r="K634" s="2" t="n">
        <v>7</v>
      </c>
      <c r="L634" s="2" t="s">
        <v>85</v>
      </c>
      <c r="M634" s="2" t="s">
        <v>49</v>
      </c>
      <c r="N634" s="4" t="n">
        <v>3390.8</v>
      </c>
      <c r="O634" s="2" t="str">
        <f aca="false">IF(COUNTIF($A$2:$A$1201,A634)&gt;1,"DUPLICATE","Unique")</f>
        <v>Unique</v>
      </c>
      <c r="P634" s="2" t="str">
        <f aca="false">IF(L634="","MISSING","OK")</f>
        <v>OK</v>
      </c>
      <c r="Q634" s="2" t="str">
        <f aca="false">IF(ISNUMBER(B634),"OK","BAD DATE")</f>
        <v>OK</v>
      </c>
      <c r="R634" s="2" t="str">
        <f aca="false">IF(ROUND(F634,2)=F634,"OK","FIX")</f>
        <v>OK</v>
      </c>
    </row>
    <row r="635" customFormat="false" ht="15" hidden="false" customHeight="false" outlineLevel="0" collapsed="false">
      <c r="A635" s="2" t="s">
        <v>2383</v>
      </c>
      <c r="B635" s="3" t="n">
        <v>45392</v>
      </c>
      <c r="C635" s="2" t="s">
        <v>2384</v>
      </c>
      <c r="D635" s="2" t="s">
        <v>62</v>
      </c>
      <c r="E635" s="2" t="n">
        <v>5</v>
      </c>
      <c r="F635" s="4" t="n">
        <v>601.72</v>
      </c>
      <c r="G635" s="2" t="s">
        <v>1542</v>
      </c>
      <c r="H635" s="2" t="s">
        <v>64</v>
      </c>
      <c r="I635" s="2" t="s">
        <v>39</v>
      </c>
      <c r="J635" s="2" t="s">
        <v>2385</v>
      </c>
      <c r="K635" s="2" t="n">
        <v>5</v>
      </c>
      <c r="L635" s="2" t="s">
        <v>85</v>
      </c>
      <c r="M635" s="2" t="s">
        <v>26</v>
      </c>
      <c r="N635" s="4" t="n">
        <v>3008.6</v>
      </c>
      <c r="O635" s="2" t="str">
        <f aca="false">IF(COUNTIF($A$2:$A$1201,A635)&gt;1,"DUPLICATE","Unique")</f>
        <v>Unique</v>
      </c>
      <c r="P635" s="2" t="str">
        <f aca="false">IF(L635="","MISSING","OK")</f>
        <v>OK</v>
      </c>
      <c r="Q635" s="2" t="str">
        <f aca="false">IF(ISNUMBER(B635),"OK","BAD DATE")</f>
        <v>OK</v>
      </c>
      <c r="R635" s="2" t="str">
        <f aca="false">IF(ROUND(F635,2)=F635,"OK","FIX")</f>
        <v>OK</v>
      </c>
    </row>
    <row r="636" customFormat="false" ht="15" hidden="false" customHeight="false" outlineLevel="0" collapsed="false">
      <c r="A636" s="2" t="s">
        <v>2386</v>
      </c>
      <c r="B636" s="3" t="n">
        <v>45407</v>
      </c>
      <c r="C636" s="2" t="s">
        <v>2387</v>
      </c>
      <c r="D636" s="2" t="s">
        <v>52</v>
      </c>
      <c r="E636" s="2" t="n">
        <v>2</v>
      </c>
      <c r="F636" s="4" t="n">
        <v>259.32</v>
      </c>
      <c r="G636" s="2" t="s">
        <v>2388</v>
      </c>
      <c r="H636" s="2" t="s">
        <v>64</v>
      </c>
      <c r="I636" s="2" t="s">
        <v>54</v>
      </c>
      <c r="J636" s="2" t="s">
        <v>2389</v>
      </c>
      <c r="K636" s="2" t="n">
        <v>2</v>
      </c>
      <c r="L636" s="2" t="s">
        <v>85</v>
      </c>
      <c r="M636" s="2" t="s">
        <v>33</v>
      </c>
      <c r="N636" s="4" t="n">
        <v>518.64</v>
      </c>
      <c r="O636" s="2" t="str">
        <f aca="false">IF(COUNTIF($A$2:$A$1201,A636)&gt;1,"DUPLICATE","Unique")</f>
        <v>Unique</v>
      </c>
      <c r="P636" s="2" t="str">
        <f aca="false">IF(L636="","MISSING","OK")</f>
        <v>OK</v>
      </c>
      <c r="Q636" s="2" t="str">
        <f aca="false">IF(ISNUMBER(B636),"OK","BAD DATE")</f>
        <v>OK</v>
      </c>
      <c r="R636" s="2" t="str">
        <f aca="false">IF(ROUND(F636,2)=F636,"OK","FIX")</f>
        <v>OK</v>
      </c>
    </row>
    <row r="637" customFormat="false" ht="15" hidden="false" customHeight="false" outlineLevel="0" collapsed="false">
      <c r="A637" s="2" t="s">
        <v>2390</v>
      </c>
      <c r="B637" s="3" t="n">
        <v>45273</v>
      </c>
      <c r="C637" s="2" t="s">
        <v>2391</v>
      </c>
      <c r="D637" s="2" t="s">
        <v>45</v>
      </c>
      <c r="E637" s="2" t="n">
        <v>3</v>
      </c>
      <c r="F637" s="4" t="n">
        <v>63.68</v>
      </c>
      <c r="G637" s="2" t="s">
        <v>246</v>
      </c>
      <c r="H637" s="2" t="s">
        <v>69</v>
      </c>
      <c r="I637" s="2" t="s">
        <v>47</v>
      </c>
      <c r="J637" s="2" t="s">
        <v>2392</v>
      </c>
      <c r="K637" s="2" t="n">
        <v>6</v>
      </c>
      <c r="L637" s="2"/>
      <c r="M637" s="2" t="s">
        <v>49</v>
      </c>
      <c r="N637" s="4" t="n">
        <v>191.04</v>
      </c>
      <c r="O637" s="2" t="str">
        <f aca="false">IF(COUNTIF($A$2:$A$1201,A637)&gt;1,"DUPLICATE","Unique")</f>
        <v>Unique</v>
      </c>
      <c r="P637" s="2" t="str">
        <f aca="false">IF(L637="","MISSING","OK")</f>
        <v>MISSING</v>
      </c>
      <c r="Q637" s="2" t="str">
        <f aca="false">IF(ISNUMBER(B637),"OK","BAD DATE")</f>
        <v>OK</v>
      </c>
      <c r="R637" s="2" t="str">
        <f aca="false">IF(ROUND(F637,2)=F637,"OK","FIX")</f>
        <v>OK</v>
      </c>
    </row>
    <row r="638" customFormat="false" ht="15" hidden="false" customHeight="false" outlineLevel="0" collapsed="false">
      <c r="A638" s="2" t="s">
        <v>2393</v>
      </c>
      <c r="B638" s="3" t="n">
        <v>45204</v>
      </c>
      <c r="C638" s="2" t="s">
        <v>2394</v>
      </c>
      <c r="D638" s="2" t="s">
        <v>62</v>
      </c>
      <c r="E638" s="2" t="n">
        <v>4</v>
      </c>
      <c r="F638" s="4" t="n">
        <v>371.07</v>
      </c>
      <c r="G638" s="2" t="s">
        <v>712</v>
      </c>
      <c r="H638" s="2" t="s">
        <v>69</v>
      </c>
      <c r="I638" s="2" t="s">
        <v>39</v>
      </c>
      <c r="J638" s="2" t="s">
        <v>2395</v>
      </c>
      <c r="K638" s="2" t="n">
        <v>7</v>
      </c>
      <c r="L638" s="2" t="s">
        <v>85</v>
      </c>
      <c r="M638" s="2" t="s">
        <v>49</v>
      </c>
      <c r="N638" s="4" t="n">
        <v>1484.28</v>
      </c>
      <c r="O638" s="2" t="str">
        <f aca="false">IF(COUNTIF($A$2:$A$1201,A638)&gt;1,"DUPLICATE","Unique")</f>
        <v>Unique</v>
      </c>
      <c r="P638" s="2" t="str">
        <f aca="false">IF(L638="","MISSING","OK")</f>
        <v>OK</v>
      </c>
      <c r="Q638" s="2" t="str">
        <f aca="false">IF(ISNUMBER(B638),"OK","BAD DATE")</f>
        <v>OK</v>
      </c>
      <c r="R638" s="2" t="str">
        <f aca="false">IF(ROUND(F638,2)=F638,"OK","FIX")</f>
        <v>OK</v>
      </c>
    </row>
    <row r="639" customFormat="false" ht="15" hidden="false" customHeight="false" outlineLevel="0" collapsed="false">
      <c r="A639" s="2" t="s">
        <v>2396</v>
      </c>
      <c r="B639" s="3" t="n">
        <v>45564</v>
      </c>
      <c r="C639" s="2" t="s">
        <v>2397</v>
      </c>
      <c r="D639" s="2" t="s">
        <v>45</v>
      </c>
      <c r="E639" s="2" t="n">
        <v>4</v>
      </c>
      <c r="F639" s="4" t="n">
        <v>306.35</v>
      </c>
      <c r="G639" s="2" t="s">
        <v>2398</v>
      </c>
      <c r="H639" s="2" t="s">
        <v>64</v>
      </c>
      <c r="I639" s="2" t="s">
        <v>23</v>
      </c>
      <c r="J639" s="2" t="s">
        <v>2399</v>
      </c>
      <c r="K639" s="2" t="n">
        <v>7</v>
      </c>
      <c r="L639" s="2" t="s">
        <v>85</v>
      </c>
      <c r="M639" s="2" t="s">
        <v>33</v>
      </c>
      <c r="N639" s="4" t="n">
        <v>1225.4</v>
      </c>
      <c r="O639" s="2" t="str">
        <f aca="false">IF(COUNTIF($A$2:$A$1201,A639)&gt;1,"DUPLICATE","Unique")</f>
        <v>Unique</v>
      </c>
      <c r="P639" s="2" t="str">
        <f aca="false">IF(L639="","MISSING","OK")</f>
        <v>OK</v>
      </c>
      <c r="Q639" s="2" t="str">
        <f aca="false">IF(ISNUMBER(B639),"OK","BAD DATE")</f>
        <v>OK</v>
      </c>
      <c r="R639" s="2" t="str">
        <f aca="false">IF(ROUND(F639,2)=F639,"OK","FIX")</f>
        <v>OK</v>
      </c>
    </row>
    <row r="640" customFormat="false" ht="15" hidden="false" customHeight="false" outlineLevel="0" collapsed="false">
      <c r="A640" s="2" t="s">
        <v>2400</v>
      </c>
      <c r="B640" s="3" t="n">
        <v>45214</v>
      </c>
      <c r="C640" s="2" t="s">
        <v>2401</v>
      </c>
      <c r="D640" s="2" t="s">
        <v>36</v>
      </c>
      <c r="E640" s="2" t="n">
        <v>4</v>
      </c>
      <c r="F640" s="4" t="n">
        <v>578.27</v>
      </c>
      <c r="G640" s="2" t="s">
        <v>2402</v>
      </c>
      <c r="H640" s="2" t="s">
        <v>31</v>
      </c>
      <c r="I640" s="2" t="s">
        <v>54</v>
      </c>
      <c r="J640" s="2" t="s">
        <v>2403</v>
      </c>
      <c r="K640" s="2" t="n">
        <v>9</v>
      </c>
      <c r="L640" s="2" t="s">
        <v>85</v>
      </c>
      <c r="M640" s="2" t="s">
        <v>42</v>
      </c>
      <c r="N640" s="4" t="n">
        <v>2313.08</v>
      </c>
      <c r="O640" s="2" t="str">
        <f aca="false">IF(COUNTIF($A$2:$A$1201,A640)&gt;1,"DUPLICATE","Unique")</f>
        <v>Unique</v>
      </c>
      <c r="P640" s="2" t="str">
        <f aca="false">IF(L640="","MISSING","OK")</f>
        <v>OK</v>
      </c>
      <c r="Q640" s="2" t="str">
        <f aca="false">IF(ISNUMBER(B640),"OK","BAD DATE")</f>
        <v>OK</v>
      </c>
      <c r="R640" s="2" t="str">
        <f aca="false">IF(ROUND(F640,2)=F640,"OK","FIX")</f>
        <v>OK</v>
      </c>
    </row>
    <row r="641" customFormat="false" ht="15" hidden="false" customHeight="false" outlineLevel="0" collapsed="false">
      <c r="A641" s="2" t="s">
        <v>2404</v>
      </c>
      <c r="B641" s="3" t="n">
        <v>44946</v>
      </c>
      <c r="C641" s="2" t="s">
        <v>2405</v>
      </c>
      <c r="D641" s="2" t="s">
        <v>45</v>
      </c>
      <c r="E641" s="2" t="n">
        <v>1</v>
      </c>
      <c r="F641" s="4" t="n">
        <v>529.19</v>
      </c>
      <c r="G641" s="2" t="s">
        <v>1802</v>
      </c>
      <c r="H641" s="2" t="s">
        <v>69</v>
      </c>
      <c r="I641" s="2" t="s">
        <v>39</v>
      </c>
      <c r="J641" s="2" t="s">
        <v>2406</v>
      </c>
      <c r="K641" s="2" t="n">
        <v>5</v>
      </c>
      <c r="L641" s="2"/>
      <c r="M641" s="2" t="s">
        <v>33</v>
      </c>
      <c r="N641" s="4" t="n">
        <v>529.19</v>
      </c>
      <c r="O641" s="2" t="str">
        <f aca="false">IF(COUNTIF($A$2:$A$1201,A641)&gt;1,"DUPLICATE","Unique")</f>
        <v>Unique</v>
      </c>
      <c r="P641" s="2" t="str">
        <f aca="false">IF(L641="","MISSING","OK")</f>
        <v>MISSING</v>
      </c>
      <c r="Q641" s="2" t="str">
        <f aca="false">IF(ISNUMBER(B641),"OK","BAD DATE")</f>
        <v>OK</v>
      </c>
      <c r="R641" s="2" t="str">
        <f aca="false">IF(ROUND(F641,2)=F641,"OK","FIX")</f>
        <v>OK</v>
      </c>
    </row>
    <row r="642" customFormat="false" ht="15" hidden="false" customHeight="false" outlineLevel="0" collapsed="false">
      <c r="A642" s="2" t="s">
        <v>2407</v>
      </c>
      <c r="B642" s="3" t="n">
        <v>45349</v>
      </c>
      <c r="C642" s="2" t="s">
        <v>2408</v>
      </c>
      <c r="D642" s="2" t="s">
        <v>45</v>
      </c>
      <c r="E642" s="2" t="n">
        <v>2</v>
      </c>
      <c r="F642" s="4" t="n">
        <v>587.49</v>
      </c>
      <c r="G642" s="2" t="s">
        <v>454</v>
      </c>
      <c r="H642" s="2" t="s">
        <v>64</v>
      </c>
      <c r="I642" s="2" t="s">
        <v>47</v>
      </c>
      <c r="J642" s="2" t="s">
        <v>2409</v>
      </c>
      <c r="K642" s="2" t="n">
        <v>6</v>
      </c>
      <c r="L642" s="2" t="s">
        <v>25</v>
      </c>
      <c r="M642" s="2" t="s">
        <v>33</v>
      </c>
      <c r="N642" s="4" t="n">
        <v>1174.98</v>
      </c>
      <c r="O642" s="2" t="str">
        <f aca="false">IF(COUNTIF($A$2:$A$1201,A642)&gt;1,"DUPLICATE","Unique")</f>
        <v>Unique</v>
      </c>
      <c r="P642" s="2" t="str">
        <f aca="false">IF(L642="","MISSING","OK")</f>
        <v>OK</v>
      </c>
      <c r="Q642" s="2" t="str">
        <f aca="false">IF(ISNUMBER(B642),"OK","BAD DATE")</f>
        <v>OK</v>
      </c>
      <c r="R642" s="2" t="str">
        <f aca="false">IF(ROUND(F642,2)=F642,"OK","FIX")</f>
        <v>OK</v>
      </c>
    </row>
    <row r="643" customFormat="false" ht="15" hidden="false" customHeight="false" outlineLevel="0" collapsed="false">
      <c r="A643" s="2" t="s">
        <v>2410</v>
      </c>
      <c r="B643" s="3" t="n">
        <v>45473</v>
      </c>
      <c r="C643" s="2" t="s">
        <v>2411</v>
      </c>
      <c r="D643" s="2" t="s">
        <v>52</v>
      </c>
      <c r="E643" s="2" t="n">
        <v>4</v>
      </c>
      <c r="F643" s="4" t="n">
        <v>567.57</v>
      </c>
      <c r="G643" s="2" t="s">
        <v>1015</v>
      </c>
      <c r="H643" s="2" t="s">
        <v>22</v>
      </c>
      <c r="I643" s="2" t="s">
        <v>93</v>
      </c>
      <c r="J643" s="2" t="s">
        <v>2412</v>
      </c>
      <c r="K643" s="2" t="n">
        <v>9</v>
      </c>
      <c r="L643" s="2" t="s">
        <v>85</v>
      </c>
      <c r="M643" s="2" t="s">
        <v>80</v>
      </c>
      <c r="N643" s="4" t="n">
        <v>2270.28</v>
      </c>
      <c r="O643" s="2" t="str">
        <f aca="false">IF(COUNTIF($A$2:$A$1201,A643)&gt;1,"DUPLICATE","Unique")</f>
        <v>Unique</v>
      </c>
      <c r="P643" s="2" t="str">
        <f aca="false">IF(L643="","MISSING","OK")</f>
        <v>OK</v>
      </c>
      <c r="Q643" s="2" t="str">
        <f aca="false">IF(ISNUMBER(B643),"OK","BAD DATE")</f>
        <v>OK</v>
      </c>
      <c r="R643" s="2" t="str">
        <f aca="false">IF(ROUND(F643,2)=F643,"OK","FIX")</f>
        <v>OK</v>
      </c>
    </row>
    <row r="644" customFormat="false" ht="15" hidden="false" customHeight="false" outlineLevel="0" collapsed="false">
      <c r="A644" s="2" t="s">
        <v>2413</v>
      </c>
      <c r="B644" s="3" t="n">
        <v>45411</v>
      </c>
      <c r="C644" s="2" t="s">
        <v>2414</v>
      </c>
      <c r="D644" s="2" t="s">
        <v>45</v>
      </c>
      <c r="E644" s="2" t="n">
        <v>5</v>
      </c>
      <c r="F644" s="4" t="n">
        <v>85.22</v>
      </c>
      <c r="G644" s="2" t="s">
        <v>2415</v>
      </c>
      <c r="H644" s="2" t="s">
        <v>38</v>
      </c>
      <c r="I644" s="2" t="s">
        <v>39</v>
      </c>
      <c r="J644" s="2" t="s">
        <v>2416</v>
      </c>
      <c r="K644" s="2" t="n">
        <v>7</v>
      </c>
      <c r="L644" s="2" t="s">
        <v>41</v>
      </c>
      <c r="M644" s="2" t="s">
        <v>42</v>
      </c>
      <c r="N644" s="4" t="n">
        <v>426.1</v>
      </c>
      <c r="O644" s="2" t="str">
        <f aca="false">IF(COUNTIF($A$2:$A$1201,A644)&gt;1,"DUPLICATE","Unique")</f>
        <v>Unique</v>
      </c>
      <c r="P644" s="2" t="str">
        <f aca="false">IF(L644="","MISSING","OK")</f>
        <v>OK</v>
      </c>
      <c r="Q644" s="2" t="str">
        <f aca="false">IF(ISNUMBER(B644),"OK","BAD DATE")</f>
        <v>OK</v>
      </c>
      <c r="R644" s="2" t="str">
        <f aca="false">IF(ROUND(F644,2)=F644,"OK","FIX")</f>
        <v>OK</v>
      </c>
    </row>
    <row r="645" customFormat="false" ht="15" hidden="false" customHeight="false" outlineLevel="0" collapsed="false">
      <c r="A645" s="2" t="s">
        <v>2417</v>
      </c>
      <c r="B645" s="3" t="n">
        <v>45530</v>
      </c>
      <c r="C645" s="2" t="s">
        <v>2418</v>
      </c>
      <c r="D645" s="2" t="s">
        <v>62</v>
      </c>
      <c r="E645" s="2" t="n">
        <v>1</v>
      </c>
      <c r="F645" s="4" t="n">
        <v>438.37</v>
      </c>
      <c r="G645" s="2" t="s">
        <v>454</v>
      </c>
      <c r="H645" s="2" t="s">
        <v>69</v>
      </c>
      <c r="I645" s="2" t="s">
        <v>39</v>
      </c>
      <c r="J645" s="2" t="s">
        <v>2419</v>
      </c>
      <c r="K645" s="2" t="n">
        <v>4</v>
      </c>
      <c r="L645" s="2" t="s">
        <v>25</v>
      </c>
      <c r="M645" s="2" t="s">
        <v>33</v>
      </c>
      <c r="N645" s="4" t="n">
        <v>438.37</v>
      </c>
      <c r="O645" s="2" t="str">
        <f aca="false">IF(COUNTIF($A$2:$A$1201,A645)&gt;1,"DUPLICATE","Unique")</f>
        <v>Unique</v>
      </c>
      <c r="P645" s="2" t="str">
        <f aca="false">IF(L645="","MISSING","OK")</f>
        <v>OK</v>
      </c>
      <c r="Q645" s="2" t="str">
        <f aca="false">IF(ISNUMBER(B645),"OK","BAD DATE")</f>
        <v>OK</v>
      </c>
      <c r="R645" s="2" t="str">
        <f aca="false">IF(ROUND(F645,2)=F645,"OK","FIX")</f>
        <v>OK</v>
      </c>
    </row>
    <row r="646" customFormat="false" ht="15" hidden="false" customHeight="false" outlineLevel="0" collapsed="false">
      <c r="A646" s="2" t="s">
        <v>2420</v>
      </c>
      <c r="B646" s="3" t="n">
        <v>45245</v>
      </c>
      <c r="C646" s="2" t="s">
        <v>2421</v>
      </c>
      <c r="D646" s="2" t="s">
        <v>45</v>
      </c>
      <c r="E646" s="2" t="n">
        <v>2</v>
      </c>
      <c r="F646" s="4" t="n">
        <v>366.23</v>
      </c>
      <c r="G646" s="2" t="s">
        <v>2422</v>
      </c>
      <c r="H646" s="2" t="s">
        <v>69</v>
      </c>
      <c r="I646" s="2" t="s">
        <v>23</v>
      </c>
      <c r="J646" s="2" t="s">
        <v>2423</v>
      </c>
      <c r="K646" s="2" t="n">
        <v>2</v>
      </c>
      <c r="L646" s="2" t="s">
        <v>85</v>
      </c>
      <c r="M646" s="2" t="s">
        <v>42</v>
      </c>
      <c r="N646" s="4" t="n">
        <v>732.46</v>
      </c>
      <c r="O646" s="2" t="str">
        <f aca="false">IF(COUNTIF($A$2:$A$1201,A646)&gt;1,"DUPLICATE","Unique")</f>
        <v>Unique</v>
      </c>
      <c r="P646" s="2" t="str">
        <f aca="false">IF(L646="","MISSING","OK")</f>
        <v>OK</v>
      </c>
      <c r="Q646" s="2" t="str">
        <f aca="false">IF(ISNUMBER(B646),"OK","BAD DATE")</f>
        <v>OK</v>
      </c>
      <c r="R646" s="2" t="str">
        <f aca="false">IF(ROUND(F646,2)=F646,"OK","FIX")</f>
        <v>OK</v>
      </c>
    </row>
    <row r="647" customFormat="false" ht="15" hidden="false" customHeight="false" outlineLevel="0" collapsed="false">
      <c r="A647" s="2" t="s">
        <v>2424</v>
      </c>
      <c r="B647" s="3" t="n">
        <v>44928</v>
      </c>
      <c r="C647" s="2" t="s">
        <v>2425</v>
      </c>
      <c r="D647" s="2" t="s">
        <v>62</v>
      </c>
      <c r="E647" s="2" t="n">
        <v>2</v>
      </c>
      <c r="F647" s="4" t="n">
        <v>150.05</v>
      </c>
      <c r="G647" s="2" t="s">
        <v>529</v>
      </c>
      <c r="H647" s="2" t="s">
        <v>38</v>
      </c>
      <c r="I647" s="2" t="s">
        <v>39</v>
      </c>
      <c r="J647" s="2" t="s">
        <v>2426</v>
      </c>
      <c r="K647" s="2" t="n">
        <v>4</v>
      </c>
      <c r="L647" s="2" t="s">
        <v>25</v>
      </c>
      <c r="M647" s="2" t="s">
        <v>49</v>
      </c>
      <c r="N647" s="4" t="n">
        <v>300.1</v>
      </c>
      <c r="O647" s="2" t="str">
        <f aca="false">IF(COUNTIF($A$2:$A$1201,A647)&gt;1,"DUPLICATE","Unique")</f>
        <v>Unique</v>
      </c>
      <c r="P647" s="2" t="str">
        <f aca="false">IF(L647="","MISSING","OK")</f>
        <v>OK</v>
      </c>
      <c r="Q647" s="2" t="str">
        <f aca="false">IF(ISNUMBER(B647),"OK","BAD DATE")</f>
        <v>OK</v>
      </c>
      <c r="R647" s="2" t="str">
        <f aca="false">IF(ROUND(F647,2)=F647,"OK","FIX")</f>
        <v>OK</v>
      </c>
    </row>
    <row r="648" customFormat="false" ht="15" hidden="false" customHeight="false" outlineLevel="0" collapsed="false">
      <c r="A648" s="2" t="s">
        <v>2427</v>
      </c>
      <c r="B648" s="3" t="n">
        <v>45226</v>
      </c>
      <c r="C648" s="2" t="s">
        <v>2428</v>
      </c>
      <c r="D648" s="2" t="s">
        <v>45</v>
      </c>
      <c r="E648" s="2" t="n">
        <v>4</v>
      </c>
      <c r="F648" s="4" t="n">
        <v>498.51</v>
      </c>
      <c r="G648" s="2" t="s">
        <v>2429</v>
      </c>
      <c r="H648" s="2" t="s">
        <v>22</v>
      </c>
      <c r="I648" s="2" t="s">
        <v>23</v>
      </c>
      <c r="J648" s="2" t="s">
        <v>2430</v>
      </c>
      <c r="K648" s="2" t="n">
        <v>4</v>
      </c>
      <c r="L648" s="2" t="s">
        <v>25</v>
      </c>
      <c r="M648" s="2" t="s">
        <v>80</v>
      </c>
      <c r="N648" s="4" t="n">
        <v>1994.04</v>
      </c>
      <c r="O648" s="2" t="str">
        <f aca="false">IF(COUNTIF($A$2:$A$1201,A648)&gt;1,"DUPLICATE","Unique")</f>
        <v>Unique</v>
      </c>
      <c r="P648" s="2" t="str">
        <f aca="false">IF(L648="","MISSING","OK")</f>
        <v>OK</v>
      </c>
      <c r="Q648" s="2" t="str">
        <f aca="false">IF(ISNUMBER(B648),"OK","BAD DATE")</f>
        <v>OK</v>
      </c>
      <c r="R648" s="2" t="str">
        <f aca="false">IF(ROUND(F648,2)=F648,"OK","FIX")</f>
        <v>OK</v>
      </c>
    </row>
    <row r="649" customFormat="false" ht="15" hidden="false" customHeight="false" outlineLevel="0" collapsed="false">
      <c r="A649" s="2" t="s">
        <v>2431</v>
      </c>
      <c r="B649" s="3" t="n">
        <v>45771</v>
      </c>
      <c r="C649" s="2" t="s">
        <v>2432</v>
      </c>
      <c r="D649" s="2" t="s">
        <v>77</v>
      </c>
      <c r="E649" s="2" t="n">
        <v>3</v>
      </c>
      <c r="F649" s="4" t="n">
        <v>339.39</v>
      </c>
      <c r="G649" s="2" t="s">
        <v>685</v>
      </c>
      <c r="H649" s="2" t="s">
        <v>69</v>
      </c>
      <c r="I649" s="2" t="s">
        <v>47</v>
      </c>
      <c r="J649" s="2" t="s">
        <v>2433</v>
      </c>
      <c r="K649" s="2" t="n">
        <v>7</v>
      </c>
      <c r="L649" s="2" t="s">
        <v>41</v>
      </c>
      <c r="M649" s="2" t="s">
        <v>80</v>
      </c>
      <c r="N649" s="4" t="n">
        <v>1018.17</v>
      </c>
      <c r="O649" s="2" t="str">
        <f aca="false">IF(COUNTIF($A$2:$A$1201,A649)&gt;1,"DUPLICATE","Unique")</f>
        <v>Unique</v>
      </c>
      <c r="P649" s="2" t="str">
        <f aca="false">IF(L649="","MISSING","OK")</f>
        <v>OK</v>
      </c>
      <c r="Q649" s="2" t="str">
        <f aca="false">IF(ISNUMBER(B649),"OK","BAD DATE")</f>
        <v>OK</v>
      </c>
      <c r="R649" s="2" t="str">
        <f aca="false">IF(ROUND(F649,2)=F649,"OK","FIX")</f>
        <v>OK</v>
      </c>
    </row>
    <row r="650" customFormat="false" ht="15" hidden="false" customHeight="false" outlineLevel="0" collapsed="false">
      <c r="A650" s="2" t="s">
        <v>2434</v>
      </c>
      <c r="B650" s="3" t="n">
        <v>45675</v>
      </c>
      <c r="C650" s="2" t="s">
        <v>2435</v>
      </c>
      <c r="D650" s="2" t="s">
        <v>20</v>
      </c>
      <c r="E650" s="2" t="n">
        <v>2</v>
      </c>
      <c r="F650" s="4" t="n">
        <v>575.83</v>
      </c>
      <c r="G650" s="2" t="s">
        <v>2436</v>
      </c>
      <c r="H650" s="2" t="s">
        <v>31</v>
      </c>
      <c r="I650" s="2" t="s">
        <v>54</v>
      </c>
      <c r="J650" s="2" t="s">
        <v>2437</v>
      </c>
      <c r="K650" s="2" t="n">
        <v>3</v>
      </c>
      <c r="L650" s="2" t="s">
        <v>85</v>
      </c>
      <c r="M650" s="2" t="s">
        <v>33</v>
      </c>
      <c r="N650" s="4" t="n">
        <v>1151.66</v>
      </c>
      <c r="O650" s="2" t="str">
        <f aca="false">IF(COUNTIF($A$2:$A$1201,A650)&gt;1,"DUPLICATE","Unique")</f>
        <v>Unique</v>
      </c>
      <c r="P650" s="2" t="str">
        <f aca="false">IF(L650="","MISSING","OK")</f>
        <v>OK</v>
      </c>
      <c r="Q650" s="2" t="str">
        <f aca="false">IF(ISNUMBER(B650),"OK","BAD DATE")</f>
        <v>OK</v>
      </c>
      <c r="R650" s="2" t="str">
        <f aca="false">IF(ROUND(F650,2)=F650,"OK","FIX")</f>
        <v>OK</v>
      </c>
    </row>
    <row r="651" customFormat="false" ht="15" hidden="false" customHeight="false" outlineLevel="0" collapsed="false">
      <c r="A651" s="2" t="s">
        <v>2438</v>
      </c>
      <c r="B651" s="3" t="n">
        <v>45283</v>
      </c>
      <c r="C651" s="2" t="s">
        <v>2439</v>
      </c>
      <c r="D651" s="2" t="s">
        <v>20</v>
      </c>
      <c r="E651" s="2" t="n">
        <v>2</v>
      </c>
      <c r="F651" s="4" t="n">
        <v>642.98</v>
      </c>
      <c r="G651" s="2" t="s">
        <v>1047</v>
      </c>
      <c r="H651" s="2" t="s">
        <v>22</v>
      </c>
      <c r="I651" s="2" t="s">
        <v>47</v>
      </c>
      <c r="J651" s="2" t="s">
        <v>2440</v>
      </c>
      <c r="K651" s="2" t="n">
        <v>7</v>
      </c>
      <c r="L651" s="2" t="s">
        <v>41</v>
      </c>
      <c r="M651" s="2" t="s">
        <v>42</v>
      </c>
      <c r="N651" s="4" t="n">
        <v>1285.96</v>
      </c>
      <c r="O651" s="2" t="str">
        <f aca="false">IF(COUNTIF($A$2:$A$1201,A651)&gt;1,"DUPLICATE","Unique")</f>
        <v>Unique</v>
      </c>
      <c r="P651" s="2" t="str">
        <f aca="false">IF(L651="","MISSING","OK")</f>
        <v>OK</v>
      </c>
      <c r="Q651" s="2" t="str">
        <f aca="false">IF(ISNUMBER(B651),"OK","BAD DATE")</f>
        <v>OK</v>
      </c>
      <c r="R651" s="2" t="str">
        <f aca="false">IF(ROUND(F651,2)=F651,"OK","FIX")</f>
        <v>OK</v>
      </c>
    </row>
    <row r="652" customFormat="false" ht="15" hidden="false" customHeight="false" outlineLevel="0" collapsed="false">
      <c r="A652" s="2" t="s">
        <v>2441</v>
      </c>
      <c r="B652" s="3" t="n">
        <v>45064</v>
      </c>
      <c r="C652" s="2" t="s">
        <v>2442</v>
      </c>
      <c r="D652" s="2" t="s">
        <v>77</v>
      </c>
      <c r="E652" s="2" t="n">
        <v>2</v>
      </c>
      <c r="F652" s="4" t="n">
        <v>372.23</v>
      </c>
      <c r="G652" s="2" t="s">
        <v>2443</v>
      </c>
      <c r="H652" s="2" t="s">
        <v>64</v>
      </c>
      <c r="I652" s="2" t="s">
        <v>54</v>
      </c>
      <c r="J652" s="2" t="s">
        <v>2444</v>
      </c>
      <c r="K652" s="2" t="n">
        <v>7</v>
      </c>
      <c r="L652" s="2" t="s">
        <v>25</v>
      </c>
      <c r="M652" s="2" t="s">
        <v>42</v>
      </c>
      <c r="N652" s="4" t="n">
        <v>744.46</v>
      </c>
      <c r="O652" s="2" t="str">
        <f aca="false">IF(COUNTIF($A$2:$A$1201,A652)&gt;1,"DUPLICATE","Unique")</f>
        <v>Unique</v>
      </c>
      <c r="P652" s="2" t="str">
        <f aca="false">IF(L652="","MISSING","OK")</f>
        <v>OK</v>
      </c>
      <c r="Q652" s="2" t="str">
        <f aca="false">IF(ISNUMBER(B652),"OK","BAD DATE")</f>
        <v>OK</v>
      </c>
      <c r="R652" s="2" t="str">
        <f aca="false">IF(ROUND(F652,2)=F652,"OK","FIX")</f>
        <v>OK</v>
      </c>
    </row>
    <row r="653" customFormat="false" ht="15" hidden="false" customHeight="false" outlineLevel="0" collapsed="false">
      <c r="A653" s="2" t="s">
        <v>2445</v>
      </c>
      <c r="B653" s="3" t="n">
        <v>45608</v>
      </c>
      <c r="C653" s="2" t="s">
        <v>2446</v>
      </c>
      <c r="D653" s="2" t="s">
        <v>45</v>
      </c>
      <c r="E653" s="2" t="n">
        <v>3</v>
      </c>
      <c r="F653" s="4" t="n">
        <v>646.34</v>
      </c>
      <c r="G653" s="2" t="s">
        <v>798</v>
      </c>
      <c r="H653" s="2" t="s">
        <v>22</v>
      </c>
      <c r="I653" s="2" t="s">
        <v>93</v>
      </c>
      <c r="J653" s="2" t="s">
        <v>2447</v>
      </c>
      <c r="K653" s="2" t="n">
        <v>5</v>
      </c>
      <c r="L653" s="2"/>
      <c r="M653" s="2" t="s">
        <v>80</v>
      </c>
      <c r="N653" s="4" t="n">
        <v>1939.02</v>
      </c>
      <c r="O653" s="2" t="str">
        <f aca="false">IF(COUNTIF($A$2:$A$1201,A653)&gt;1,"DUPLICATE","Unique")</f>
        <v>Unique</v>
      </c>
      <c r="P653" s="2" t="str">
        <f aca="false">IF(L653="","MISSING","OK")</f>
        <v>MISSING</v>
      </c>
      <c r="Q653" s="2" t="str">
        <f aca="false">IF(ISNUMBER(B653),"OK","BAD DATE")</f>
        <v>OK</v>
      </c>
      <c r="R653" s="2" t="str">
        <f aca="false">IF(ROUND(F653,2)=F653,"OK","FIX")</f>
        <v>OK</v>
      </c>
    </row>
    <row r="654" customFormat="false" ht="15" hidden="false" customHeight="false" outlineLevel="0" collapsed="false">
      <c r="A654" s="2" t="s">
        <v>2448</v>
      </c>
      <c r="B654" s="3" t="n">
        <v>45448</v>
      </c>
      <c r="C654" s="2" t="s">
        <v>2449</v>
      </c>
      <c r="D654" s="2" t="s">
        <v>45</v>
      </c>
      <c r="E654" s="2" t="n">
        <v>5</v>
      </c>
      <c r="F654" s="4" t="n">
        <v>341.84</v>
      </c>
      <c r="G654" s="2" t="s">
        <v>2450</v>
      </c>
      <c r="H654" s="2" t="s">
        <v>31</v>
      </c>
      <c r="I654" s="2" t="s">
        <v>23</v>
      </c>
      <c r="J654" s="2" t="s">
        <v>2451</v>
      </c>
      <c r="K654" s="2" t="n">
        <v>8</v>
      </c>
      <c r="L654" s="2" t="s">
        <v>41</v>
      </c>
      <c r="M654" s="2" t="s">
        <v>26</v>
      </c>
      <c r="N654" s="4" t="n">
        <v>1709.2</v>
      </c>
      <c r="O654" s="2" t="str">
        <f aca="false">IF(COUNTIF($A$2:$A$1201,A654)&gt;1,"DUPLICATE","Unique")</f>
        <v>Unique</v>
      </c>
      <c r="P654" s="2" t="str">
        <f aca="false">IF(L654="","MISSING","OK")</f>
        <v>OK</v>
      </c>
      <c r="Q654" s="2" t="str">
        <f aca="false">IF(ISNUMBER(B654),"OK","BAD DATE")</f>
        <v>OK</v>
      </c>
      <c r="R654" s="2" t="str">
        <f aca="false">IF(ROUND(F654,2)=F654,"OK","FIX")</f>
        <v>OK</v>
      </c>
    </row>
    <row r="655" customFormat="false" ht="15" hidden="false" customHeight="false" outlineLevel="0" collapsed="false">
      <c r="A655" s="2" t="s">
        <v>2452</v>
      </c>
      <c r="B655" s="3" t="n">
        <v>45347</v>
      </c>
      <c r="C655" s="2" t="s">
        <v>2453</v>
      </c>
      <c r="D655" s="2" t="s">
        <v>52</v>
      </c>
      <c r="E655" s="2" t="n">
        <v>3</v>
      </c>
      <c r="F655" s="4" t="n">
        <v>690.3</v>
      </c>
      <c r="G655" s="2" t="s">
        <v>1419</v>
      </c>
      <c r="H655" s="2" t="s">
        <v>38</v>
      </c>
      <c r="I655" s="2" t="s">
        <v>23</v>
      </c>
      <c r="J655" s="2" t="s">
        <v>2454</v>
      </c>
      <c r="K655" s="2" t="n">
        <v>6</v>
      </c>
      <c r="L655" s="2" t="s">
        <v>85</v>
      </c>
      <c r="M655" s="2" t="s">
        <v>80</v>
      </c>
      <c r="N655" s="4" t="n">
        <v>2070.9</v>
      </c>
      <c r="O655" s="2" t="str">
        <f aca="false">IF(COUNTIF($A$2:$A$1201,A655)&gt;1,"DUPLICATE","Unique")</f>
        <v>Unique</v>
      </c>
      <c r="P655" s="2" t="str">
        <f aca="false">IF(L655="","MISSING","OK")</f>
        <v>OK</v>
      </c>
      <c r="Q655" s="2" t="str">
        <f aca="false">IF(ISNUMBER(B655),"OK","BAD DATE")</f>
        <v>OK</v>
      </c>
      <c r="R655" s="2" t="str">
        <f aca="false">IF(ROUND(F655,2)=F655,"OK","FIX")</f>
        <v>OK</v>
      </c>
    </row>
    <row r="656" customFormat="false" ht="15" hidden="false" customHeight="false" outlineLevel="0" collapsed="false">
      <c r="A656" s="2" t="s">
        <v>2455</v>
      </c>
      <c r="B656" s="3" t="n">
        <v>45089</v>
      </c>
      <c r="C656" s="2" t="s">
        <v>2456</v>
      </c>
      <c r="D656" s="2" t="s">
        <v>36</v>
      </c>
      <c r="E656" s="2" t="n">
        <v>3</v>
      </c>
      <c r="F656" s="4" t="n">
        <v>382.37</v>
      </c>
      <c r="G656" s="2" t="s">
        <v>2457</v>
      </c>
      <c r="H656" s="2" t="s">
        <v>22</v>
      </c>
      <c r="I656" s="2" t="s">
        <v>47</v>
      </c>
      <c r="J656" s="2" t="s">
        <v>2458</v>
      </c>
      <c r="K656" s="2" t="n">
        <v>8</v>
      </c>
      <c r="L656" s="2"/>
      <c r="M656" s="2" t="s">
        <v>26</v>
      </c>
      <c r="N656" s="4" t="n">
        <v>1147.11</v>
      </c>
      <c r="O656" s="2" t="str">
        <f aca="false">IF(COUNTIF($A$2:$A$1201,A656)&gt;1,"DUPLICATE","Unique")</f>
        <v>Unique</v>
      </c>
      <c r="P656" s="2" t="str">
        <f aca="false">IF(L656="","MISSING","OK")</f>
        <v>MISSING</v>
      </c>
      <c r="Q656" s="2" t="str">
        <f aca="false">IF(ISNUMBER(B656),"OK","BAD DATE")</f>
        <v>OK</v>
      </c>
      <c r="R656" s="2" t="str">
        <f aca="false">IF(ROUND(F656,2)=F656,"OK","FIX")</f>
        <v>OK</v>
      </c>
    </row>
    <row r="657" customFormat="false" ht="15" hidden="false" customHeight="false" outlineLevel="0" collapsed="false">
      <c r="A657" s="2" t="s">
        <v>2459</v>
      </c>
      <c r="B657" s="3" t="n">
        <v>44999</v>
      </c>
      <c r="C657" s="2" t="s">
        <v>2460</v>
      </c>
      <c r="D657" s="2" t="s">
        <v>45</v>
      </c>
      <c r="E657" s="2" t="n">
        <v>2</v>
      </c>
      <c r="F657" s="4" t="n">
        <v>132.6</v>
      </c>
      <c r="G657" s="2" t="s">
        <v>1731</v>
      </c>
      <c r="H657" s="2" t="s">
        <v>22</v>
      </c>
      <c r="I657" s="2" t="s">
        <v>39</v>
      </c>
      <c r="J657" s="2" t="s">
        <v>2461</v>
      </c>
      <c r="K657" s="2" t="n">
        <v>4</v>
      </c>
      <c r="L657" s="2" t="s">
        <v>85</v>
      </c>
      <c r="M657" s="2" t="s">
        <v>42</v>
      </c>
      <c r="N657" s="4" t="n">
        <v>265.2</v>
      </c>
      <c r="O657" s="2" t="str">
        <f aca="false">IF(COUNTIF($A$2:$A$1201,A657)&gt;1,"DUPLICATE","Unique")</f>
        <v>Unique</v>
      </c>
      <c r="P657" s="2" t="str">
        <f aca="false">IF(L657="","MISSING","OK")</f>
        <v>OK</v>
      </c>
      <c r="Q657" s="2" t="str">
        <f aca="false">IF(ISNUMBER(B657),"OK","BAD DATE")</f>
        <v>OK</v>
      </c>
      <c r="R657" s="2" t="str">
        <f aca="false">IF(ROUND(F657,2)=F657,"OK","FIX")</f>
        <v>OK</v>
      </c>
    </row>
    <row r="658" customFormat="false" ht="15" hidden="false" customHeight="false" outlineLevel="0" collapsed="false">
      <c r="A658" s="2" t="s">
        <v>2462</v>
      </c>
      <c r="B658" s="3" t="n">
        <v>45309</v>
      </c>
      <c r="C658" s="2" t="s">
        <v>2463</v>
      </c>
      <c r="D658" s="2" t="s">
        <v>20</v>
      </c>
      <c r="E658" s="2" t="n">
        <v>2</v>
      </c>
      <c r="F658" s="4" t="n">
        <v>189.06</v>
      </c>
      <c r="G658" s="2" t="s">
        <v>2464</v>
      </c>
      <c r="H658" s="2" t="s">
        <v>64</v>
      </c>
      <c r="I658" s="2" t="s">
        <v>23</v>
      </c>
      <c r="J658" s="2" t="s">
        <v>2465</v>
      </c>
      <c r="K658" s="2" t="n">
        <v>7</v>
      </c>
      <c r="L658" s="2" t="s">
        <v>25</v>
      </c>
      <c r="M658" s="2" t="s">
        <v>49</v>
      </c>
      <c r="N658" s="4" t="n">
        <v>378.12</v>
      </c>
      <c r="O658" s="2" t="str">
        <f aca="false">IF(COUNTIF($A$2:$A$1201,A658)&gt;1,"DUPLICATE","Unique")</f>
        <v>Unique</v>
      </c>
      <c r="P658" s="2" t="str">
        <f aca="false">IF(L658="","MISSING","OK")</f>
        <v>OK</v>
      </c>
      <c r="Q658" s="2" t="str">
        <f aca="false">IF(ISNUMBER(B658),"OK","BAD DATE")</f>
        <v>OK</v>
      </c>
      <c r="R658" s="2" t="str">
        <f aca="false">IF(ROUND(F658,2)=F658,"OK","FIX")</f>
        <v>OK</v>
      </c>
    </row>
    <row r="659" customFormat="false" ht="15" hidden="false" customHeight="false" outlineLevel="0" collapsed="false">
      <c r="A659" s="2" t="s">
        <v>2466</v>
      </c>
      <c r="B659" s="3" t="n">
        <v>45284</v>
      </c>
      <c r="C659" s="2" t="s">
        <v>2467</v>
      </c>
      <c r="D659" s="2" t="s">
        <v>36</v>
      </c>
      <c r="E659" s="2" t="n">
        <v>4</v>
      </c>
      <c r="F659" s="4" t="n">
        <v>87.79</v>
      </c>
      <c r="G659" s="2" t="s">
        <v>1310</v>
      </c>
      <c r="H659" s="2" t="s">
        <v>69</v>
      </c>
      <c r="I659" s="2" t="s">
        <v>39</v>
      </c>
      <c r="J659" s="2" t="s">
        <v>2468</v>
      </c>
      <c r="K659" s="2" t="n">
        <v>6</v>
      </c>
      <c r="L659" s="2" t="s">
        <v>41</v>
      </c>
      <c r="M659" s="2" t="s">
        <v>26</v>
      </c>
      <c r="N659" s="4" t="n">
        <v>351.16</v>
      </c>
      <c r="O659" s="2" t="str">
        <f aca="false">IF(COUNTIF($A$2:$A$1201,A659)&gt;1,"DUPLICATE","Unique")</f>
        <v>Unique</v>
      </c>
      <c r="P659" s="2" t="str">
        <f aca="false">IF(L659="","MISSING","OK")</f>
        <v>OK</v>
      </c>
      <c r="Q659" s="2" t="str">
        <f aca="false">IF(ISNUMBER(B659),"OK","BAD DATE")</f>
        <v>OK</v>
      </c>
      <c r="R659" s="2" t="str">
        <f aca="false">IF(ROUND(F659,2)=F659,"OK","FIX")</f>
        <v>OK</v>
      </c>
    </row>
    <row r="660" customFormat="false" ht="15" hidden="false" customHeight="false" outlineLevel="0" collapsed="false">
      <c r="A660" s="2" t="s">
        <v>2469</v>
      </c>
      <c r="B660" s="3" t="n">
        <v>45765</v>
      </c>
      <c r="C660" s="2" t="s">
        <v>2470</v>
      </c>
      <c r="D660" s="2" t="s">
        <v>52</v>
      </c>
      <c r="E660" s="2" t="n">
        <v>2</v>
      </c>
      <c r="F660" s="4" t="n">
        <v>46.36</v>
      </c>
      <c r="G660" s="2" t="s">
        <v>1165</v>
      </c>
      <c r="H660" s="2" t="s">
        <v>64</v>
      </c>
      <c r="I660" s="2" t="s">
        <v>47</v>
      </c>
      <c r="J660" s="2" t="s">
        <v>2471</v>
      </c>
      <c r="K660" s="2" t="n">
        <v>4</v>
      </c>
      <c r="L660" s="2" t="s">
        <v>25</v>
      </c>
      <c r="M660" s="2" t="s">
        <v>80</v>
      </c>
      <c r="N660" s="4" t="n">
        <v>92.72</v>
      </c>
      <c r="O660" s="2" t="str">
        <f aca="false">IF(COUNTIF($A$2:$A$1201,A660)&gt;1,"DUPLICATE","Unique")</f>
        <v>Unique</v>
      </c>
      <c r="P660" s="2" t="str">
        <f aca="false">IF(L660="","MISSING","OK")</f>
        <v>OK</v>
      </c>
      <c r="Q660" s="2" t="str">
        <f aca="false">IF(ISNUMBER(B660),"OK","BAD DATE")</f>
        <v>OK</v>
      </c>
      <c r="R660" s="2" t="str">
        <f aca="false">IF(ROUND(F660,2)=F660,"OK","FIX")</f>
        <v>OK</v>
      </c>
    </row>
    <row r="661" customFormat="false" ht="15" hidden="false" customHeight="false" outlineLevel="0" collapsed="false">
      <c r="A661" s="2" t="s">
        <v>2472</v>
      </c>
      <c r="B661" s="3" t="n">
        <v>45591</v>
      </c>
      <c r="C661" s="2" t="s">
        <v>2473</v>
      </c>
      <c r="D661" s="2" t="s">
        <v>29</v>
      </c>
      <c r="E661" s="2" t="n">
        <v>2</v>
      </c>
      <c r="F661" s="4" t="n">
        <v>642.04</v>
      </c>
      <c r="G661" s="2" t="s">
        <v>2083</v>
      </c>
      <c r="H661" s="2" t="s">
        <v>64</v>
      </c>
      <c r="I661" s="2" t="s">
        <v>54</v>
      </c>
      <c r="J661" s="2" t="s">
        <v>2474</v>
      </c>
      <c r="K661" s="2" t="n">
        <v>4</v>
      </c>
      <c r="L661" s="2" t="s">
        <v>85</v>
      </c>
      <c r="M661" s="2" t="s">
        <v>42</v>
      </c>
      <c r="N661" s="4" t="n">
        <v>1284.08</v>
      </c>
      <c r="O661" s="2" t="str">
        <f aca="false">IF(COUNTIF($A$2:$A$1201,A661)&gt;1,"DUPLICATE","Unique")</f>
        <v>Unique</v>
      </c>
      <c r="P661" s="2" t="str">
        <f aca="false">IF(L661="","MISSING","OK")</f>
        <v>OK</v>
      </c>
      <c r="Q661" s="2" t="str">
        <f aca="false">IF(ISNUMBER(B661),"OK","BAD DATE")</f>
        <v>OK</v>
      </c>
      <c r="R661" s="2" t="str">
        <f aca="false">IF(ROUND(F661,2)=F661,"OK","FIX")</f>
        <v>OK</v>
      </c>
    </row>
    <row r="662" customFormat="false" ht="15" hidden="false" customHeight="false" outlineLevel="0" collapsed="false">
      <c r="A662" s="2" t="s">
        <v>2475</v>
      </c>
      <c r="B662" s="3" t="n">
        <v>45584</v>
      </c>
      <c r="C662" s="2" t="s">
        <v>2476</v>
      </c>
      <c r="D662" s="2" t="s">
        <v>45</v>
      </c>
      <c r="E662" s="2" t="n">
        <v>2</v>
      </c>
      <c r="F662" s="4" t="n">
        <v>651.57</v>
      </c>
      <c r="G662" s="2" t="s">
        <v>607</v>
      </c>
      <c r="H662" s="2" t="s">
        <v>22</v>
      </c>
      <c r="I662" s="2" t="s">
        <v>23</v>
      </c>
      <c r="J662" s="2" t="s">
        <v>2477</v>
      </c>
      <c r="K662" s="2" t="n">
        <v>7</v>
      </c>
      <c r="L662" s="2" t="s">
        <v>85</v>
      </c>
      <c r="M662" s="2" t="s">
        <v>49</v>
      </c>
      <c r="N662" s="4" t="n">
        <v>1303.14</v>
      </c>
      <c r="O662" s="2" t="str">
        <f aca="false">IF(COUNTIF($A$2:$A$1201,A662)&gt;1,"DUPLICATE","Unique")</f>
        <v>Unique</v>
      </c>
      <c r="P662" s="2" t="str">
        <f aca="false">IF(L662="","MISSING","OK")</f>
        <v>OK</v>
      </c>
      <c r="Q662" s="2" t="str">
        <f aca="false">IF(ISNUMBER(B662),"OK","BAD DATE")</f>
        <v>OK</v>
      </c>
      <c r="R662" s="2" t="str">
        <f aca="false">IF(ROUND(F662,2)=F662,"OK","FIX")</f>
        <v>OK</v>
      </c>
    </row>
    <row r="663" customFormat="false" ht="15" hidden="false" customHeight="false" outlineLevel="0" collapsed="false">
      <c r="A663" s="2" t="s">
        <v>2478</v>
      </c>
      <c r="B663" s="3" t="n">
        <v>45716</v>
      </c>
      <c r="C663" s="2" t="s">
        <v>2479</v>
      </c>
      <c r="D663" s="2" t="s">
        <v>36</v>
      </c>
      <c r="E663" s="2" t="n">
        <v>3</v>
      </c>
      <c r="F663" s="4" t="n">
        <v>424.89</v>
      </c>
      <c r="G663" s="2" t="s">
        <v>2480</v>
      </c>
      <c r="H663" s="2" t="s">
        <v>22</v>
      </c>
      <c r="I663" s="2" t="s">
        <v>39</v>
      </c>
      <c r="J663" s="2" t="s">
        <v>2481</v>
      </c>
      <c r="K663" s="2" t="n">
        <v>6</v>
      </c>
      <c r="L663" s="2" t="s">
        <v>41</v>
      </c>
      <c r="M663" s="2" t="s">
        <v>80</v>
      </c>
      <c r="N663" s="4" t="n">
        <v>1274.67</v>
      </c>
      <c r="O663" s="2" t="str">
        <f aca="false">IF(COUNTIF($A$2:$A$1201,A663)&gt;1,"DUPLICATE","Unique")</f>
        <v>Unique</v>
      </c>
      <c r="P663" s="2" t="str">
        <f aca="false">IF(L663="","MISSING","OK")</f>
        <v>OK</v>
      </c>
      <c r="Q663" s="2" t="str">
        <f aca="false">IF(ISNUMBER(B663),"OK","BAD DATE")</f>
        <v>OK</v>
      </c>
      <c r="R663" s="2" t="str">
        <f aca="false">IF(ROUND(F663,2)=F663,"OK","FIX")</f>
        <v>OK</v>
      </c>
    </row>
    <row r="664" customFormat="false" ht="15" hidden="false" customHeight="false" outlineLevel="0" collapsed="false">
      <c r="A664" s="2" t="s">
        <v>2482</v>
      </c>
      <c r="B664" s="3" t="n">
        <v>44954</v>
      </c>
      <c r="C664" s="2" t="s">
        <v>2483</v>
      </c>
      <c r="D664" s="2" t="s">
        <v>62</v>
      </c>
      <c r="E664" s="2" t="n">
        <v>3</v>
      </c>
      <c r="F664" s="4" t="n">
        <v>438.89</v>
      </c>
      <c r="G664" s="2" t="s">
        <v>2484</v>
      </c>
      <c r="H664" s="2" t="s">
        <v>69</v>
      </c>
      <c r="I664" s="2" t="s">
        <v>47</v>
      </c>
      <c r="J664" s="2" t="s">
        <v>2485</v>
      </c>
      <c r="K664" s="2" t="n">
        <v>3</v>
      </c>
      <c r="L664" s="2"/>
      <c r="M664" s="2" t="s">
        <v>49</v>
      </c>
      <c r="N664" s="4" t="n">
        <v>1316.67</v>
      </c>
      <c r="O664" s="2" t="str">
        <f aca="false">IF(COUNTIF($A$2:$A$1201,A664)&gt;1,"DUPLICATE","Unique")</f>
        <v>Unique</v>
      </c>
      <c r="P664" s="2" t="str">
        <f aca="false">IF(L664="","MISSING","OK")</f>
        <v>MISSING</v>
      </c>
      <c r="Q664" s="2" t="str">
        <f aca="false">IF(ISNUMBER(B664),"OK","BAD DATE")</f>
        <v>OK</v>
      </c>
      <c r="R664" s="2" t="str">
        <f aca="false">IF(ROUND(F664,2)=F664,"OK","FIX")</f>
        <v>OK</v>
      </c>
    </row>
    <row r="665" customFormat="false" ht="15" hidden="false" customHeight="false" outlineLevel="0" collapsed="false">
      <c r="A665" s="2" t="s">
        <v>2486</v>
      </c>
      <c r="B665" s="3" t="n">
        <v>45397</v>
      </c>
      <c r="C665" s="2" t="s">
        <v>2487</v>
      </c>
      <c r="D665" s="2" t="s">
        <v>20</v>
      </c>
      <c r="E665" s="2" t="n">
        <v>1</v>
      </c>
      <c r="F665" s="4" t="n">
        <v>72.6</v>
      </c>
      <c r="G665" s="2" t="s">
        <v>1992</v>
      </c>
      <c r="H665" s="2" t="s">
        <v>22</v>
      </c>
      <c r="I665" s="2" t="s">
        <v>39</v>
      </c>
      <c r="J665" s="2" t="s">
        <v>2488</v>
      </c>
      <c r="K665" s="2" t="n">
        <v>6</v>
      </c>
      <c r="L665" s="2" t="s">
        <v>41</v>
      </c>
      <c r="M665" s="2" t="s">
        <v>26</v>
      </c>
      <c r="N665" s="4" t="n">
        <v>72.6</v>
      </c>
      <c r="O665" s="2" t="str">
        <f aca="false">IF(COUNTIF($A$2:$A$1201,A665)&gt;1,"DUPLICATE","Unique")</f>
        <v>Unique</v>
      </c>
      <c r="P665" s="2" t="str">
        <f aca="false">IF(L665="","MISSING","OK")</f>
        <v>OK</v>
      </c>
      <c r="Q665" s="2" t="str">
        <f aca="false">IF(ISNUMBER(B665),"OK","BAD DATE")</f>
        <v>OK</v>
      </c>
      <c r="R665" s="2" t="str">
        <f aca="false">IF(ROUND(F665,2)=F665,"OK","FIX")</f>
        <v>OK</v>
      </c>
    </row>
    <row r="666" customFormat="false" ht="15" hidden="false" customHeight="false" outlineLevel="0" collapsed="false">
      <c r="A666" s="2" t="s">
        <v>2489</v>
      </c>
      <c r="B666" s="3" t="n">
        <v>45645</v>
      </c>
      <c r="C666" s="2" t="s">
        <v>955</v>
      </c>
      <c r="D666" s="2" t="s">
        <v>62</v>
      </c>
      <c r="E666" s="2" t="n">
        <v>4</v>
      </c>
      <c r="F666" s="4" t="n">
        <v>194.75</v>
      </c>
      <c r="G666" s="2" t="s">
        <v>2490</v>
      </c>
      <c r="H666" s="2" t="s">
        <v>69</v>
      </c>
      <c r="I666" s="2" t="s">
        <v>23</v>
      </c>
      <c r="J666" s="2" t="s">
        <v>2491</v>
      </c>
      <c r="K666" s="2" t="n">
        <v>5</v>
      </c>
      <c r="L666" s="2"/>
      <c r="M666" s="2" t="s">
        <v>49</v>
      </c>
      <c r="N666" s="4" t="n">
        <v>779</v>
      </c>
      <c r="O666" s="2" t="str">
        <f aca="false">IF(COUNTIF($A$2:$A$1201,A666)&gt;1,"DUPLICATE","Unique")</f>
        <v>Unique</v>
      </c>
      <c r="P666" s="2" t="str">
        <f aca="false">IF(L666="","MISSING","OK")</f>
        <v>MISSING</v>
      </c>
      <c r="Q666" s="2" t="str">
        <f aca="false">IF(ISNUMBER(B666),"OK","BAD DATE")</f>
        <v>OK</v>
      </c>
      <c r="R666" s="2" t="str">
        <f aca="false">IF(ROUND(F666,2)=F666,"OK","FIX")</f>
        <v>OK</v>
      </c>
    </row>
    <row r="667" customFormat="false" ht="15" hidden="false" customHeight="false" outlineLevel="0" collapsed="false">
      <c r="A667" s="2" t="s">
        <v>2492</v>
      </c>
      <c r="B667" s="3" t="n">
        <v>45048</v>
      </c>
      <c r="C667" s="2" t="s">
        <v>2493</v>
      </c>
      <c r="D667" s="2" t="s">
        <v>36</v>
      </c>
      <c r="E667" s="2" t="n">
        <v>4</v>
      </c>
      <c r="F667" s="4" t="n">
        <v>231.26</v>
      </c>
      <c r="G667" s="2" t="s">
        <v>2494</v>
      </c>
      <c r="H667" s="2" t="s">
        <v>31</v>
      </c>
      <c r="I667" s="2" t="s">
        <v>23</v>
      </c>
      <c r="J667" s="2" t="s">
        <v>2495</v>
      </c>
      <c r="K667" s="2" t="n">
        <v>6</v>
      </c>
      <c r="L667" s="2" t="s">
        <v>85</v>
      </c>
      <c r="M667" s="2" t="s">
        <v>80</v>
      </c>
      <c r="N667" s="4" t="n">
        <v>925.04</v>
      </c>
      <c r="O667" s="2" t="str">
        <f aca="false">IF(COUNTIF($A$2:$A$1201,A667)&gt;1,"DUPLICATE","Unique")</f>
        <v>Unique</v>
      </c>
      <c r="P667" s="2" t="str">
        <f aca="false">IF(L667="","MISSING","OK")</f>
        <v>OK</v>
      </c>
      <c r="Q667" s="2" t="str">
        <f aca="false">IF(ISNUMBER(B667),"OK","BAD DATE")</f>
        <v>OK</v>
      </c>
      <c r="R667" s="2" t="str">
        <f aca="false">IF(ROUND(F667,2)=F667,"OK","FIX")</f>
        <v>OK</v>
      </c>
    </row>
    <row r="668" customFormat="false" ht="15" hidden="false" customHeight="false" outlineLevel="0" collapsed="false">
      <c r="A668" s="2" t="s">
        <v>2496</v>
      </c>
      <c r="B668" s="3" t="n">
        <v>45535</v>
      </c>
      <c r="C668" s="2" t="s">
        <v>2497</v>
      </c>
      <c r="D668" s="2" t="s">
        <v>20</v>
      </c>
      <c r="E668" s="2" t="n">
        <v>4</v>
      </c>
      <c r="F668" s="4" t="n">
        <v>327.12</v>
      </c>
      <c r="G668" s="2" t="s">
        <v>2298</v>
      </c>
      <c r="H668" s="2" t="s">
        <v>38</v>
      </c>
      <c r="I668" s="2" t="s">
        <v>39</v>
      </c>
      <c r="J668" s="2" t="s">
        <v>2498</v>
      </c>
      <c r="K668" s="2" t="n">
        <v>4</v>
      </c>
      <c r="L668" s="2"/>
      <c r="M668" s="2" t="s">
        <v>42</v>
      </c>
      <c r="N668" s="4" t="n">
        <v>1308.48</v>
      </c>
      <c r="O668" s="2" t="str">
        <f aca="false">IF(COUNTIF($A$2:$A$1201,A668)&gt;1,"DUPLICATE","Unique")</f>
        <v>Unique</v>
      </c>
      <c r="P668" s="2" t="str">
        <f aca="false">IF(L668="","MISSING","OK")</f>
        <v>MISSING</v>
      </c>
      <c r="Q668" s="2" t="str">
        <f aca="false">IF(ISNUMBER(B668),"OK","BAD DATE")</f>
        <v>OK</v>
      </c>
      <c r="R668" s="2" t="str">
        <f aca="false">IF(ROUND(F668,2)=F668,"OK","FIX")</f>
        <v>OK</v>
      </c>
    </row>
    <row r="669" customFormat="false" ht="15" hidden="false" customHeight="false" outlineLevel="0" collapsed="false">
      <c r="A669" s="2" t="s">
        <v>2499</v>
      </c>
      <c r="B669" s="3" t="n">
        <v>45049</v>
      </c>
      <c r="C669" s="2" t="s">
        <v>2500</v>
      </c>
      <c r="D669" s="2" t="s">
        <v>62</v>
      </c>
      <c r="E669" s="2" t="n">
        <v>1</v>
      </c>
      <c r="F669" s="4" t="n">
        <v>466.42</v>
      </c>
      <c r="G669" s="2" t="s">
        <v>834</v>
      </c>
      <c r="H669" s="2" t="s">
        <v>64</v>
      </c>
      <c r="I669" s="2" t="s">
        <v>93</v>
      </c>
      <c r="J669" s="2" t="s">
        <v>2501</v>
      </c>
      <c r="K669" s="2" t="n">
        <v>5</v>
      </c>
      <c r="L669" s="2" t="s">
        <v>25</v>
      </c>
      <c r="M669" s="2" t="s">
        <v>42</v>
      </c>
      <c r="N669" s="4" t="n">
        <v>466.42</v>
      </c>
      <c r="O669" s="2" t="str">
        <f aca="false">IF(COUNTIF($A$2:$A$1201,A669)&gt;1,"DUPLICATE","Unique")</f>
        <v>Unique</v>
      </c>
      <c r="P669" s="2" t="str">
        <f aca="false">IF(L669="","MISSING","OK")</f>
        <v>OK</v>
      </c>
      <c r="Q669" s="2" t="str">
        <f aca="false">IF(ISNUMBER(B669),"OK","BAD DATE")</f>
        <v>OK</v>
      </c>
      <c r="R669" s="2" t="str">
        <f aca="false">IF(ROUND(F669,2)=F669,"OK","FIX")</f>
        <v>OK</v>
      </c>
    </row>
    <row r="670" customFormat="false" ht="15" hidden="false" customHeight="false" outlineLevel="0" collapsed="false">
      <c r="A670" s="2" t="s">
        <v>2502</v>
      </c>
      <c r="B670" s="3" t="n">
        <v>45478</v>
      </c>
      <c r="C670" s="2" t="s">
        <v>2503</v>
      </c>
      <c r="D670" s="2" t="s">
        <v>20</v>
      </c>
      <c r="E670" s="2" t="n">
        <v>2</v>
      </c>
      <c r="F670" s="4" t="n">
        <v>253.67</v>
      </c>
      <c r="G670" s="2" t="s">
        <v>634</v>
      </c>
      <c r="H670" s="2" t="s">
        <v>69</v>
      </c>
      <c r="I670" s="2" t="s">
        <v>47</v>
      </c>
      <c r="J670" s="2" t="s">
        <v>2504</v>
      </c>
      <c r="K670" s="2" t="n">
        <v>3</v>
      </c>
      <c r="L670" s="2" t="s">
        <v>85</v>
      </c>
      <c r="M670" s="2" t="s">
        <v>49</v>
      </c>
      <c r="N670" s="4" t="n">
        <v>507.34</v>
      </c>
      <c r="O670" s="2" t="str">
        <f aca="false">IF(COUNTIF($A$2:$A$1201,A670)&gt;1,"DUPLICATE","Unique")</f>
        <v>Unique</v>
      </c>
      <c r="P670" s="2" t="str">
        <f aca="false">IF(L670="","MISSING","OK")</f>
        <v>OK</v>
      </c>
      <c r="Q670" s="2" t="str">
        <f aca="false">IF(ISNUMBER(B670),"OK","BAD DATE")</f>
        <v>OK</v>
      </c>
      <c r="R670" s="2" t="str">
        <f aca="false">IF(ROUND(F670,2)=F670,"OK","FIX")</f>
        <v>OK</v>
      </c>
    </row>
    <row r="671" customFormat="false" ht="15" hidden="false" customHeight="false" outlineLevel="0" collapsed="false">
      <c r="A671" s="2" t="s">
        <v>2505</v>
      </c>
      <c r="B671" s="3" t="n">
        <v>44962</v>
      </c>
      <c r="C671" s="2" t="s">
        <v>2506</v>
      </c>
      <c r="D671" s="2" t="s">
        <v>77</v>
      </c>
      <c r="E671" s="2" t="n">
        <v>1</v>
      </c>
      <c r="F671" s="4" t="n">
        <v>257</v>
      </c>
      <c r="G671" s="2" t="s">
        <v>2507</v>
      </c>
      <c r="H671" s="2" t="s">
        <v>22</v>
      </c>
      <c r="I671" s="2" t="s">
        <v>39</v>
      </c>
      <c r="J671" s="2" t="s">
        <v>2508</v>
      </c>
      <c r="K671" s="2" t="n">
        <v>5</v>
      </c>
      <c r="L671" s="2"/>
      <c r="M671" s="2" t="s">
        <v>33</v>
      </c>
      <c r="N671" s="4" t="n">
        <v>257</v>
      </c>
      <c r="O671" s="2" t="str">
        <f aca="false">IF(COUNTIF($A$2:$A$1201,A671)&gt;1,"DUPLICATE","Unique")</f>
        <v>Unique</v>
      </c>
      <c r="P671" s="2" t="str">
        <f aca="false">IF(L671="","MISSING","OK")</f>
        <v>MISSING</v>
      </c>
      <c r="Q671" s="2" t="str">
        <f aca="false">IF(ISNUMBER(B671),"OK","BAD DATE")</f>
        <v>OK</v>
      </c>
      <c r="R671" s="2" t="str">
        <f aca="false">IF(ROUND(F671,2)=F671,"OK","FIX")</f>
        <v>OK</v>
      </c>
    </row>
    <row r="672" customFormat="false" ht="15" hidden="false" customHeight="false" outlineLevel="0" collapsed="false">
      <c r="A672" s="2" t="s">
        <v>2509</v>
      </c>
      <c r="B672" s="3" t="n">
        <v>45400</v>
      </c>
      <c r="C672" s="2" t="s">
        <v>2510</v>
      </c>
      <c r="D672" s="2" t="s">
        <v>77</v>
      </c>
      <c r="E672" s="2" t="n">
        <v>4</v>
      </c>
      <c r="F672" s="4" t="n">
        <v>539.2</v>
      </c>
      <c r="G672" s="2" t="s">
        <v>1419</v>
      </c>
      <c r="H672" s="2" t="s">
        <v>38</v>
      </c>
      <c r="I672" s="2" t="s">
        <v>93</v>
      </c>
      <c r="J672" s="2" t="s">
        <v>2511</v>
      </c>
      <c r="K672" s="2" t="n">
        <v>8</v>
      </c>
      <c r="L672" s="2" t="s">
        <v>41</v>
      </c>
      <c r="M672" s="2" t="s">
        <v>80</v>
      </c>
      <c r="N672" s="4" t="n">
        <v>2156.8</v>
      </c>
      <c r="O672" s="2" t="str">
        <f aca="false">IF(COUNTIF($A$2:$A$1201,A672)&gt;1,"DUPLICATE","Unique")</f>
        <v>Unique</v>
      </c>
      <c r="P672" s="2" t="str">
        <f aca="false">IF(L672="","MISSING","OK")</f>
        <v>OK</v>
      </c>
      <c r="Q672" s="2" t="str">
        <f aca="false">IF(ISNUMBER(B672),"OK","BAD DATE")</f>
        <v>OK</v>
      </c>
      <c r="R672" s="2" t="str">
        <f aca="false">IF(ROUND(F672,2)=F672,"OK","FIX")</f>
        <v>OK</v>
      </c>
    </row>
    <row r="673" customFormat="false" ht="15" hidden="false" customHeight="false" outlineLevel="0" collapsed="false">
      <c r="A673" s="2" t="s">
        <v>2512</v>
      </c>
      <c r="B673" s="3" t="n">
        <v>45092</v>
      </c>
      <c r="C673" s="2" t="s">
        <v>2513</v>
      </c>
      <c r="D673" s="2" t="s">
        <v>45</v>
      </c>
      <c r="E673" s="2" t="n">
        <v>5</v>
      </c>
      <c r="F673" s="4" t="n">
        <v>50.74</v>
      </c>
      <c r="G673" s="2" t="s">
        <v>663</v>
      </c>
      <c r="H673" s="2" t="s">
        <v>64</v>
      </c>
      <c r="I673" s="2" t="s">
        <v>39</v>
      </c>
      <c r="J673" s="2" t="s">
        <v>2514</v>
      </c>
      <c r="K673" s="2" t="n">
        <v>7</v>
      </c>
      <c r="L673" s="2" t="s">
        <v>85</v>
      </c>
      <c r="M673" s="2" t="s">
        <v>80</v>
      </c>
      <c r="N673" s="4" t="n">
        <v>253.7</v>
      </c>
      <c r="O673" s="2" t="str">
        <f aca="false">IF(COUNTIF($A$2:$A$1201,A673)&gt;1,"DUPLICATE","Unique")</f>
        <v>Unique</v>
      </c>
      <c r="P673" s="2" t="str">
        <f aca="false">IF(L673="","MISSING","OK")</f>
        <v>OK</v>
      </c>
      <c r="Q673" s="2" t="str">
        <f aca="false">IF(ISNUMBER(B673),"OK","BAD DATE")</f>
        <v>OK</v>
      </c>
      <c r="R673" s="2" t="str">
        <f aca="false">IF(ROUND(F673,2)=F673,"OK","FIX")</f>
        <v>OK</v>
      </c>
    </row>
    <row r="674" customFormat="false" ht="15" hidden="false" customHeight="false" outlineLevel="0" collapsed="false">
      <c r="A674" s="2" t="s">
        <v>2515</v>
      </c>
      <c r="B674" s="3" t="n">
        <v>45055</v>
      </c>
      <c r="C674" s="2" t="s">
        <v>2516</v>
      </c>
      <c r="D674" s="2" t="s">
        <v>29</v>
      </c>
      <c r="E674" s="2" t="n">
        <v>2</v>
      </c>
      <c r="F674" s="4" t="n">
        <v>624.16</v>
      </c>
      <c r="G674" s="2" t="s">
        <v>2325</v>
      </c>
      <c r="H674" s="2" t="s">
        <v>22</v>
      </c>
      <c r="I674" s="2" t="s">
        <v>23</v>
      </c>
      <c r="J674" s="2" t="s">
        <v>2517</v>
      </c>
      <c r="K674" s="2" t="n">
        <v>2</v>
      </c>
      <c r="L674" s="2" t="s">
        <v>25</v>
      </c>
      <c r="M674" s="2" t="s">
        <v>26</v>
      </c>
      <c r="N674" s="4" t="n">
        <v>1248.32</v>
      </c>
      <c r="O674" s="2" t="str">
        <f aca="false">IF(COUNTIF($A$2:$A$1201,A674)&gt;1,"DUPLICATE","Unique")</f>
        <v>Unique</v>
      </c>
      <c r="P674" s="2" t="str">
        <f aca="false">IF(L674="","MISSING","OK")</f>
        <v>OK</v>
      </c>
      <c r="Q674" s="2" t="str">
        <f aca="false">IF(ISNUMBER(B674),"OK","BAD DATE")</f>
        <v>OK</v>
      </c>
      <c r="R674" s="2" t="str">
        <f aca="false">IF(ROUND(F674,2)=F674,"OK","FIX")</f>
        <v>OK</v>
      </c>
    </row>
    <row r="675" customFormat="false" ht="15" hidden="false" customHeight="false" outlineLevel="0" collapsed="false">
      <c r="A675" s="2" t="s">
        <v>2518</v>
      </c>
      <c r="B675" s="3" t="n">
        <v>44978</v>
      </c>
      <c r="C675" s="2" t="s">
        <v>2519</v>
      </c>
      <c r="D675" s="2" t="s">
        <v>36</v>
      </c>
      <c r="E675" s="2" t="n">
        <v>2</v>
      </c>
      <c r="F675" s="4" t="n">
        <v>372.92</v>
      </c>
      <c r="G675" s="2" t="s">
        <v>474</v>
      </c>
      <c r="H675" s="2" t="s">
        <v>38</v>
      </c>
      <c r="I675" s="2" t="s">
        <v>54</v>
      </c>
      <c r="J675" s="2" t="s">
        <v>2520</v>
      </c>
      <c r="K675" s="2" t="n">
        <v>7</v>
      </c>
      <c r="L675" s="2" t="s">
        <v>25</v>
      </c>
      <c r="M675" s="2" t="s">
        <v>42</v>
      </c>
      <c r="N675" s="4" t="n">
        <v>745.84</v>
      </c>
      <c r="O675" s="2" t="str">
        <f aca="false">IF(COUNTIF($A$2:$A$1201,A675)&gt;1,"DUPLICATE","Unique")</f>
        <v>Unique</v>
      </c>
      <c r="P675" s="2" t="str">
        <f aca="false">IF(L675="","MISSING","OK")</f>
        <v>OK</v>
      </c>
      <c r="Q675" s="2" t="str">
        <f aca="false">IF(ISNUMBER(B675),"OK","BAD DATE")</f>
        <v>OK</v>
      </c>
      <c r="R675" s="2" t="str">
        <f aca="false">IF(ROUND(F675,2)=F675,"OK","FIX")</f>
        <v>OK</v>
      </c>
    </row>
    <row r="676" customFormat="false" ht="15" hidden="false" customHeight="false" outlineLevel="0" collapsed="false">
      <c r="A676" s="2" t="s">
        <v>2521</v>
      </c>
      <c r="B676" s="3" t="n">
        <v>45300</v>
      </c>
      <c r="C676" s="2" t="s">
        <v>2522</v>
      </c>
      <c r="D676" s="2" t="s">
        <v>62</v>
      </c>
      <c r="E676" s="2" t="n">
        <v>4</v>
      </c>
      <c r="F676" s="4" t="n">
        <v>358.75</v>
      </c>
      <c r="G676" s="2" t="s">
        <v>2523</v>
      </c>
      <c r="H676" s="2" t="s">
        <v>64</v>
      </c>
      <c r="I676" s="2" t="s">
        <v>54</v>
      </c>
      <c r="J676" s="2" t="s">
        <v>2524</v>
      </c>
      <c r="K676" s="2" t="n">
        <v>9</v>
      </c>
      <c r="L676" s="2" t="s">
        <v>25</v>
      </c>
      <c r="M676" s="2" t="s">
        <v>49</v>
      </c>
      <c r="N676" s="4" t="n">
        <v>1435</v>
      </c>
      <c r="O676" s="2" t="str">
        <f aca="false">IF(COUNTIF($A$2:$A$1201,A676)&gt;1,"DUPLICATE","Unique")</f>
        <v>Unique</v>
      </c>
      <c r="P676" s="2" t="str">
        <f aca="false">IF(L676="","MISSING","OK")</f>
        <v>OK</v>
      </c>
      <c r="Q676" s="2" t="str">
        <f aca="false">IF(ISNUMBER(B676),"OK","BAD DATE")</f>
        <v>OK</v>
      </c>
      <c r="R676" s="2" t="str">
        <f aca="false">IF(ROUND(F676,2)=F676,"OK","FIX")</f>
        <v>OK</v>
      </c>
    </row>
    <row r="677" customFormat="false" ht="15" hidden="false" customHeight="false" outlineLevel="0" collapsed="false">
      <c r="A677" s="2" t="s">
        <v>2525</v>
      </c>
      <c r="B677" s="3" t="n">
        <v>45510</v>
      </c>
      <c r="C677" s="2" t="s">
        <v>2526</v>
      </c>
      <c r="D677" s="2" t="s">
        <v>77</v>
      </c>
      <c r="E677" s="2" t="n">
        <v>3</v>
      </c>
      <c r="F677" s="4" t="n">
        <v>342.02</v>
      </c>
      <c r="G677" s="2" t="s">
        <v>2044</v>
      </c>
      <c r="H677" s="2" t="s">
        <v>22</v>
      </c>
      <c r="I677" s="2" t="s">
        <v>93</v>
      </c>
      <c r="J677" s="2" t="s">
        <v>2527</v>
      </c>
      <c r="K677" s="2" t="n">
        <v>5</v>
      </c>
      <c r="L677" s="2"/>
      <c r="M677" s="2" t="s">
        <v>42</v>
      </c>
      <c r="N677" s="4" t="n">
        <v>1026.06</v>
      </c>
      <c r="O677" s="2" t="str">
        <f aca="false">IF(COUNTIF($A$2:$A$1201,A677)&gt;1,"DUPLICATE","Unique")</f>
        <v>Unique</v>
      </c>
      <c r="P677" s="2" t="str">
        <f aca="false">IF(L677="","MISSING","OK")</f>
        <v>MISSING</v>
      </c>
      <c r="Q677" s="2" t="str">
        <f aca="false">IF(ISNUMBER(B677),"OK","BAD DATE")</f>
        <v>OK</v>
      </c>
      <c r="R677" s="2" t="str">
        <f aca="false">IF(ROUND(F677,2)=F677,"OK","FIX")</f>
        <v>OK</v>
      </c>
    </row>
    <row r="678" customFormat="false" ht="15" hidden="false" customHeight="false" outlineLevel="0" collapsed="false">
      <c r="A678" s="2" t="s">
        <v>2528</v>
      </c>
      <c r="B678" s="3" t="n">
        <v>45831</v>
      </c>
      <c r="C678" s="2" t="s">
        <v>2529</v>
      </c>
      <c r="D678" s="2" t="s">
        <v>62</v>
      </c>
      <c r="E678" s="2" t="n">
        <v>2</v>
      </c>
      <c r="F678" s="4" t="n">
        <v>422.34</v>
      </c>
      <c r="G678" s="2" t="s">
        <v>2484</v>
      </c>
      <c r="H678" s="2" t="s">
        <v>38</v>
      </c>
      <c r="I678" s="2" t="s">
        <v>39</v>
      </c>
      <c r="J678" s="2" t="s">
        <v>2530</v>
      </c>
      <c r="K678" s="2" t="n">
        <v>4</v>
      </c>
      <c r="L678" s="2" t="s">
        <v>41</v>
      </c>
      <c r="M678" s="2" t="s">
        <v>26</v>
      </c>
      <c r="N678" s="4" t="n">
        <v>844.68</v>
      </c>
      <c r="O678" s="2" t="str">
        <f aca="false">IF(COUNTIF($A$2:$A$1201,A678)&gt;1,"DUPLICATE","Unique")</f>
        <v>Unique</v>
      </c>
      <c r="P678" s="2" t="str">
        <f aca="false">IF(L678="","MISSING","OK")</f>
        <v>OK</v>
      </c>
      <c r="Q678" s="2" t="str">
        <f aca="false">IF(ISNUMBER(B678),"OK","BAD DATE")</f>
        <v>OK</v>
      </c>
      <c r="R678" s="2" t="str">
        <f aca="false">IF(ROUND(F678,2)=F678,"OK","FIX")</f>
        <v>OK</v>
      </c>
    </row>
    <row r="679" customFormat="false" ht="15" hidden="false" customHeight="false" outlineLevel="0" collapsed="false">
      <c r="A679" s="2" t="s">
        <v>2531</v>
      </c>
      <c r="B679" s="3" t="n">
        <v>45750</v>
      </c>
      <c r="C679" s="2" t="s">
        <v>2532</v>
      </c>
      <c r="D679" s="2" t="s">
        <v>36</v>
      </c>
      <c r="E679" s="2" t="n">
        <v>5</v>
      </c>
      <c r="F679" s="4" t="n">
        <v>22.07</v>
      </c>
      <c r="G679" s="2" t="s">
        <v>92</v>
      </c>
      <c r="H679" s="2" t="s">
        <v>31</v>
      </c>
      <c r="I679" s="2" t="s">
        <v>39</v>
      </c>
      <c r="J679" s="2" t="s">
        <v>2533</v>
      </c>
      <c r="K679" s="2" t="n">
        <v>7</v>
      </c>
      <c r="L679" s="2" t="s">
        <v>41</v>
      </c>
      <c r="M679" s="2" t="s">
        <v>26</v>
      </c>
      <c r="N679" s="4" t="n">
        <v>110.35</v>
      </c>
      <c r="O679" s="2" t="str">
        <f aca="false">IF(COUNTIF($A$2:$A$1201,A679)&gt;1,"DUPLICATE","Unique")</f>
        <v>Unique</v>
      </c>
      <c r="P679" s="2" t="str">
        <f aca="false">IF(L679="","MISSING","OK")</f>
        <v>OK</v>
      </c>
      <c r="Q679" s="2" t="str">
        <f aca="false">IF(ISNUMBER(B679),"OK","BAD DATE")</f>
        <v>OK</v>
      </c>
      <c r="R679" s="2" t="str">
        <f aca="false">IF(ROUND(F679,2)=F679,"OK","FIX")</f>
        <v>OK</v>
      </c>
    </row>
    <row r="680" customFormat="false" ht="15" hidden="false" customHeight="false" outlineLevel="0" collapsed="false">
      <c r="A680" s="2" t="s">
        <v>2534</v>
      </c>
      <c r="B680" s="3" t="n">
        <v>45620</v>
      </c>
      <c r="C680" s="2" t="s">
        <v>2535</v>
      </c>
      <c r="D680" s="2" t="s">
        <v>45</v>
      </c>
      <c r="E680" s="2" t="n">
        <v>3</v>
      </c>
      <c r="F680" s="4" t="n">
        <v>163.13</v>
      </c>
      <c r="G680" s="2" t="s">
        <v>892</v>
      </c>
      <c r="H680" s="2" t="s">
        <v>64</v>
      </c>
      <c r="I680" s="2" t="s">
        <v>23</v>
      </c>
      <c r="J680" s="2" t="s">
        <v>2536</v>
      </c>
      <c r="K680" s="2" t="n">
        <v>5</v>
      </c>
      <c r="L680" s="2" t="s">
        <v>85</v>
      </c>
      <c r="M680" s="2" t="s">
        <v>49</v>
      </c>
      <c r="N680" s="4" t="n">
        <v>489.39</v>
      </c>
      <c r="O680" s="2" t="str">
        <f aca="false">IF(COUNTIF($A$2:$A$1201,A680)&gt;1,"DUPLICATE","Unique")</f>
        <v>Unique</v>
      </c>
      <c r="P680" s="2" t="str">
        <f aca="false">IF(L680="","MISSING","OK")</f>
        <v>OK</v>
      </c>
      <c r="Q680" s="2" t="str">
        <f aca="false">IF(ISNUMBER(B680),"OK","BAD DATE")</f>
        <v>OK</v>
      </c>
      <c r="R680" s="2" t="str">
        <f aca="false">IF(ROUND(F680,2)=F680,"OK","FIX")</f>
        <v>OK</v>
      </c>
    </row>
    <row r="681" customFormat="false" ht="15" hidden="false" customHeight="false" outlineLevel="0" collapsed="false">
      <c r="A681" s="2" t="s">
        <v>2537</v>
      </c>
      <c r="B681" s="3" t="n">
        <v>44959</v>
      </c>
      <c r="C681" s="2" t="s">
        <v>2538</v>
      </c>
      <c r="D681" s="2" t="s">
        <v>36</v>
      </c>
      <c r="E681" s="2" t="n">
        <v>3</v>
      </c>
      <c r="F681" s="4" t="n">
        <v>360.66</v>
      </c>
      <c r="G681" s="2" t="s">
        <v>1568</v>
      </c>
      <c r="H681" s="2" t="s">
        <v>31</v>
      </c>
      <c r="I681" s="2" t="s">
        <v>47</v>
      </c>
      <c r="J681" s="2" t="s">
        <v>2539</v>
      </c>
      <c r="K681" s="2" t="n">
        <v>5</v>
      </c>
      <c r="L681" s="2" t="s">
        <v>41</v>
      </c>
      <c r="M681" s="2" t="s">
        <v>26</v>
      </c>
      <c r="N681" s="4" t="n">
        <v>1081.98</v>
      </c>
      <c r="O681" s="2" t="str">
        <f aca="false">IF(COUNTIF($A$2:$A$1201,A681)&gt;1,"DUPLICATE","Unique")</f>
        <v>Unique</v>
      </c>
      <c r="P681" s="2" t="str">
        <f aca="false">IF(L681="","MISSING","OK")</f>
        <v>OK</v>
      </c>
      <c r="Q681" s="2" t="str">
        <f aca="false">IF(ISNUMBER(B681),"OK","BAD DATE")</f>
        <v>OK</v>
      </c>
      <c r="R681" s="2" t="str">
        <f aca="false">IF(ROUND(F681,2)=F681,"OK","FIX")</f>
        <v>OK</v>
      </c>
    </row>
    <row r="682" customFormat="false" ht="15" hidden="false" customHeight="false" outlineLevel="0" collapsed="false">
      <c r="A682" s="2" t="s">
        <v>2540</v>
      </c>
      <c r="B682" s="3" t="n">
        <v>45165</v>
      </c>
      <c r="C682" s="2" t="s">
        <v>2541</v>
      </c>
      <c r="D682" s="2" t="s">
        <v>20</v>
      </c>
      <c r="E682" s="2" t="n">
        <v>3</v>
      </c>
      <c r="F682" s="4" t="n">
        <v>463.39</v>
      </c>
      <c r="G682" s="2" t="s">
        <v>2542</v>
      </c>
      <c r="H682" s="2" t="s">
        <v>38</v>
      </c>
      <c r="I682" s="2" t="s">
        <v>47</v>
      </c>
      <c r="J682" s="2" t="s">
        <v>2543</v>
      </c>
      <c r="K682" s="2" t="n">
        <v>3</v>
      </c>
      <c r="L682" s="2"/>
      <c r="M682" s="2" t="s">
        <v>49</v>
      </c>
      <c r="N682" s="4" t="n">
        <v>1390.17</v>
      </c>
      <c r="O682" s="2" t="str">
        <f aca="false">IF(COUNTIF($A$2:$A$1201,A682)&gt;1,"DUPLICATE","Unique")</f>
        <v>Unique</v>
      </c>
      <c r="P682" s="2" t="str">
        <f aca="false">IF(L682="","MISSING","OK")</f>
        <v>MISSING</v>
      </c>
      <c r="Q682" s="2" t="str">
        <f aca="false">IF(ISNUMBER(B682),"OK","BAD DATE")</f>
        <v>OK</v>
      </c>
      <c r="R682" s="2" t="str">
        <f aca="false">IF(ROUND(F682,2)=F682,"OK","FIX")</f>
        <v>OK</v>
      </c>
    </row>
    <row r="683" customFormat="false" ht="15" hidden="false" customHeight="false" outlineLevel="0" collapsed="false">
      <c r="A683" s="2" t="s">
        <v>2544</v>
      </c>
      <c r="B683" s="3" t="n">
        <v>45321</v>
      </c>
      <c r="C683" s="2" t="s">
        <v>2545</v>
      </c>
      <c r="D683" s="2" t="s">
        <v>36</v>
      </c>
      <c r="E683" s="2" t="n">
        <v>1</v>
      </c>
      <c r="F683" s="4" t="n">
        <v>155.27</v>
      </c>
      <c r="G683" s="2" t="s">
        <v>2546</v>
      </c>
      <c r="H683" s="2" t="s">
        <v>22</v>
      </c>
      <c r="I683" s="2" t="s">
        <v>23</v>
      </c>
      <c r="J683" s="2" t="s">
        <v>2547</v>
      </c>
      <c r="K683" s="2" t="n">
        <v>6</v>
      </c>
      <c r="L683" s="2"/>
      <c r="M683" s="2" t="s">
        <v>42</v>
      </c>
      <c r="N683" s="4" t="n">
        <v>155.27</v>
      </c>
      <c r="O683" s="2" t="str">
        <f aca="false">IF(COUNTIF($A$2:$A$1201,A683)&gt;1,"DUPLICATE","Unique")</f>
        <v>Unique</v>
      </c>
      <c r="P683" s="2" t="str">
        <f aca="false">IF(L683="","MISSING","OK")</f>
        <v>MISSING</v>
      </c>
      <c r="Q683" s="2" t="str">
        <f aca="false">IF(ISNUMBER(B683),"OK","BAD DATE")</f>
        <v>OK</v>
      </c>
      <c r="R683" s="2" t="str">
        <f aca="false">IF(ROUND(F683,2)=F683,"OK","FIX")</f>
        <v>OK</v>
      </c>
    </row>
    <row r="684" customFormat="false" ht="15" hidden="false" customHeight="false" outlineLevel="0" collapsed="false">
      <c r="A684" s="2" t="s">
        <v>2548</v>
      </c>
      <c r="B684" s="3" t="n">
        <v>45130</v>
      </c>
      <c r="C684" s="2" t="s">
        <v>2549</v>
      </c>
      <c r="D684" s="2" t="s">
        <v>20</v>
      </c>
      <c r="E684" s="2" t="n">
        <v>3</v>
      </c>
      <c r="F684" s="4" t="n">
        <v>509.42</v>
      </c>
      <c r="G684" s="2" t="s">
        <v>1831</v>
      </c>
      <c r="H684" s="2" t="s">
        <v>38</v>
      </c>
      <c r="I684" s="2" t="s">
        <v>39</v>
      </c>
      <c r="J684" s="2" t="s">
        <v>2550</v>
      </c>
      <c r="K684" s="2" t="n">
        <v>5</v>
      </c>
      <c r="L684" s="2" t="s">
        <v>41</v>
      </c>
      <c r="M684" s="2" t="s">
        <v>80</v>
      </c>
      <c r="N684" s="4" t="n">
        <v>1528.26</v>
      </c>
      <c r="O684" s="2" t="str">
        <f aca="false">IF(COUNTIF($A$2:$A$1201,A684)&gt;1,"DUPLICATE","Unique")</f>
        <v>Unique</v>
      </c>
      <c r="P684" s="2" t="str">
        <f aca="false">IF(L684="","MISSING","OK")</f>
        <v>OK</v>
      </c>
      <c r="Q684" s="2" t="str">
        <f aca="false">IF(ISNUMBER(B684),"OK","BAD DATE")</f>
        <v>OK</v>
      </c>
      <c r="R684" s="2" t="str">
        <f aca="false">IF(ROUND(F684,2)=F684,"OK","FIX")</f>
        <v>OK</v>
      </c>
    </row>
    <row r="685" customFormat="false" ht="15" hidden="false" customHeight="false" outlineLevel="0" collapsed="false">
      <c r="A685" s="2" t="s">
        <v>2551</v>
      </c>
      <c r="B685" s="3" t="n">
        <v>45795</v>
      </c>
      <c r="C685" s="2" t="s">
        <v>2552</v>
      </c>
      <c r="D685" s="2" t="s">
        <v>77</v>
      </c>
      <c r="E685" s="2" t="n">
        <v>4</v>
      </c>
      <c r="F685" s="4" t="n">
        <v>652.48</v>
      </c>
      <c r="G685" s="2" t="s">
        <v>2553</v>
      </c>
      <c r="H685" s="2" t="s">
        <v>69</v>
      </c>
      <c r="I685" s="2" t="s">
        <v>93</v>
      </c>
      <c r="J685" s="2" t="s">
        <v>2554</v>
      </c>
      <c r="K685" s="2" t="n">
        <v>5</v>
      </c>
      <c r="L685" s="2" t="s">
        <v>41</v>
      </c>
      <c r="M685" s="2" t="s">
        <v>26</v>
      </c>
      <c r="N685" s="4" t="n">
        <v>2609.92</v>
      </c>
      <c r="O685" s="2" t="str">
        <f aca="false">IF(COUNTIF($A$2:$A$1201,A685)&gt;1,"DUPLICATE","Unique")</f>
        <v>Unique</v>
      </c>
      <c r="P685" s="2" t="str">
        <f aca="false">IF(L685="","MISSING","OK")</f>
        <v>OK</v>
      </c>
      <c r="Q685" s="2" t="str">
        <f aca="false">IF(ISNUMBER(B685),"OK","BAD DATE")</f>
        <v>OK</v>
      </c>
      <c r="R685" s="2" t="str">
        <f aca="false">IF(ROUND(F685,2)=F685,"OK","FIX")</f>
        <v>OK</v>
      </c>
    </row>
    <row r="686" customFormat="false" ht="15" hidden="false" customHeight="false" outlineLevel="0" collapsed="false">
      <c r="A686" s="2" t="s">
        <v>2555</v>
      </c>
      <c r="B686" s="3" t="n">
        <v>45557</v>
      </c>
      <c r="C686" s="2" t="s">
        <v>2556</v>
      </c>
      <c r="D686" s="2" t="s">
        <v>52</v>
      </c>
      <c r="E686" s="2" t="n">
        <v>4</v>
      </c>
      <c r="F686" s="4" t="n">
        <v>34.84</v>
      </c>
      <c r="G686" s="2" t="s">
        <v>2557</v>
      </c>
      <c r="H686" s="2" t="s">
        <v>38</v>
      </c>
      <c r="I686" s="2" t="s">
        <v>23</v>
      </c>
      <c r="J686" s="2" t="s">
        <v>2558</v>
      </c>
      <c r="K686" s="2" t="n">
        <v>8</v>
      </c>
      <c r="L686" s="2"/>
      <c r="M686" s="2" t="s">
        <v>42</v>
      </c>
      <c r="N686" s="4" t="n">
        <v>139.36</v>
      </c>
      <c r="O686" s="2" t="str">
        <f aca="false">IF(COUNTIF($A$2:$A$1201,A686)&gt;1,"DUPLICATE","Unique")</f>
        <v>Unique</v>
      </c>
      <c r="P686" s="2" t="str">
        <f aca="false">IF(L686="","MISSING","OK")</f>
        <v>MISSING</v>
      </c>
      <c r="Q686" s="2" t="str">
        <f aca="false">IF(ISNUMBER(B686),"OK","BAD DATE")</f>
        <v>OK</v>
      </c>
      <c r="R686" s="2" t="str">
        <f aca="false">IF(ROUND(F686,2)=F686,"OK","FIX")</f>
        <v>OK</v>
      </c>
    </row>
    <row r="687" customFormat="false" ht="15" hidden="false" customHeight="false" outlineLevel="0" collapsed="false">
      <c r="A687" s="2" t="s">
        <v>2559</v>
      </c>
      <c r="B687" s="3" t="n">
        <v>45695</v>
      </c>
      <c r="C687" s="2" t="s">
        <v>2560</v>
      </c>
      <c r="D687" s="2" t="s">
        <v>77</v>
      </c>
      <c r="E687" s="2" t="n">
        <v>1</v>
      </c>
      <c r="F687" s="4" t="n">
        <v>234.37</v>
      </c>
      <c r="G687" s="2" t="s">
        <v>2561</v>
      </c>
      <c r="H687" s="2" t="s">
        <v>22</v>
      </c>
      <c r="I687" s="2" t="s">
        <v>23</v>
      </c>
      <c r="J687" s="2" t="s">
        <v>2562</v>
      </c>
      <c r="K687" s="2" t="n">
        <v>5</v>
      </c>
      <c r="L687" s="2" t="s">
        <v>41</v>
      </c>
      <c r="M687" s="2" t="s">
        <v>42</v>
      </c>
      <c r="N687" s="4" t="n">
        <v>234.37</v>
      </c>
      <c r="O687" s="2" t="str">
        <f aca="false">IF(COUNTIF($A$2:$A$1201,A687)&gt;1,"DUPLICATE","Unique")</f>
        <v>Unique</v>
      </c>
      <c r="P687" s="2" t="str">
        <f aca="false">IF(L687="","MISSING","OK")</f>
        <v>OK</v>
      </c>
      <c r="Q687" s="2" t="str">
        <f aca="false">IF(ISNUMBER(B687),"OK","BAD DATE")</f>
        <v>OK</v>
      </c>
      <c r="R687" s="2" t="str">
        <f aca="false">IF(ROUND(F687,2)=F687,"OK","FIX")</f>
        <v>OK</v>
      </c>
    </row>
    <row r="688" customFormat="false" ht="15" hidden="false" customHeight="false" outlineLevel="0" collapsed="false">
      <c r="A688" s="2" t="s">
        <v>2563</v>
      </c>
      <c r="B688" s="3" t="n">
        <v>45208</v>
      </c>
      <c r="C688" s="2" t="s">
        <v>2564</v>
      </c>
      <c r="D688" s="2" t="s">
        <v>77</v>
      </c>
      <c r="E688" s="2" t="n">
        <v>3</v>
      </c>
      <c r="F688" s="4" t="n">
        <v>53.6</v>
      </c>
      <c r="G688" s="2" t="s">
        <v>2565</v>
      </c>
      <c r="H688" s="2" t="s">
        <v>69</v>
      </c>
      <c r="I688" s="2" t="s">
        <v>93</v>
      </c>
      <c r="J688" s="2" t="s">
        <v>2566</v>
      </c>
      <c r="K688" s="2" t="n">
        <v>4</v>
      </c>
      <c r="L688" s="2" t="s">
        <v>85</v>
      </c>
      <c r="M688" s="2" t="s">
        <v>49</v>
      </c>
      <c r="N688" s="4" t="n">
        <v>160.8</v>
      </c>
      <c r="O688" s="2" t="str">
        <f aca="false">IF(COUNTIF($A$2:$A$1201,A688)&gt;1,"DUPLICATE","Unique")</f>
        <v>Unique</v>
      </c>
      <c r="P688" s="2" t="str">
        <f aca="false">IF(L688="","MISSING","OK")</f>
        <v>OK</v>
      </c>
      <c r="Q688" s="2" t="str">
        <f aca="false">IF(ISNUMBER(B688),"OK","BAD DATE")</f>
        <v>OK</v>
      </c>
      <c r="R688" s="2" t="str">
        <f aca="false">IF(ROUND(F688,2)=F688,"OK","FIX")</f>
        <v>OK</v>
      </c>
    </row>
    <row r="689" customFormat="false" ht="15" hidden="false" customHeight="false" outlineLevel="0" collapsed="false">
      <c r="A689" s="2" t="s">
        <v>2567</v>
      </c>
      <c r="B689" s="3" t="n">
        <v>45182</v>
      </c>
      <c r="C689" s="2" t="s">
        <v>2568</v>
      </c>
      <c r="D689" s="2" t="s">
        <v>36</v>
      </c>
      <c r="E689" s="2" t="n">
        <v>1</v>
      </c>
      <c r="F689" s="4" t="n">
        <v>332.09</v>
      </c>
      <c r="G689" s="2" t="s">
        <v>2569</v>
      </c>
      <c r="H689" s="2" t="s">
        <v>64</v>
      </c>
      <c r="I689" s="2" t="s">
        <v>47</v>
      </c>
      <c r="J689" s="2" t="s">
        <v>2570</v>
      </c>
      <c r="K689" s="2" t="n">
        <v>5</v>
      </c>
      <c r="L689" s="2" t="s">
        <v>41</v>
      </c>
      <c r="M689" s="2" t="s">
        <v>26</v>
      </c>
      <c r="N689" s="4" t="n">
        <v>332.09</v>
      </c>
      <c r="O689" s="2" t="str">
        <f aca="false">IF(COUNTIF($A$2:$A$1201,A689)&gt;1,"DUPLICATE","Unique")</f>
        <v>Unique</v>
      </c>
      <c r="P689" s="2" t="str">
        <f aca="false">IF(L689="","MISSING","OK")</f>
        <v>OK</v>
      </c>
      <c r="Q689" s="2" t="str">
        <f aca="false">IF(ISNUMBER(B689),"OK","BAD DATE")</f>
        <v>OK</v>
      </c>
      <c r="R689" s="2" t="str">
        <f aca="false">IF(ROUND(F689,2)=F689,"OK","FIX")</f>
        <v>OK</v>
      </c>
    </row>
    <row r="690" customFormat="false" ht="15" hidden="false" customHeight="false" outlineLevel="0" collapsed="false">
      <c r="A690" s="2" t="s">
        <v>2571</v>
      </c>
      <c r="B690" s="3" t="n">
        <v>45357</v>
      </c>
      <c r="C690" s="2" t="s">
        <v>2572</v>
      </c>
      <c r="D690" s="2" t="s">
        <v>20</v>
      </c>
      <c r="E690" s="2" t="n">
        <v>4</v>
      </c>
      <c r="F690" s="4" t="n">
        <v>593.22</v>
      </c>
      <c r="G690" s="2" t="s">
        <v>2315</v>
      </c>
      <c r="H690" s="2" t="s">
        <v>38</v>
      </c>
      <c r="I690" s="2" t="s">
        <v>39</v>
      </c>
      <c r="J690" s="2" t="s">
        <v>2573</v>
      </c>
      <c r="K690" s="2" t="n">
        <v>8</v>
      </c>
      <c r="L690" s="2" t="s">
        <v>85</v>
      </c>
      <c r="M690" s="2" t="s">
        <v>49</v>
      </c>
      <c r="N690" s="4" t="n">
        <v>2372.88</v>
      </c>
      <c r="O690" s="2" t="str">
        <f aca="false">IF(COUNTIF($A$2:$A$1201,A690)&gt;1,"DUPLICATE","Unique")</f>
        <v>Unique</v>
      </c>
      <c r="P690" s="2" t="str">
        <f aca="false">IF(L690="","MISSING","OK")</f>
        <v>OK</v>
      </c>
      <c r="Q690" s="2" t="str">
        <f aca="false">IF(ISNUMBER(B690),"OK","BAD DATE")</f>
        <v>OK</v>
      </c>
      <c r="R690" s="2" t="str">
        <f aca="false">IF(ROUND(F690,2)=F690,"OK","FIX")</f>
        <v>OK</v>
      </c>
    </row>
    <row r="691" customFormat="false" ht="15" hidden="false" customHeight="false" outlineLevel="0" collapsed="false">
      <c r="A691" s="2" t="s">
        <v>2574</v>
      </c>
      <c r="B691" s="3" t="n">
        <v>45167</v>
      </c>
      <c r="C691" s="2" t="s">
        <v>2575</v>
      </c>
      <c r="D691" s="2" t="s">
        <v>36</v>
      </c>
      <c r="E691" s="2" t="n">
        <v>2</v>
      </c>
      <c r="F691" s="4" t="n">
        <v>444.84</v>
      </c>
      <c r="G691" s="2" t="s">
        <v>2576</v>
      </c>
      <c r="H691" s="2" t="s">
        <v>31</v>
      </c>
      <c r="I691" s="2" t="s">
        <v>23</v>
      </c>
      <c r="J691" s="2" t="s">
        <v>2577</v>
      </c>
      <c r="K691" s="2" t="n">
        <v>7</v>
      </c>
      <c r="L691" s="2"/>
      <c r="M691" s="2" t="s">
        <v>49</v>
      </c>
      <c r="N691" s="4" t="n">
        <v>889.68</v>
      </c>
      <c r="O691" s="2" t="str">
        <f aca="false">IF(COUNTIF($A$2:$A$1201,A691)&gt;1,"DUPLICATE","Unique")</f>
        <v>Unique</v>
      </c>
      <c r="P691" s="2" t="str">
        <f aca="false">IF(L691="","MISSING","OK")</f>
        <v>MISSING</v>
      </c>
      <c r="Q691" s="2" t="str">
        <f aca="false">IF(ISNUMBER(B691),"OK","BAD DATE")</f>
        <v>OK</v>
      </c>
      <c r="R691" s="2" t="str">
        <f aca="false">IF(ROUND(F691,2)=F691,"OK","FIX")</f>
        <v>OK</v>
      </c>
    </row>
    <row r="692" customFormat="false" ht="15" hidden="false" customHeight="false" outlineLevel="0" collapsed="false">
      <c r="A692" s="2" t="s">
        <v>2578</v>
      </c>
      <c r="B692" s="3" t="n">
        <v>45485</v>
      </c>
      <c r="C692" s="2" t="s">
        <v>2579</v>
      </c>
      <c r="D692" s="2" t="s">
        <v>20</v>
      </c>
      <c r="E692" s="2" t="n">
        <v>1</v>
      </c>
      <c r="F692" s="4" t="n">
        <v>24.48</v>
      </c>
      <c r="G692" s="2" t="s">
        <v>185</v>
      </c>
      <c r="H692" s="2" t="s">
        <v>64</v>
      </c>
      <c r="I692" s="2" t="s">
        <v>47</v>
      </c>
      <c r="J692" s="2" t="s">
        <v>2580</v>
      </c>
      <c r="K692" s="2" t="n">
        <v>1</v>
      </c>
      <c r="L692" s="2"/>
      <c r="M692" s="2" t="s">
        <v>26</v>
      </c>
      <c r="N692" s="4" t="n">
        <v>24.48</v>
      </c>
      <c r="O692" s="2" t="str">
        <f aca="false">IF(COUNTIF($A$2:$A$1201,A692)&gt;1,"DUPLICATE","Unique")</f>
        <v>Unique</v>
      </c>
      <c r="P692" s="2" t="str">
        <f aca="false">IF(L692="","MISSING","OK")</f>
        <v>MISSING</v>
      </c>
      <c r="Q692" s="2" t="str">
        <f aca="false">IF(ISNUMBER(B692),"OK","BAD DATE")</f>
        <v>OK</v>
      </c>
      <c r="R692" s="2" t="str">
        <f aca="false">IF(ROUND(F692,2)=F692,"OK","FIX")</f>
        <v>OK</v>
      </c>
    </row>
    <row r="693" customFormat="false" ht="15" hidden="false" customHeight="false" outlineLevel="0" collapsed="false">
      <c r="A693" s="2" t="s">
        <v>2581</v>
      </c>
      <c r="B693" s="3" t="n">
        <v>45620</v>
      </c>
      <c r="C693" s="2" t="s">
        <v>2582</v>
      </c>
      <c r="D693" s="2" t="s">
        <v>62</v>
      </c>
      <c r="E693" s="2" t="n">
        <v>3</v>
      </c>
      <c r="F693" s="4" t="n">
        <v>239.08</v>
      </c>
      <c r="G693" s="2" t="s">
        <v>2583</v>
      </c>
      <c r="H693" s="2" t="s">
        <v>69</v>
      </c>
      <c r="I693" s="2" t="s">
        <v>23</v>
      </c>
      <c r="J693" s="2" t="s">
        <v>2584</v>
      </c>
      <c r="K693" s="2" t="n">
        <v>8</v>
      </c>
      <c r="L693" s="2"/>
      <c r="M693" s="2" t="s">
        <v>80</v>
      </c>
      <c r="N693" s="4" t="n">
        <v>717.24</v>
      </c>
      <c r="O693" s="2" t="str">
        <f aca="false">IF(COUNTIF($A$2:$A$1201,A693)&gt;1,"DUPLICATE","Unique")</f>
        <v>Unique</v>
      </c>
      <c r="P693" s="2" t="str">
        <f aca="false">IF(L693="","MISSING","OK")</f>
        <v>MISSING</v>
      </c>
      <c r="Q693" s="2" t="str">
        <f aca="false">IF(ISNUMBER(B693),"OK","BAD DATE")</f>
        <v>OK</v>
      </c>
      <c r="R693" s="2" t="str">
        <f aca="false">IF(ROUND(F693,2)=F693,"OK","FIX")</f>
        <v>OK</v>
      </c>
    </row>
    <row r="694" customFormat="false" ht="15" hidden="false" customHeight="false" outlineLevel="0" collapsed="false">
      <c r="A694" s="2" t="s">
        <v>2585</v>
      </c>
      <c r="B694" s="3" t="n">
        <v>44949</v>
      </c>
      <c r="C694" s="2" t="s">
        <v>2586</v>
      </c>
      <c r="D694" s="2" t="s">
        <v>77</v>
      </c>
      <c r="E694" s="2" t="n">
        <v>5</v>
      </c>
      <c r="F694" s="4" t="n">
        <v>196.84</v>
      </c>
      <c r="G694" s="2" t="s">
        <v>1564</v>
      </c>
      <c r="H694" s="2" t="s">
        <v>38</v>
      </c>
      <c r="I694" s="2" t="s">
        <v>54</v>
      </c>
      <c r="J694" s="2" t="s">
        <v>2587</v>
      </c>
      <c r="K694" s="2" t="n">
        <v>5</v>
      </c>
      <c r="L694" s="2" t="s">
        <v>85</v>
      </c>
      <c r="M694" s="2" t="s">
        <v>26</v>
      </c>
      <c r="N694" s="4" t="n">
        <v>984.2</v>
      </c>
      <c r="O694" s="2" t="str">
        <f aca="false">IF(COUNTIF($A$2:$A$1201,A694)&gt;1,"DUPLICATE","Unique")</f>
        <v>Unique</v>
      </c>
      <c r="P694" s="2" t="str">
        <f aca="false">IF(L694="","MISSING","OK")</f>
        <v>OK</v>
      </c>
      <c r="Q694" s="2" t="str">
        <f aca="false">IF(ISNUMBER(B694),"OK","BAD DATE")</f>
        <v>OK</v>
      </c>
      <c r="R694" s="2" t="str">
        <f aca="false">IF(ROUND(F694,2)=F694,"OK","FIX")</f>
        <v>OK</v>
      </c>
    </row>
    <row r="695" customFormat="false" ht="15" hidden="false" customHeight="false" outlineLevel="0" collapsed="false">
      <c r="A695" s="2" t="s">
        <v>2588</v>
      </c>
      <c r="B695" s="3" t="n">
        <v>45728</v>
      </c>
      <c r="C695" s="2" t="s">
        <v>2589</v>
      </c>
      <c r="D695" s="2" t="s">
        <v>20</v>
      </c>
      <c r="E695" s="2" t="n">
        <v>1</v>
      </c>
      <c r="F695" s="4" t="n">
        <v>176.58</v>
      </c>
      <c r="G695" s="2" t="s">
        <v>2590</v>
      </c>
      <c r="H695" s="2" t="s">
        <v>22</v>
      </c>
      <c r="I695" s="2" t="s">
        <v>47</v>
      </c>
      <c r="J695" s="2" t="s">
        <v>2591</v>
      </c>
      <c r="K695" s="2" t="n">
        <v>4</v>
      </c>
      <c r="L695" s="2"/>
      <c r="M695" s="2" t="s">
        <v>33</v>
      </c>
      <c r="N695" s="4" t="n">
        <v>176.58</v>
      </c>
      <c r="O695" s="2" t="str">
        <f aca="false">IF(COUNTIF($A$2:$A$1201,A695)&gt;1,"DUPLICATE","Unique")</f>
        <v>Unique</v>
      </c>
      <c r="P695" s="2" t="str">
        <f aca="false">IF(L695="","MISSING","OK")</f>
        <v>MISSING</v>
      </c>
      <c r="Q695" s="2" t="str">
        <f aca="false">IF(ISNUMBER(B695),"OK","BAD DATE")</f>
        <v>OK</v>
      </c>
      <c r="R695" s="2" t="str">
        <f aca="false">IF(ROUND(F695,2)=F695,"OK","FIX")</f>
        <v>OK</v>
      </c>
    </row>
    <row r="696" customFormat="false" ht="15" hidden="false" customHeight="false" outlineLevel="0" collapsed="false">
      <c r="A696" s="2" t="s">
        <v>2592</v>
      </c>
      <c r="B696" s="3" t="n">
        <v>45201</v>
      </c>
      <c r="C696" s="2" t="s">
        <v>2593</v>
      </c>
      <c r="D696" s="2" t="s">
        <v>52</v>
      </c>
      <c r="E696" s="2" t="n">
        <v>4</v>
      </c>
      <c r="F696" s="4" t="n">
        <v>666.52</v>
      </c>
      <c r="G696" s="2" t="s">
        <v>1356</v>
      </c>
      <c r="H696" s="2" t="s">
        <v>69</v>
      </c>
      <c r="I696" s="2" t="s">
        <v>23</v>
      </c>
      <c r="J696" s="2" t="s">
        <v>2594</v>
      </c>
      <c r="K696" s="2" t="n">
        <v>8</v>
      </c>
      <c r="L696" s="2" t="s">
        <v>41</v>
      </c>
      <c r="M696" s="2" t="s">
        <v>42</v>
      </c>
      <c r="N696" s="4" t="n">
        <v>2666.08</v>
      </c>
      <c r="O696" s="2" t="str">
        <f aca="false">IF(COUNTIF($A$2:$A$1201,A696)&gt;1,"DUPLICATE","Unique")</f>
        <v>Unique</v>
      </c>
      <c r="P696" s="2" t="str">
        <f aca="false">IF(L696="","MISSING","OK")</f>
        <v>OK</v>
      </c>
      <c r="Q696" s="2" t="str">
        <f aca="false">IF(ISNUMBER(B696),"OK","BAD DATE")</f>
        <v>OK</v>
      </c>
      <c r="R696" s="2" t="str">
        <f aca="false">IF(ROUND(F696,2)=F696,"OK","FIX")</f>
        <v>OK</v>
      </c>
    </row>
    <row r="697" customFormat="false" ht="15" hidden="false" customHeight="false" outlineLevel="0" collapsed="false">
      <c r="A697" s="2" t="s">
        <v>2595</v>
      </c>
      <c r="B697" s="3" t="n">
        <v>45619</v>
      </c>
      <c r="C697" s="2" t="s">
        <v>2596</v>
      </c>
      <c r="D697" s="2" t="s">
        <v>52</v>
      </c>
      <c r="E697" s="2" t="n">
        <v>5</v>
      </c>
      <c r="F697" s="4" t="n">
        <v>101.3</v>
      </c>
      <c r="G697" s="2" t="s">
        <v>731</v>
      </c>
      <c r="H697" s="2" t="s">
        <v>31</v>
      </c>
      <c r="I697" s="2" t="s">
        <v>23</v>
      </c>
      <c r="J697" s="2" t="s">
        <v>2597</v>
      </c>
      <c r="K697" s="2" t="n">
        <v>7</v>
      </c>
      <c r="L697" s="2" t="s">
        <v>41</v>
      </c>
      <c r="M697" s="2" t="s">
        <v>42</v>
      </c>
      <c r="N697" s="4" t="n">
        <v>506.5</v>
      </c>
      <c r="O697" s="2" t="str">
        <f aca="false">IF(COUNTIF($A$2:$A$1201,A697)&gt;1,"DUPLICATE","Unique")</f>
        <v>Unique</v>
      </c>
      <c r="P697" s="2" t="str">
        <f aca="false">IF(L697="","MISSING","OK")</f>
        <v>OK</v>
      </c>
      <c r="Q697" s="2" t="str">
        <f aca="false">IF(ISNUMBER(B697),"OK","BAD DATE")</f>
        <v>OK</v>
      </c>
      <c r="R697" s="2" t="str">
        <f aca="false">IF(ROUND(F697,2)=F697,"OK","FIX")</f>
        <v>OK</v>
      </c>
    </row>
    <row r="698" customFormat="false" ht="15" hidden="false" customHeight="false" outlineLevel="0" collapsed="false">
      <c r="A698" s="2" t="s">
        <v>2598</v>
      </c>
      <c r="B698" s="3" t="n">
        <v>45109</v>
      </c>
      <c r="C698" s="2" t="s">
        <v>2599</v>
      </c>
      <c r="D698" s="2" t="s">
        <v>45</v>
      </c>
      <c r="E698" s="2" t="n">
        <v>4</v>
      </c>
      <c r="F698" s="4" t="n">
        <v>151.2</v>
      </c>
      <c r="G698" s="2" t="s">
        <v>2600</v>
      </c>
      <c r="H698" s="2" t="s">
        <v>64</v>
      </c>
      <c r="I698" s="2" t="s">
        <v>93</v>
      </c>
      <c r="J698" s="2" t="s">
        <v>2601</v>
      </c>
      <c r="K698" s="2" t="n">
        <v>9</v>
      </c>
      <c r="L698" s="2" t="s">
        <v>85</v>
      </c>
      <c r="M698" s="2" t="s">
        <v>49</v>
      </c>
      <c r="N698" s="4" t="n">
        <v>604.8</v>
      </c>
      <c r="O698" s="2" t="str">
        <f aca="false">IF(COUNTIF($A$2:$A$1201,A698)&gt;1,"DUPLICATE","Unique")</f>
        <v>Unique</v>
      </c>
      <c r="P698" s="2" t="str">
        <f aca="false">IF(L698="","MISSING","OK")</f>
        <v>OK</v>
      </c>
      <c r="Q698" s="2" t="str">
        <f aca="false">IF(ISNUMBER(B698),"OK","BAD DATE")</f>
        <v>OK</v>
      </c>
      <c r="R698" s="2" t="str">
        <f aca="false">IF(ROUND(F698,2)=F698,"OK","FIX")</f>
        <v>OK</v>
      </c>
    </row>
    <row r="699" customFormat="false" ht="15" hidden="false" customHeight="false" outlineLevel="0" collapsed="false">
      <c r="A699" s="2" t="s">
        <v>2602</v>
      </c>
      <c r="B699" s="3" t="n">
        <v>45692</v>
      </c>
      <c r="C699" s="2" t="s">
        <v>2603</v>
      </c>
      <c r="D699" s="2" t="s">
        <v>52</v>
      </c>
      <c r="E699" s="2" t="n">
        <v>5</v>
      </c>
      <c r="F699" s="4" t="n">
        <v>94.85</v>
      </c>
      <c r="G699" s="2" t="s">
        <v>2298</v>
      </c>
      <c r="H699" s="2" t="s">
        <v>69</v>
      </c>
      <c r="I699" s="2" t="s">
        <v>23</v>
      </c>
      <c r="J699" s="2" t="s">
        <v>2604</v>
      </c>
      <c r="K699" s="2" t="n">
        <v>6</v>
      </c>
      <c r="L699" s="2" t="s">
        <v>85</v>
      </c>
      <c r="M699" s="2" t="s">
        <v>42</v>
      </c>
      <c r="N699" s="4" t="n">
        <v>474.25</v>
      </c>
      <c r="O699" s="2" t="str">
        <f aca="false">IF(COUNTIF($A$2:$A$1201,A699)&gt;1,"DUPLICATE","Unique")</f>
        <v>Unique</v>
      </c>
      <c r="P699" s="2" t="str">
        <f aca="false">IF(L699="","MISSING","OK")</f>
        <v>OK</v>
      </c>
      <c r="Q699" s="2" t="str">
        <f aca="false">IF(ISNUMBER(B699),"OK","BAD DATE")</f>
        <v>OK</v>
      </c>
      <c r="R699" s="2" t="str">
        <f aca="false">IF(ROUND(F699,2)=F699,"OK","FIX")</f>
        <v>OK</v>
      </c>
    </row>
    <row r="700" customFormat="false" ht="15" hidden="false" customHeight="false" outlineLevel="0" collapsed="false">
      <c r="A700" s="2" t="s">
        <v>2605</v>
      </c>
      <c r="B700" s="3" t="n">
        <v>44930</v>
      </c>
      <c r="C700" s="2" t="s">
        <v>2606</v>
      </c>
      <c r="D700" s="2" t="s">
        <v>62</v>
      </c>
      <c r="E700" s="2" t="n">
        <v>2</v>
      </c>
      <c r="F700" s="4" t="n">
        <v>388.22</v>
      </c>
      <c r="G700" s="2" t="s">
        <v>1927</v>
      </c>
      <c r="H700" s="2" t="s">
        <v>69</v>
      </c>
      <c r="I700" s="2" t="s">
        <v>54</v>
      </c>
      <c r="J700" s="2" t="s">
        <v>2607</v>
      </c>
      <c r="K700" s="2" t="n">
        <v>2</v>
      </c>
      <c r="L700" s="2" t="s">
        <v>85</v>
      </c>
      <c r="M700" s="2" t="s">
        <v>26</v>
      </c>
      <c r="N700" s="4" t="n">
        <v>776.44</v>
      </c>
      <c r="O700" s="2" t="str">
        <f aca="false">IF(COUNTIF($A$2:$A$1201,A700)&gt;1,"DUPLICATE","Unique")</f>
        <v>Unique</v>
      </c>
      <c r="P700" s="2" t="str">
        <f aca="false">IF(L700="","MISSING","OK")</f>
        <v>OK</v>
      </c>
      <c r="Q700" s="2" t="str">
        <f aca="false">IF(ISNUMBER(B700),"OK","BAD DATE")</f>
        <v>OK</v>
      </c>
      <c r="R700" s="2" t="str">
        <f aca="false">IF(ROUND(F700,2)=F700,"OK","FIX")</f>
        <v>OK</v>
      </c>
    </row>
    <row r="701" customFormat="false" ht="15" hidden="false" customHeight="false" outlineLevel="0" collapsed="false">
      <c r="A701" s="2" t="s">
        <v>2608</v>
      </c>
      <c r="B701" s="3" t="n">
        <v>45243</v>
      </c>
      <c r="C701" s="2" t="s">
        <v>2609</v>
      </c>
      <c r="D701" s="2" t="s">
        <v>62</v>
      </c>
      <c r="E701" s="2" t="n">
        <v>3</v>
      </c>
      <c r="F701" s="4" t="n">
        <v>614.15</v>
      </c>
      <c r="G701" s="2" t="s">
        <v>2610</v>
      </c>
      <c r="H701" s="2" t="s">
        <v>64</v>
      </c>
      <c r="I701" s="2" t="s">
        <v>39</v>
      </c>
      <c r="J701" s="2" t="s">
        <v>2611</v>
      </c>
      <c r="K701" s="2" t="n">
        <v>3</v>
      </c>
      <c r="L701" s="2"/>
      <c r="M701" s="2" t="s">
        <v>49</v>
      </c>
      <c r="N701" s="4" t="n">
        <v>1842.45</v>
      </c>
      <c r="O701" s="2" t="str">
        <f aca="false">IF(COUNTIF($A$2:$A$1201,A701)&gt;1,"DUPLICATE","Unique")</f>
        <v>Unique</v>
      </c>
      <c r="P701" s="2" t="str">
        <f aca="false">IF(L701="","MISSING","OK")</f>
        <v>MISSING</v>
      </c>
      <c r="Q701" s="2" t="str">
        <f aca="false">IF(ISNUMBER(B701),"OK","BAD DATE")</f>
        <v>OK</v>
      </c>
      <c r="R701" s="2" t="str">
        <f aca="false">IF(ROUND(F701,2)=F701,"OK","FIX")</f>
        <v>OK</v>
      </c>
    </row>
    <row r="702" customFormat="false" ht="15" hidden="false" customHeight="false" outlineLevel="0" collapsed="false">
      <c r="A702" s="2" t="s">
        <v>2612</v>
      </c>
      <c r="B702" s="3" t="n">
        <v>45560</v>
      </c>
      <c r="C702" s="2" t="s">
        <v>2613</v>
      </c>
      <c r="D702" s="2" t="s">
        <v>62</v>
      </c>
      <c r="E702" s="2" t="n">
        <v>2</v>
      </c>
      <c r="F702" s="4" t="n">
        <v>92.91</v>
      </c>
      <c r="G702" s="2" t="s">
        <v>2614</v>
      </c>
      <c r="H702" s="2" t="s">
        <v>69</v>
      </c>
      <c r="I702" s="2" t="s">
        <v>47</v>
      </c>
      <c r="J702" s="2" t="s">
        <v>2615</v>
      </c>
      <c r="K702" s="2" t="n">
        <v>3</v>
      </c>
      <c r="L702" s="2" t="s">
        <v>85</v>
      </c>
      <c r="M702" s="2" t="s">
        <v>26</v>
      </c>
      <c r="N702" s="4" t="n">
        <v>185.82</v>
      </c>
      <c r="O702" s="2" t="str">
        <f aca="false">IF(COUNTIF($A$2:$A$1201,A702)&gt;1,"DUPLICATE","Unique")</f>
        <v>Unique</v>
      </c>
      <c r="P702" s="2" t="str">
        <f aca="false">IF(L702="","MISSING","OK")</f>
        <v>OK</v>
      </c>
      <c r="Q702" s="2" t="str">
        <f aca="false">IF(ISNUMBER(B702),"OK","BAD DATE")</f>
        <v>OK</v>
      </c>
      <c r="R702" s="2" t="str">
        <f aca="false">IF(ROUND(F702,2)=F702,"OK","FIX")</f>
        <v>OK</v>
      </c>
    </row>
    <row r="703" customFormat="false" ht="15" hidden="false" customHeight="false" outlineLevel="0" collapsed="false">
      <c r="A703" s="2" t="s">
        <v>2616</v>
      </c>
      <c r="B703" s="3" t="n">
        <v>45466</v>
      </c>
      <c r="C703" s="2" t="s">
        <v>2617</v>
      </c>
      <c r="D703" s="2" t="s">
        <v>20</v>
      </c>
      <c r="E703" s="2" t="n">
        <v>3</v>
      </c>
      <c r="F703" s="4" t="n">
        <v>92.22</v>
      </c>
      <c r="G703" s="2" t="s">
        <v>494</v>
      </c>
      <c r="H703" s="2" t="s">
        <v>38</v>
      </c>
      <c r="I703" s="2" t="s">
        <v>54</v>
      </c>
      <c r="J703" s="2" t="s">
        <v>2618</v>
      </c>
      <c r="K703" s="2" t="n">
        <v>5</v>
      </c>
      <c r="L703" s="2" t="s">
        <v>41</v>
      </c>
      <c r="M703" s="2" t="s">
        <v>42</v>
      </c>
      <c r="N703" s="4" t="n">
        <v>276.66</v>
      </c>
      <c r="O703" s="2" t="str">
        <f aca="false">IF(COUNTIF($A$2:$A$1201,A703)&gt;1,"DUPLICATE","Unique")</f>
        <v>Unique</v>
      </c>
      <c r="P703" s="2" t="str">
        <f aca="false">IF(L703="","MISSING","OK")</f>
        <v>OK</v>
      </c>
      <c r="Q703" s="2" t="str">
        <f aca="false">IF(ISNUMBER(B703),"OK","BAD DATE")</f>
        <v>OK</v>
      </c>
      <c r="R703" s="2" t="str">
        <f aca="false">IF(ROUND(F703,2)=F703,"OK","FIX")</f>
        <v>OK</v>
      </c>
    </row>
    <row r="704" customFormat="false" ht="15" hidden="false" customHeight="false" outlineLevel="0" collapsed="false">
      <c r="A704" s="2" t="s">
        <v>2619</v>
      </c>
      <c r="B704" s="3" t="n">
        <v>45452</v>
      </c>
      <c r="C704" s="2" t="s">
        <v>2620</v>
      </c>
      <c r="D704" s="2" t="s">
        <v>52</v>
      </c>
      <c r="E704" s="2" t="n">
        <v>3</v>
      </c>
      <c r="F704" s="4" t="n">
        <v>562.55</v>
      </c>
      <c r="G704" s="2" t="s">
        <v>2315</v>
      </c>
      <c r="H704" s="2" t="s">
        <v>22</v>
      </c>
      <c r="I704" s="2" t="s">
        <v>47</v>
      </c>
      <c r="J704" s="2" t="s">
        <v>2621</v>
      </c>
      <c r="K704" s="2" t="n">
        <v>6</v>
      </c>
      <c r="L704" s="2"/>
      <c r="M704" s="2" t="s">
        <v>42</v>
      </c>
      <c r="N704" s="4" t="n">
        <v>1687.65</v>
      </c>
      <c r="O704" s="2" t="str">
        <f aca="false">IF(COUNTIF($A$2:$A$1201,A704)&gt;1,"DUPLICATE","Unique")</f>
        <v>Unique</v>
      </c>
      <c r="P704" s="2" t="str">
        <f aca="false">IF(L704="","MISSING","OK")</f>
        <v>MISSING</v>
      </c>
      <c r="Q704" s="2" t="str">
        <f aca="false">IF(ISNUMBER(B704),"OK","BAD DATE")</f>
        <v>OK</v>
      </c>
      <c r="R704" s="2" t="str">
        <f aca="false">IF(ROUND(F704,2)=F704,"OK","FIX")</f>
        <v>OK</v>
      </c>
    </row>
    <row r="705" customFormat="false" ht="15" hidden="false" customHeight="false" outlineLevel="0" collapsed="false">
      <c r="A705" s="2" t="s">
        <v>2622</v>
      </c>
      <c r="B705" s="3" t="n">
        <v>45007</v>
      </c>
      <c r="C705" s="2" t="s">
        <v>2623</v>
      </c>
      <c r="D705" s="2" t="s">
        <v>77</v>
      </c>
      <c r="E705" s="2" t="n">
        <v>1</v>
      </c>
      <c r="F705" s="4" t="n">
        <v>92.79</v>
      </c>
      <c r="G705" s="2" t="s">
        <v>2624</v>
      </c>
      <c r="H705" s="2" t="s">
        <v>69</v>
      </c>
      <c r="I705" s="2" t="s">
        <v>93</v>
      </c>
      <c r="J705" s="2" t="s">
        <v>2625</v>
      </c>
      <c r="K705" s="2" t="n">
        <v>3</v>
      </c>
      <c r="L705" s="2" t="s">
        <v>85</v>
      </c>
      <c r="M705" s="2" t="s">
        <v>42</v>
      </c>
      <c r="N705" s="4" t="n">
        <v>92.79</v>
      </c>
      <c r="O705" s="2" t="str">
        <f aca="false">IF(COUNTIF($A$2:$A$1201,A705)&gt;1,"DUPLICATE","Unique")</f>
        <v>Unique</v>
      </c>
      <c r="P705" s="2" t="str">
        <f aca="false">IF(L705="","MISSING","OK")</f>
        <v>OK</v>
      </c>
      <c r="Q705" s="2" t="str">
        <f aca="false">IF(ISNUMBER(B705),"OK","BAD DATE")</f>
        <v>OK</v>
      </c>
      <c r="R705" s="2" t="str">
        <f aca="false">IF(ROUND(F705,2)=F705,"OK","FIX")</f>
        <v>OK</v>
      </c>
    </row>
    <row r="706" customFormat="false" ht="15" hidden="false" customHeight="false" outlineLevel="0" collapsed="false">
      <c r="A706" s="2" t="s">
        <v>2626</v>
      </c>
      <c r="B706" s="3" t="n">
        <v>45080</v>
      </c>
      <c r="C706" s="2" t="s">
        <v>2627</v>
      </c>
      <c r="D706" s="2" t="s">
        <v>77</v>
      </c>
      <c r="E706" s="2" t="n">
        <v>4</v>
      </c>
      <c r="F706" s="4" t="n">
        <v>30.27</v>
      </c>
      <c r="G706" s="2" t="s">
        <v>667</v>
      </c>
      <c r="H706" s="2" t="s">
        <v>31</v>
      </c>
      <c r="I706" s="2" t="s">
        <v>54</v>
      </c>
      <c r="J706" s="2" t="s">
        <v>2628</v>
      </c>
      <c r="K706" s="2" t="n">
        <v>9</v>
      </c>
      <c r="L706" s="2" t="s">
        <v>41</v>
      </c>
      <c r="M706" s="2" t="s">
        <v>80</v>
      </c>
      <c r="N706" s="4" t="n">
        <v>121.08</v>
      </c>
      <c r="O706" s="2" t="str">
        <f aca="false">IF(COUNTIF($A$2:$A$1201,A706)&gt;1,"DUPLICATE","Unique")</f>
        <v>Unique</v>
      </c>
      <c r="P706" s="2" t="str">
        <f aca="false">IF(L706="","MISSING","OK")</f>
        <v>OK</v>
      </c>
      <c r="Q706" s="2" t="str">
        <f aca="false">IF(ISNUMBER(B706),"OK","BAD DATE")</f>
        <v>OK</v>
      </c>
      <c r="R706" s="2" t="str">
        <f aca="false">IF(ROUND(F706,2)=F706,"OK","FIX")</f>
        <v>OK</v>
      </c>
    </row>
    <row r="707" customFormat="false" ht="15" hidden="false" customHeight="false" outlineLevel="0" collapsed="false">
      <c r="A707" s="2" t="s">
        <v>2629</v>
      </c>
      <c r="B707" s="3" t="n">
        <v>45746</v>
      </c>
      <c r="C707" s="2" t="s">
        <v>2630</v>
      </c>
      <c r="D707" s="2" t="s">
        <v>20</v>
      </c>
      <c r="E707" s="2" t="n">
        <v>2</v>
      </c>
      <c r="F707" s="4" t="n">
        <v>49.08</v>
      </c>
      <c r="G707" s="2" t="s">
        <v>2631</v>
      </c>
      <c r="H707" s="2" t="s">
        <v>22</v>
      </c>
      <c r="I707" s="2" t="s">
        <v>47</v>
      </c>
      <c r="J707" s="2" t="s">
        <v>2632</v>
      </c>
      <c r="K707" s="2" t="n">
        <v>7</v>
      </c>
      <c r="L707" s="2" t="s">
        <v>41</v>
      </c>
      <c r="M707" s="2" t="s">
        <v>26</v>
      </c>
      <c r="N707" s="4" t="n">
        <v>98.16</v>
      </c>
      <c r="O707" s="2" t="str">
        <f aca="false">IF(COUNTIF($A$2:$A$1201,A707)&gt;1,"DUPLICATE","Unique")</f>
        <v>Unique</v>
      </c>
      <c r="P707" s="2" t="str">
        <f aca="false">IF(L707="","MISSING","OK")</f>
        <v>OK</v>
      </c>
      <c r="Q707" s="2" t="str">
        <f aca="false">IF(ISNUMBER(B707),"OK","BAD DATE")</f>
        <v>OK</v>
      </c>
      <c r="R707" s="2" t="str">
        <f aca="false">IF(ROUND(F707,2)=F707,"OK","FIX")</f>
        <v>OK</v>
      </c>
    </row>
    <row r="708" customFormat="false" ht="15" hidden="false" customHeight="false" outlineLevel="0" collapsed="false">
      <c r="A708" s="2" t="s">
        <v>2633</v>
      </c>
      <c r="B708" s="3" t="n">
        <v>45718</v>
      </c>
      <c r="C708" s="2" t="s">
        <v>2634</v>
      </c>
      <c r="D708" s="2" t="s">
        <v>77</v>
      </c>
      <c r="E708" s="2" t="n">
        <v>5</v>
      </c>
      <c r="F708" s="4" t="n">
        <v>228.09</v>
      </c>
      <c r="G708" s="2" t="s">
        <v>1474</v>
      </c>
      <c r="H708" s="2" t="s">
        <v>64</v>
      </c>
      <c r="I708" s="2" t="s">
        <v>47</v>
      </c>
      <c r="J708" s="2" t="s">
        <v>2635</v>
      </c>
      <c r="K708" s="2" t="n">
        <v>9</v>
      </c>
      <c r="L708" s="2" t="s">
        <v>41</v>
      </c>
      <c r="M708" s="2" t="s">
        <v>49</v>
      </c>
      <c r="N708" s="4" t="n">
        <v>1140.45</v>
      </c>
      <c r="O708" s="2" t="str">
        <f aca="false">IF(COUNTIF($A$2:$A$1201,A708)&gt;1,"DUPLICATE","Unique")</f>
        <v>Unique</v>
      </c>
      <c r="P708" s="2" t="str">
        <f aca="false">IF(L708="","MISSING","OK")</f>
        <v>OK</v>
      </c>
      <c r="Q708" s="2" t="str">
        <f aca="false">IF(ISNUMBER(B708),"OK","BAD DATE")</f>
        <v>OK</v>
      </c>
      <c r="R708" s="2" t="str">
        <f aca="false">IF(ROUND(F708,2)=F708,"OK","FIX")</f>
        <v>OK</v>
      </c>
    </row>
    <row r="709" customFormat="false" ht="15" hidden="false" customHeight="false" outlineLevel="0" collapsed="false">
      <c r="A709" s="2" t="s">
        <v>2636</v>
      </c>
      <c r="B709" s="3" t="n">
        <v>45597</v>
      </c>
      <c r="C709" s="2" t="s">
        <v>2637</v>
      </c>
      <c r="D709" s="2" t="s">
        <v>45</v>
      </c>
      <c r="E709" s="2" t="n">
        <v>4</v>
      </c>
      <c r="F709" s="4" t="n">
        <v>650.04</v>
      </c>
      <c r="G709" s="2" t="s">
        <v>371</v>
      </c>
      <c r="H709" s="2" t="s">
        <v>64</v>
      </c>
      <c r="I709" s="2" t="s">
        <v>39</v>
      </c>
      <c r="J709" s="2" t="s">
        <v>2638</v>
      </c>
      <c r="K709" s="2" t="n">
        <v>6</v>
      </c>
      <c r="L709" s="2" t="s">
        <v>25</v>
      </c>
      <c r="M709" s="2" t="s">
        <v>49</v>
      </c>
      <c r="N709" s="4" t="n">
        <v>2600.16</v>
      </c>
      <c r="O709" s="2" t="str">
        <f aca="false">IF(COUNTIF($A$2:$A$1201,A709)&gt;1,"DUPLICATE","Unique")</f>
        <v>Unique</v>
      </c>
      <c r="P709" s="2" t="str">
        <f aca="false">IF(L709="","MISSING","OK")</f>
        <v>OK</v>
      </c>
      <c r="Q709" s="2" t="str">
        <f aca="false">IF(ISNUMBER(B709),"OK","BAD DATE")</f>
        <v>OK</v>
      </c>
      <c r="R709" s="2" t="str">
        <f aca="false">IF(ROUND(F709,2)=F709,"OK","FIX")</f>
        <v>OK</v>
      </c>
    </row>
    <row r="710" customFormat="false" ht="15" hidden="false" customHeight="false" outlineLevel="0" collapsed="false">
      <c r="A710" s="2" t="s">
        <v>2639</v>
      </c>
      <c r="B710" s="3" t="n">
        <v>45720</v>
      </c>
      <c r="C710" s="2" t="s">
        <v>2640</v>
      </c>
      <c r="D710" s="2" t="s">
        <v>52</v>
      </c>
      <c r="E710" s="2" t="n">
        <v>1</v>
      </c>
      <c r="F710" s="4" t="n">
        <v>665.11</v>
      </c>
      <c r="G710" s="2" t="s">
        <v>2298</v>
      </c>
      <c r="H710" s="2" t="s">
        <v>69</v>
      </c>
      <c r="I710" s="2" t="s">
        <v>93</v>
      </c>
      <c r="J710" s="2" t="s">
        <v>2641</v>
      </c>
      <c r="K710" s="2" t="n">
        <v>3</v>
      </c>
      <c r="L710" s="2" t="s">
        <v>41</v>
      </c>
      <c r="M710" s="2" t="s">
        <v>26</v>
      </c>
      <c r="N710" s="4" t="n">
        <v>665.11</v>
      </c>
      <c r="O710" s="2" t="str">
        <f aca="false">IF(COUNTIF($A$2:$A$1201,A710)&gt;1,"DUPLICATE","Unique")</f>
        <v>Unique</v>
      </c>
      <c r="P710" s="2" t="str">
        <f aca="false">IF(L710="","MISSING","OK")</f>
        <v>OK</v>
      </c>
      <c r="Q710" s="2" t="str">
        <f aca="false">IF(ISNUMBER(B710),"OK","BAD DATE")</f>
        <v>OK</v>
      </c>
      <c r="R710" s="2" t="str">
        <f aca="false">IF(ROUND(F710,2)=F710,"OK","FIX")</f>
        <v>OK</v>
      </c>
    </row>
    <row r="711" customFormat="false" ht="15" hidden="false" customHeight="false" outlineLevel="0" collapsed="false">
      <c r="A711" s="2" t="s">
        <v>2642</v>
      </c>
      <c r="B711" s="3" t="n">
        <v>45633</v>
      </c>
      <c r="C711" s="2" t="s">
        <v>2643</v>
      </c>
      <c r="D711" s="2" t="s">
        <v>77</v>
      </c>
      <c r="E711" s="2" t="n">
        <v>1</v>
      </c>
      <c r="F711" s="4" t="n">
        <v>386.03</v>
      </c>
      <c r="G711" s="2" t="s">
        <v>2644</v>
      </c>
      <c r="H711" s="2" t="s">
        <v>31</v>
      </c>
      <c r="I711" s="2" t="s">
        <v>93</v>
      </c>
      <c r="J711" s="2" t="s">
        <v>2645</v>
      </c>
      <c r="K711" s="2" t="n">
        <v>4</v>
      </c>
      <c r="L711" s="2" t="s">
        <v>41</v>
      </c>
      <c r="M711" s="2" t="s">
        <v>80</v>
      </c>
      <c r="N711" s="4" t="n">
        <v>386.03</v>
      </c>
      <c r="O711" s="2" t="str">
        <f aca="false">IF(COUNTIF($A$2:$A$1201,A711)&gt;1,"DUPLICATE","Unique")</f>
        <v>Unique</v>
      </c>
      <c r="P711" s="2" t="str">
        <f aca="false">IF(L711="","MISSING","OK")</f>
        <v>OK</v>
      </c>
      <c r="Q711" s="2" t="str">
        <f aca="false">IF(ISNUMBER(B711),"OK","BAD DATE")</f>
        <v>OK</v>
      </c>
      <c r="R711" s="2" t="str">
        <f aca="false">IF(ROUND(F711,2)=F711,"OK","FIX")</f>
        <v>OK</v>
      </c>
    </row>
    <row r="712" customFormat="false" ht="15" hidden="false" customHeight="false" outlineLevel="0" collapsed="false">
      <c r="A712" s="2" t="s">
        <v>2646</v>
      </c>
      <c r="B712" s="3" t="n">
        <v>45495</v>
      </c>
      <c r="C712" s="2" t="s">
        <v>2647</v>
      </c>
      <c r="D712" s="2" t="s">
        <v>62</v>
      </c>
      <c r="E712" s="2" t="n">
        <v>5</v>
      </c>
      <c r="F712" s="4" t="n">
        <v>21.54</v>
      </c>
      <c r="G712" s="2" t="s">
        <v>2648</v>
      </c>
      <c r="H712" s="2" t="s">
        <v>64</v>
      </c>
      <c r="I712" s="2" t="s">
        <v>47</v>
      </c>
      <c r="J712" s="2" t="s">
        <v>2649</v>
      </c>
      <c r="K712" s="2" t="n">
        <v>10</v>
      </c>
      <c r="L712" s="2"/>
      <c r="M712" s="2" t="s">
        <v>80</v>
      </c>
      <c r="N712" s="4" t="n">
        <v>107.7</v>
      </c>
      <c r="O712" s="2" t="str">
        <f aca="false">IF(COUNTIF($A$2:$A$1201,A712)&gt;1,"DUPLICATE","Unique")</f>
        <v>Unique</v>
      </c>
      <c r="P712" s="2" t="str">
        <f aca="false">IF(L712="","MISSING","OK")</f>
        <v>MISSING</v>
      </c>
      <c r="Q712" s="2" t="str">
        <f aca="false">IF(ISNUMBER(B712),"OK","BAD DATE")</f>
        <v>OK</v>
      </c>
      <c r="R712" s="2" t="str">
        <f aca="false">IF(ROUND(F712,2)=F712,"OK","FIX")</f>
        <v>OK</v>
      </c>
    </row>
    <row r="713" customFormat="false" ht="15" hidden="false" customHeight="false" outlineLevel="0" collapsed="false">
      <c r="A713" s="2" t="s">
        <v>2650</v>
      </c>
      <c r="B713" s="3" t="n">
        <v>45477</v>
      </c>
      <c r="C713" s="2" t="s">
        <v>2651</v>
      </c>
      <c r="D713" s="2" t="s">
        <v>36</v>
      </c>
      <c r="E713" s="2" t="n">
        <v>2</v>
      </c>
      <c r="F713" s="4" t="n">
        <v>475.78</v>
      </c>
      <c r="G713" s="2" t="s">
        <v>2652</v>
      </c>
      <c r="H713" s="2" t="s">
        <v>31</v>
      </c>
      <c r="I713" s="2" t="s">
        <v>23</v>
      </c>
      <c r="J713" s="2" t="s">
        <v>2653</v>
      </c>
      <c r="K713" s="2" t="n">
        <v>2</v>
      </c>
      <c r="L713" s="2" t="s">
        <v>85</v>
      </c>
      <c r="M713" s="2" t="s">
        <v>80</v>
      </c>
      <c r="N713" s="4" t="n">
        <v>951.56</v>
      </c>
      <c r="O713" s="2" t="str">
        <f aca="false">IF(COUNTIF($A$2:$A$1201,A713)&gt;1,"DUPLICATE","Unique")</f>
        <v>Unique</v>
      </c>
      <c r="P713" s="2" t="str">
        <f aca="false">IF(L713="","MISSING","OK")</f>
        <v>OK</v>
      </c>
      <c r="Q713" s="2" t="str">
        <f aca="false">IF(ISNUMBER(B713),"OK","BAD DATE")</f>
        <v>OK</v>
      </c>
      <c r="R713" s="2" t="str">
        <f aca="false">IF(ROUND(F713,2)=F713,"OK","FIX")</f>
        <v>OK</v>
      </c>
    </row>
    <row r="714" customFormat="false" ht="15" hidden="false" customHeight="false" outlineLevel="0" collapsed="false">
      <c r="A714" s="2" t="s">
        <v>2654</v>
      </c>
      <c r="B714" s="3" t="n">
        <v>45300</v>
      </c>
      <c r="C714" s="2" t="s">
        <v>2123</v>
      </c>
      <c r="D714" s="2" t="s">
        <v>36</v>
      </c>
      <c r="E714" s="2" t="n">
        <v>2</v>
      </c>
      <c r="F714" s="4" t="n">
        <v>68.4</v>
      </c>
      <c r="G714" s="2" t="s">
        <v>2655</v>
      </c>
      <c r="H714" s="2" t="s">
        <v>64</v>
      </c>
      <c r="I714" s="2" t="s">
        <v>93</v>
      </c>
      <c r="J714" s="2" t="s">
        <v>2656</v>
      </c>
      <c r="K714" s="2" t="n">
        <v>7</v>
      </c>
      <c r="L714" s="2" t="s">
        <v>41</v>
      </c>
      <c r="M714" s="2" t="s">
        <v>42</v>
      </c>
      <c r="N714" s="4" t="n">
        <v>136.8</v>
      </c>
      <c r="O714" s="2" t="str">
        <f aca="false">IF(COUNTIF($A$2:$A$1201,A714)&gt;1,"DUPLICATE","Unique")</f>
        <v>Unique</v>
      </c>
      <c r="P714" s="2" t="str">
        <f aca="false">IF(L714="","MISSING","OK")</f>
        <v>OK</v>
      </c>
      <c r="Q714" s="2" t="str">
        <f aca="false">IF(ISNUMBER(B714),"OK","BAD DATE")</f>
        <v>OK</v>
      </c>
      <c r="R714" s="2" t="str">
        <f aca="false">IF(ROUND(F714,2)=F714,"OK","FIX")</f>
        <v>OK</v>
      </c>
    </row>
    <row r="715" customFormat="false" ht="15" hidden="false" customHeight="false" outlineLevel="0" collapsed="false">
      <c r="A715" s="2" t="s">
        <v>2657</v>
      </c>
      <c r="B715" s="3" t="n">
        <v>45829</v>
      </c>
      <c r="C715" s="2" t="s">
        <v>2658</v>
      </c>
      <c r="D715" s="2" t="s">
        <v>36</v>
      </c>
      <c r="E715" s="2" t="n">
        <v>4</v>
      </c>
      <c r="F715" s="4" t="n">
        <v>532.49</v>
      </c>
      <c r="G715" s="2" t="s">
        <v>2561</v>
      </c>
      <c r="H715" s="2" t="s">
        <v>31</v>
      </c>
      <c r="I715" s="2" t="s">
        <v>39</v>
      </c>
      <c r="J715" s="2" t="s">
        <v>2659</v>
      </c>
      <c r="K715" s="2" t="n">
        <v>6</v>
      </c>
      <c r="L715" s="2" t="s">
        <v>25</v>
      </c>
      <c r="M715" s="2" t="s">
        <v>49</v>
      </c>
      <c r="N715" s="4" t="n">
        <v>2129.96</v>
      </c>
      <c r="O715" s="2" t="str">
        <f aca="false">IF(COUNTIF($A$2:$A$1201,A715)&gt;1,"DUPLICATE","Unique")</f>
        <v>Unique</v>
      </c>
      <c r="P715" s="2" t="str">
        <f aca="false">IF(L715="","MISSING","OK")</f>
        <v>OK</v>
      </c>
      <c r="Q715" s="2" t="str">
        <f aca="false">IF(ISNUMBER(B715),"OK","BAD DATE")</f>
        <v>OK</v>
      </c>
      <c r="R715" s="2" t="str">
        <f aca="false">IF(ROUND(F715,2)=F715,"OK","FIX")</f>
        <v>OK</v>
      </c>
    </row>
    <row r="716" customFormat="false" ht="15" hidden="false" customHeight="false" outlineLevel="0" collapsed="false">
      <c r="A716" s="2" t="s">
        <v>2660</v>
      </c>
      <c r="B716" s="3" t="n">
        <v>45037</v>
      </c>
      <c r="C716" s="2" t="s">
        <v>2661</v>
      </c>
      <c r="D716" s="2" t="s">
        <v>62</v>
      </c>
      <c r="E716" s="2" t="n">
        <v>1</v>
      </c>
      <c r="F716" s="4" t="n">
        <v>51.73</v>
      </c>
      <c r="G716" s="2" t="s">
        <v>1180</v>
      </c>
      <c r="H716" s="2" t="s">
        <v>22</v>
      </c>
      <c r="I716" s="2" t="s">
        <v>93</v>
      </c>
      <c r="J716" s="2" t="s">
        <v>2662</v>
      </c>
      <c r="K716" s="2" t="n">
        <v>1</v>
      </c>
      <c r="L716" s="2" t="s">
        <v>41</v>
      </c>
      <c r="M716" s="2" t="s">
        <v>49</v>
      </c>
      <c r="N716" s="4" t="n">
        <v>51.73</v>
      </c>
      <c r="O716" s="2" t="str">
        <f aca="false">IF(COUNTIF($A$2:$A$1201,A716)&gt;1,"DUPLICATE","Unique")</f>
        <v>Unique</v>
      </c>
      <c r="P716" s="2" t="str">
        <f aca="false">IF(L716="","MISSING","OK")</f>
        <v>OK</v>
      </c>
      <c r="Q716" s="2" t="str">
        <f aca="false">IF(ISNUMBER(B716),"OK","BAD DATE")</f>
        <v>OK</v>
      </c>
      <c r="R716" s="2" t="str">
        <f aca="false">IF(ROUND(F716,2)=F716,"OK","FIX")</f>
        <v>OK</v>
      </c>
    </row>
    <row r="717" customFormat="false" ht="15" hidden="false" customHeight="false" outlineLevel="0" collapsed="false">
      <c r="A717" s="2" t="s">
        <v>2663</v>
      </c>
      <c r="B717" s="3" t="n">
        <v>45499</v>
      </c>
      <c r="C717" s="2" t="s">
        <v>2664</v>
      </c>
      <c r="D717" s="2" t="s">
        <v>52</v>
      </c>
      <c r="E717" s="2" t="n">
        <v>3</v>
      </c>
      <c r="F717" s="4" t="n">
        <v>653.63</v>
      </c>
      <c r="G717" s="2" t="s">
        <v>2665</v>
      </c>
      <c r="H717" s="2" t="s">
        <v>31</v>
      </c>
      <c r="I717" s="2" t="s">
        <v>54</v>
      </c>
      <c r="J717" s="2" t="s">
        <v>2666</v>
      </c>
      <c r="K717" s="2" t="n">
        <v>7</v>
      </c>
      <c r="L717" s="2" t="s">
        <v>41</v>
      </c>
      <c r="M717" s="2" t="s">
        <v>42</v>
      </c>
      <c r="N717" s="4" t="n">
        <v>1960.89</v>
      </c>
      <c r="O717" s="2" t="str">
        <f aca="false">IF(COUNTIF($A$2:$A$1201,A717)&gt;1,"DUPLICATE","Unique")</f>
        <v>Unique</v>
      </c>
      <c r="P717" s="2" t="str">
        <f aca="false">IF(L717="","MISSING","OK")</f>
        <v>OK</v>
      </c>
      <c r="Q717" s="2" t="str">
        <f aca="false">IF(ISNUMBER(B717),"OK","BAD DATE")</f>
        <v>OK</v>
      </c>
      <c r="R717" s="2" t="str">
        <f aca="false">IF(ROUND(F717,2)=F717,"OK","FIX")</f>
        <v>OK</v>
      </c>
    </row>
    <row r="718" customFormat="false" ht="15" hidden="false" customHeight="false" outlineLevel="0" collapsed="false">
      <c r="A718" s="2" t="s">
        <v>2667</v>
      </c>
      <c r="B718" s="3" t="n">
        <v>45456</v>
      </c>
      <c r="C718" s="2" t="s">
        <v>2668</v>
      </c>
      <c r="D718" s="2" t="s">
        <v>45</v>
      </c>
      <c r="E718" s="2" t="n">
        <v>3</v>
      </c>
      <c r="F718" s="4" t="n">
        <v>454.29</v>
      </c>
      <c r="G718" s="2" t="s">
        <v>117</v>
      </c>
      <c r="H718" s="2" t="s">
        <v>38</v>
      </c>
      <c r="I718" s="2" t="s">
        <v>93</v>
      </c>
      <c r="J718" s="2" t="s">
        <v>2669</v>
      </c>
      <c r="K718" s="2" t="n">
        <v>4</v>
      </c>
      <c r="L718" s="2" t="s">
        <v>85</v>
      </c>
      <c r="M718" s="2" t="s">
        <v>80</v>
      </c>
      <c r="N718" s="4" t="n">
        <v>1362.87</v>
      </c>
      <c r="O718" s="2" t="str">
        <f aca="false">IF(COUNTIF($A$2:$A$1201,A718)&gt;1,"DUPLICATE","Unique")</f>
        <v>Unique</v>
      </c>
      <c r="P718" s="2" t="str">
        <f aca="false">IF(L718="","MISSING","OK")</f>
        <v>OK</v>
      </c>
      <c r="Q718" s="2" t="str">
        <f aca="false">IF(ISNUMBER(B718),"OK","BAD DATE")</f>
        <v>OK</v>
      </c>
      <c r="R718" s="2" t="str">
        <f aca="false">IF(ROUND(F718,2)=F718,"OK","FIX")</f>
        <v>OK</v>
      </c>
    </row>
    <row r="719" customFormat="false" ht="15" hidden="false" customHeight="false" outlineLevel="0" collapsed="false">
      <c r="A719" s="2" t="s">
        <v>2670</v>
      </c>
      <c r="B719" s="3" t="n">
        <v>45215</v>
      </c>
      <c r="C719" s="2" t="s">
        <v>2671</v>
      </c>
      <c r="D719" s="2" t="s">
        <v>45</v>
      </c>
      <c r="E719" s="2" t="n">
        <v>3</v>
      </c>
      <c r="F719" s="4" t="n">
        <v>122.11</v>
      </c>
      <c r="G719" s="2" t="s">
        <v>2672</v>
      </c>
      <c r="H719" s="2" t="s">
        <v>31</v>
      </c>
      <c r="I719" s="2" t="s">
        <v>54</v>
      </c>
      <c r="J719" s="2" t="s">
        <v>2673</v>
      </c>
      <c r="K719" s="2" t="n">
        <v>4</v>
      </c>
      <c r="L719" s="2" t="s">
        <v>85</v>
      </c>
      <c r="M719" s="2" t="s">
        <v>42</v>
      </c>
      <c r="N719" s="4" t="n">
        <v>366.33</v>
      </c>
      <c r="O719" s="2" t="str">
        <f aca="false">IF(COUNTIF($A$2:$A$1201,A719)&gt;1,"DUPLICATE","Unique")</f>
        <v>Unique</v>
      </c>
      <c r="P719" s="2" t="str">
        <f aca="false">IF(L719="","MISSING","OK")</f>
        <v>OK</v>
      </c>
      <c r="Q719" s="2" t="str">
        <f aca="false">IF(ISNUMBER(B719),"OK","BAD DATE")</f>
        <v>OK</v>
      </c>
      <c r="R719" s="2" t="str">
        <f aca="false">IF(ROUND(F719,2)=F719,"OK","FIX")</f>
        <v>OK</v>
      </c>
    </row>
    <row r="720" customFormat="false" ht="15" hidden="false" customHeight="false" outlineLevel="0" collapsed="false">
      <c r="A720" s="2" t="s">
        <v>2674</v>
      </c>
      <c r="B720" s="3" t="n">
        <v>45024</v>
      </c>
      <c r="C720" s="2" t="s">
        <v>2675</v>
      </c>
      <c r="D720" s="2" t="s">
        <v>62</v>
      </c>
      <c r="E720" s="2" t="n">
        <v>4</v>
      </c>
      <c r="F720" s="4" t="n">
        <v>64.74</v>
      </c>
      <c r="G720" s="2" t="s">
        <v>2676</v>
      </c>
      <c r="H720" s="2" t="s">
        <v>64</v>
      </c>
      <c r="I720" s="2" t="s">
        <v>39</v>
      </c>
      <c r="J720" s="2" t="s">
        <v>2677</v>
      </c>
      <c r="K720" s="2" t="n">
        <v>8</v>
      </c>
      <c r="L720" s="2" t="s">
        <v>25</v>
      </c>
      <c r="M720" s="2" t="s">
        <v>80</v>
      </c>
      <c r="N720" s="4" t="n">
        <v>258.96</v>
      </c>
      <c r="O720" s="2" t="str">
        <f aca="false">IF(COUNTIF($A$2:$A$1201,A720)&gt;1,"DUPLICATE","Unique")</f>
        <v>Unique</v>
      </c>
      <c r="P720" s="2" t="str">
        <f aca="false">IF(L720="","MISSING","OK")</f>
        <v>OK</v>
      </c>
      <c r="Q720" s="2" t="str">
        <f aca="false">IF(ISNUMBER(B720),"OK","BAD DATE")</f>
        <v>OK</v>
      </c>
      <c r="R720" s="2" t="str">
        <f aca="false">IF(ROUND(F720,2)=F720,"OK","FIX")</f>
        <v>OK</v>
      </c>
    </row>
    <row r="721" customFormat="false" ht="15" hidden="false" customHeight="false" outlineLevel="0" collapsed="false">
      <c r="A721" s="2" t="s">
        <v>2678</v>
      </c>
      <c r="B721" s="3" t="n">
        <v>45312</v>
      </c>
      <c r="C721" s="2" t="s">
        <v>2679</v>
      </c>
      <c r="D721" s="2" t="s">
        <v>62</v>
      </c>
      <c r="E721" s="2" t="n">
        <v>2</v>
      </c>
      <c r="F721" s="4" t="n">
        <v>681.06</v>
      </c>
      <c r="G721" s="2" t="s">
        <v>2680</v>
      </c>
      <c r="H721" s="2" t="s">
        <v>22</v>
      </c>
      <c r="I721" s="2" t="s">
        <v>23</v>
      </c>
      <c r="J721" s="2" t="s">
        <v>2681</v>
      </c>
      <c r="K721" s="2" t="n">
        <v>3</v>
      </c>
      <c r="L721" s="2" t="s">
        <v>41</v>
      </c>
      <c r="M721" s="2" t="s">
        <v>49</v>
      </c>
      <c r="N721" s="4" t="n">
        <v>1362.12</v>
      </c>
      <c r="O721" s="2" t="str">
        <f aca="false">IF(COUNTIF($A$2:$A$1201,A721)&gt;1,"DUPLICATE","Unique")</f>
        <v>Unique</v>
      </c>
      <c r="P721" s="2" t="str">
        <f aca="false">IF(L721="","MISSING","OK")</f>
        <v>OK</v>
      </c>
      <c r="Q721" s="2" t="str">
        <f aca="false">IF(ISNUMBER(B721),"OK","BAD DATE")</f>
        <v>OK</v>
      </c>
      <c r="R721" s="2" t="str">
        <f aca="false">IF(ROUND(F721,2)=F721,"OK","FIX")</f>
        <v>OK</v>
      </c>
    </row>
    <row r="722" customFormat="false" ht="15" hidden="false" customHeight="false" outlineLevel="0" collapsed="false">
      <c r="A722" s="2" t="s">
        <v>2682</v>
      </c>
      <c r="B722" s="3" t="n">
        <v>45190</v>
      </c>
      <c r="C722" s="2" t="s">
        <v>2683</v>
      </c>
      <c r="D722" s="2" t="s">
        <v>77</v>
      </c>
      <c r="E722" s="2" t="n">
        <v>5</v>
      </c>
      <c r="F722" s="4" t="n">
        <v>128.95</v>
      </c>
      <c r="G722" s="2" t="s">
        <v>2684</v>
      </c>
      <c r="H722" s="2" t="s">
        <v>69</v>
      </c>
      <c r="I722" s="2" t="s">
        <v>93</v>
      </c>
      <c r="J722" s="2" t="s">
        <v>2685</v>
      </c>
      <c r="K722" s="2" t="n">
        <v>10</v>
      </c>
      <c r="L722" s="2" t="s">
        <v>41</v>
      </c>
      <c r="M722" s="2" t="s">
        <v>26</v>
      </c>
      <c r="N722" s="4" t="n">
        <v>644.75</v>
      </c>
      <c r="O722" s="2" t="str">
        <f aca="false">IF(COUNTIF($A$2:$A$1201,A722)&gt;1,"DUPLICATE","Unique")</f>
        <v>Unique</v>
      </c>
      <c r="P722" s="2" t="str">
        <f aca="false">IF(L722="","MISSING","OK")</f>
        <v>OK</v>
      </c>
      <c r="Q722" s="2" t="str">
        <f aca="false">IF(ISNUMBER(B722),"OK","BAD DATE")</f>
        <v>OK</v>
      </c>
      <c r="R722" s="2" t="str">
        <f aca="false">IF(ROUND(F722,2)=F722,"OK","FIX")</f>
        <v>OK</v>
      </c>
    </row>
    <row r="723" customFormat="false" ht="15" hidden="false" customHeight="false" outlineLevel="0" collapsed="false">
      <c r="A723" s="2" t="s">
        <v>2686</v>
      </c>
      <c r="B723" s="3" t="n">
        <v>45369</v>
      </c>
      <c r="C723" s="2" t="s">
        <v>2687</v>
      </c>
      <c r="D723" s="2" t="s">
        <v>77</v>
      </c>
      <c r="E723" s="2" t="n">
        <v>2</v>
      </c>
      <c r="F723" s="4" t="n">
        <v>118.59</v>
      </c>
      <c r="G723" s="2" t="s">
        <v>2688</v>
      </c>
      <c r="H723" s="2" t="s">
        <v>38</v>
      </c>
      <c r="I723" s="2" t="s">
        <v>54</v>
      </c>
      <c r="J723" s="2" t="s">
        <v>2689</v>
      </c>
      <c r="K723" s="2" t="n">
        <v>2</v>
      </c>
      <c r="L723" s="2"/>
      <c r="M723" s="2" t="s">
        <v>42</v>
      </c>
      <c r="N723" s="4" t="n">
        <v>237.18</v>
      </c>
      <c r="O723" s="2" t="str">
        <f aca="false">IF(COUNTIF($A$2:$A$1201,A723)&gt;1,"DUPLICATE","Unique")</f>
        <v>Unique</v>
      </c>
      <c r="P723" s="2" t="str">
        <f aca="false">IF(L723="","MISSING","OK")</f>
        <v>MISSING</v>
      </c>
      <c r="Q723" s="2" t="str">
        <f aca="false">IF(ISNUMBER(B723),"OK","BAD DATE")</f>
        <v>OK</v>
      </c>
      <c r="R723" s="2" t="str">
        <f aca="false">IF(ROUND(F723,2)=F723,"OK","FIX")</f>
        <v>OK</v>
      </c>
    </row>
    <row r="724" customFormat="false" ht="15" hidden="false" customHeight="false" outlineLevel="0" collapsed="false">
      <c r="A724" s="2" t="s">
        <v>2690</v>
      </c>
      <c r="B724" s="3" t="n">
        <v>45611</v>
      </c>
      <c r="C724" s="2" t="s">
        <v>2691</v>
      </c>
      <c r="D724" s="2" t="s">
        <v>52</v>
      </c>
      <c r="E724" s="2" t="n">
        <v>1</v>
      </c>
      <c r="F724" s="4" t="n">
        <v>95.1</v>
      </c>
      <c r="G724" s="2" t="s">
        <v>1141</v>
      </c>
      <c r="H724" s="2" t="s">
        <v>64</v>
      </c>
      <c r="I724" s="2" t="s">
        <v>93</v>
      </c>
      <c r="J724" s="2" t="s">
        <v>2692</v>
      </c>
      <c r="K724" s="2" t="n">
        <v>1</v>
      </c>
      <c r="L724" s="2" t="s">
        <v>85</v>
      </c>
      <c r="M724" s="2" t="s">
        <v>26</v>
      </c>
      <c r="N724" s="4" t="n">
        <v>95.1</v>
      </c>
      <c r="O724" s="2" t="str">
        <f aca="false">IF(COUNTIF($A$2:$A$1201,A724)&gt;1,"DUPLICATE","Unique")</f>
        <v>Unique</v>
      </c>
      <c r="P724" s="2" t="str">
        <f aca="false">IF(L724="","MISSING","OK")</f>
        <v>OK</v>
      </c>
      <c r="Q724" s="2" t="str">
        <f aca="false">IF(ISNUMBER(B724),"OK","BAD DATE")</f>
        <v>OK</v>
      </c>
      <c r="R724" s="2" t="str">
        <f aca="false">IF(ROUND(F724,2)=F724,"OK","FIX")</f>
        <v>OK</v>
      </c>
    </row>
    <row r="725" customFormat="false" ht="15" hidden="false" customHeight="false" outlineLevel="0" collapsed="false">
      <c r="A725" s="2" t="s">
        <v>2693</v>
      </c>
      <c r="B725" s="3" t="n">
        <v>45269</v>
      </c>
      <c r="C725" s="2" t="s">
        <v>2694</v>
      </c>
      <c r="D725" s="2" t="s">
        <v>77</v>
      </c>
      <c r="E725" s="2" t="n">
        <v>3</v>
      </c>
      <c r="F725" s="4" t="n">
        <v>54.95</v>
      </c>
      <c r="G725" s="2" t="s">
        <v>301</v>
      </c>
      <c r="H725" s="2" t="s">
        <v>69</v>
      </c>
      <c r="I725" s="2" t="s">
        <v>47</v>
      </c>
      <c r="J725" s="2" t="s">
        <v>2695</v>
      </c>
      <c r="K725" s="2" t="n">
        <v>8</v>
      </c>
      <c r="L725" s="2" t="s">
        <v>25</v>
      </c>
      <c r="M725" s="2" t="s">
        <v>33</v>
      </c>
      <c r="N725" s="4" t="n">
        <v>164.85</v>
      </c>
      <c r="O725" s="2" t="str">
        <f aca="false">IF(COUNTIF($A$2:$A$1201,A725)&gt;1,"DUPLICATE","Unique")</f>
        <v>Unique</v>
      </c>
      <c r="P725" s="2" t="str">
        <f aca="false">IF(L725="","MISSING","OK")</f>
        <v>OK</v>
      </c>
      <c r="Q725" s="2" t="str">
        <f aca="false">IF(ISNUMBER(B725),"OK","BAD DATE")</f>
        <v>OK</v>
      </c>
      <c r="R725" s="2" t="str">
        <f aca="false">IF(ROUND(F725,2)=F725,"OK","FIX")</f>
        <v>OK</v>
      </c>
    </row>
    <row r="726" customFormat="false" ht="15" hidden="false" customHeight="false" outlineLevel="0" collapsed="false">
      <c r="A726" s="2" t="s">
        <v>2696</v>
      </c>
      <c r="B726" s="3" t="n">
        <v>45583</v>
      </c>
      <c r="C726" s="2" t="s">
        <v>2697</v>
      </c>
      <c r="D726" s="2" t="s">
        <v>52</v>
      </c>
      <c r="E726" s="2" t="n">
        <v>3</v>
      </c>
      <c r="F726" s="4" t="n">
        <v>136.97</v>
      </c>
      <c r="G726" s="2" t="s">
        <v>1214</v>
      </c>
      <c r="H726" s="2" t="s">
        <v>38</v>
      </c>
      <c r="I726" s="2" t="s">
        <v>47</v>
      </c>
      <c r="J726" s="2" t="s">
        <v>2698</v>
      </c>
      <c r="K726" s="2" t="n">
        <v>4</v>
      </c>
      <c r="L726" s="2" t="s">
        <v>41</v>
      </c>
      <c r="M726" s="2" t="s">
        <v>33</v>
      </c>
      <c r="N726" s="4" t="n">
        <v>410.91</v>
      </c>
      <c r="O726" s="2" t="str">
        <f aca="false">IF(COUNTIF($A$2:$A$1201,A726)&gt;1,"DUPLICATE","Unique")</f>
        <v>Unique</v>
      </c>
      <c r="P726" s="2" t="str">
        <f aca="false">IF(L726="","MISSING","OK")</f>
        <v>OK</v>
      </c>
      <c r="Q726" s="2" t="str">
        <f aca="false">IF(ISNUMBER(B726),"OK","BAD DATE")</f>
        <v>OK</v>
      </c>
      <c r="R726" s="2" t="str">
        <f aca="false">IF(ROUND(F726,2)=F726,"OK","FIX")</f>
        <v>OK</v>
      </c>
    </row>
    <row r="727" customFormat="false" ht="15" hidden="false" customHeight="false" outlineLevel="0" collapsed="false">
      <c r="A727" s="2" t="s">
        <v>2699</v>
      </c>
      <c r="B727" s="3" t="n">
        <v>44997</v>
      </c>
      <c r="C727" s="2" t="s">
        <v>2700</v>
      </c>
      <c r="D727" s="2" t="s">
        <v>45</v>
      </c>
      <c r="E727" s="2" t="n">
        <v>2</v>
      </c>
      <c r="F727" s="4" t="n">
        <v>194.85</v>
      </c>
      <c r="G727" s="2" t="s">
        <v>1901</v>
      </c>
      <c r="H727" s="2" t="s">
        <v>64</v>
      </c>
      <c r="I727" s="2" t="s">
        <v>47</v>
      </c>
      <c r="J727" s="2" t="s">
        <v>2701</v>
      </c>
      <c r="K727" s="2" t="n">
        <v>5</v>
      </c>
      <c r="L727" s="2"/>
      <c r="M727" s="2" t="s">
        <v>33</v>
      </c>
      <c r="N727" s="4" t="n">
        <v>389.7</v>
      </c>
      <c r="O727" s="2" t="str">
        <f aca="false">IF(COUNTIF($A$2:$A$1201,A727)&gt;1,"DUPLICATE","Unique")</f>
        <v>Unique</v>
      </c>
      <c r="P727" s="2" t="str">
        <f aca="false">IF(L727="","MISSING","OK")</f>
        <v>MISSING</v>
      </c>
      <c r="Q727" s="2" t="str">
        <f aca="false">IF(ISNUMBER(B727),"OK","BAD DATE")</f>
        <v>OK</v>
      </c>
      <c r="R727" s="2" t="str">
        <f aca="false">IF(ROUND(F727,2)=F727,"OK","FIX")</f>
        <v>OK</v>
      </c>
    </row>
    <row r="728" customFormat="false" ht="15" hidden="false" customHeight="false" outlineLevel="0" collapsed="false">
      <c r="A728" s="2" t="s">
        <v>2702</v>
      </c>
      <c r="B728" s="3" t="n">
        <v>45590</v>
      </c>
      <c r="C728" s="2" t="s">
        <v>2703</v>
      </c>
      <c r="D728" s="2" t="s">
        <v>62</v>
      </c>
      <c r="E728" s="2" t="n">
        <v>4</v>
      </c>
      <c r="F728" s="4" t="n">
        <v>583.02</v>
      </c>
      <c r="G728" s="2" t="s">
        <v>2704</v>
      </c>
      <c r="H728" s="2" t="s">
        <v>31</v>
      </c>
      <c r="I728" s="2" t="s">
        <v>54</v>
      </c>
      <c r="J728" s="2" t="s">
        <v>2705</v>
      </c>
      <c r="K728" s="2" t="n">
        <v>4</v>
      </c>
      <c r="L728" s="2" t="s">
        <v>41</v>
      </c>
      <c r="M728" s="2" t="s">
        <v>49</v>
      </c>
      <c r="N728" s="4" t="n">
        <v>2332.08</v>
      </c>
      <c r="O728" s="2" t="str">
        <f aca="false">IF(COUNTIF($A$2:$A$1201,A728)&gt;1,"DUPLICATE","Unique")</f>
        <v>Unique</v>
      </c>
      <c r="P728" s="2" t="str">
        <f aca="false">IF(L728="","MISSING","OK")</f>
        <v>OK</v>
      </c>
      <c r="Q728" s="2" t="str">
        <f aca="false">IF(ISNUMBER(B728),"OK","BAD DATE")</f>
        <v>OK</v>
      </c>
      <c r="R728" s="2" t="str">
        <f aca="false">IF(ROUND(F728,2)=F728,"OK","FIX")</f>
        <v>OK</v>
      </c>
    </row>
    <row r="729" customFormat="false" ht="15" hidden="false" customHeight="false" outlineLevel="0" collapsed="false">
      <c r="A729" s="2" t="s">
        <v>2706</v>
      </c>
      <c r="B729" s="3" t="n">
        <v>45564</v>
      </c>
      <c r="C729" s="2" t="s">
        <v>2707</v>
      </c>
      <c r="D729" s="2" t="s">
        <v>45</v>
      </c>
      <c r="E729" s="2" t="n">
        <v>5</v>
      </c>
      <c r="F729" s="4" t="n">
        <v>95.75</v>
      </c>
      <c r="G729" s="2" t="s">
        <v>1664</v>
      </c>
      <c r="H729" s="2" t="s">
        <v>31</v>
      </c>
      <c r="I729" s="2" t="s">
        <v>23</v>
      </c>
      <c r="J729" s="2" t="s">
        <v>2708</v>
      </c>
      <c r="K729" s="2" t="n">
        <v>8</v>
      </c>
      <c r="L729" s="2" t="s">
        <v>25</v>
      </c>
      <c r="M729" s="2" t="s">
        <v>26</v>
      </c>
      <c r="N729" s="4" t="n">
        <v>478.75</v>
      </c>
      <c r="O729" s="2" t="str">
        <f aca="false">IF(COUNTIF($A$2:$A$1201,A729)&gt;1,"DUPLICATE","Unique")</f>
        <v>Unique</v>
      </c>
      <c r="P729" s="2" t="str">
        <f aca="false">IF(L729="","MISSING","OK")</f>
        <v>OK</v>
      </c>
      <c r="Q729" s="2" t="str">
        <f aca="false">IF(ISNUMBER(B729),"OK","BAD DATE")</f>
        <v>OK</v>
      </c>
      <c r="R729" s="2" t="str">
        <f aca="false">IF(ROUND(F729,2)=F729,"OK","FIX")</f>
        <v>OK</v>
      </c>
    </row>
    <row r="730" customFormat="false" ht="15" hidden="false" customHeight="false" outlineLevel="0" collapsed="false">
      <c r="A730" s="2" t="s">
        <v>2709</v>
      </c>
      <c r="B730" s="3" t="n">
        <v>45502</v>
      </c>
      <c r="C730" s="2" t="s">
        <v>2710</v>
      </c>
      <c r="D730" s="2" t="s">
        <v>77</v>
      </c>
      <c r="E730" s="2" t="n">
        <v>4</v>
      </c>
      <c r="F730" s="4" t="n">
        <v>325.76</v>
      </c>
      <c r="G730" s="2" t="s">
        <v>2711</v>
      </c>
      <c r="H730" s="2" t="s">
        <v>64</v>
      </c>
      <c r="I730" s="2" t="s">
        <v>23</v>
      </c>
      <c r="J730" s="2" t="s">
        <v>2712</v>
      </c>
      <c r="K730" s="2" t="n">
        <v>8</v>
      </c>
      <c r="L730" s="2" t="s">
        <v>85</v>
      </c>
      <c r="M730" s="2" t="s">
        <v>42</v>
      </c>
      <c r="N730" s="4" t="n">
        <v>1303.04</v>
      </c>
      <c r="O730" s="2" t="str">
        <f aca="false">IF(COUNTIF($A$2:$A$1201,A730)&gt;1,"DUPLICATE","Unique")</f>
        <v>Unique</v>
      </c>
      <c r="P730" s="2" t="str">
        <f aca="false">IF(L730="","MISSING","OK")</f>
        <v>OK</v>
      </c>
      <c r="Q730" s="2" t="str">
        <f aca="false">IF(ISNUMBER(B730),"OK","BAD DATE")</f>
        <v>OK</v>
      </c>
      <c r="R730" s="2" t="str">
        <f aca="false">IF(ROUND(F730,2)=F730,"OK","FIX")</f>
        <v>OK</v>
      </c>
    </row>
    <row r="731" customFormat="false" ht="15" hidden="false" customHeight="false" outlineLevel="0" collapsed="false">
      <c r="A731" s="2" t="s">
        <v>2713</v>
      </c>
      <c r="B731" s="3" t="n">
        <v>45177</v>
      </c>
      <c r="C731" s="2" t="s">
        <v>2714</v>
      </c>
      <c r="D731" s="2" t="s">
        <v>29</v>
      </c>
      <c r="E731" s="2" t="n">
        <v>4</v>
      </c>
      <c r="F731" s="4" t="n">
        <v>186.41</v>
      </c>
      <c r="G731" s="2" t="s">
        <v>667</v>
      </c>
      <c r="H731" s="2" t="s">
        <v>64</v>
      </c>
      <c r="I731" s="2" t="s">
        <v>93</v>
      </c>
      <c r="J731" s="2" t="s">
        <v>2715</v>
      </c>
      <c r="K731" s="2" t="n">
        <v>6</v>
      </c>
      <c r="L731" s="2" t="s">
        <v>25</v>
      </c>
      <c r="M731" s="2" t="s">
        <v>80</v>
      </c>
      <c r="N731" s="4" t="n">
        <v>745.64</v>
      </c>
      <c r="O731" s="2" t="str">
        <f aca="false">IF(COUNTIF($A$2:$A$1201,A731)&gt;1,"DUPLICATE","Unique")</f>
        <v>Unique</v>
      </c>
      <c r="P731" s="2" t="str">
        <f aca="false">IF(L731="","MISSING","OK")</f>
        <v>OK</v>
      </c>
      <c r="Q731" s="2" t="str">
        <f aca="false">IF(ISNUMBER(B731),"OK","BAD DATE")</f>
        <v>OK</v>
      </c>
      <c r="R731" s="2" t="str">
        <f aca="false">IF(ROUND(F731,2)=F731,"OK","FIX")</f>
        <v>OK</v>
      </c>
    </row>
    <row r="732" customFormat="false" ht="15" hidden="false" customHeight="false" outlineLevel="0" collapsed="false">
      <c r="A732" s="2" t="s">
        <v>2716</v>
      </c>
      <c r="B732" s="3" t="n">
        <v>45710</v>
      </c>
      <c r="C732" s="2" t="s">
        <v>2717</v>
      </c>
      <c r="D732" s="2" t="s">
        <v>29</v>
      </c>
      <c r="E732" s="2" t="n">
        <v>1</v>
      </c>
      <c r="F732" s="4" t="n">
        <v>474.6</v>
      </c>
      <c r="G732" s="2" t="s">
        <v>976</v>
      </c>
      <c r="H732" s="2" t="s">
        <v>22</v>
      </c>
      <c r="I732" s="2" t="s">
        <v>54</v>
      </c>
      <c r="J732" s="2" t="s">
        <v>2718</v>
      </c>
      <c r="K732" s="2" t="n">
        <v>4</v>
      </c>
      <c r="L732" s="2" t="s">
        <v>25</v>
      </c>
      <c r="M732" s="2" t="s">
        <v>42</v>
      </c>
      <c r="N732" s="4" t="n">
        <v>474.6</v>
      </c>
      <c r="O732" s="2" t="str">
        <f aca="false">IF(COUNTIF($A$2:$A$1201,A732)&gt;1,"DUPLICATE","Unique")</f>
        <v>Unique</v>
      </c>
      <c r="P732" s="2" t="str">
        <f aca="false">IF(L732="","MISSING","OK")</f>
        <v>OK</v>
      </c>
      <c r="Q732" s="2" t="str">
        <f aca="false">IF(ISNUMBER(B732),"OK","BAD DATE")</f>
        <v>OK</v>
      </c>
      <c r="R732" s="2" t="str">
        <f aca="false">IF(ROUND(F732,2)=F732,"OK","FIX")</f>
        <v>OK</v>
      </c>
    </row>
    <row r="733" customFormat="false" ht="15" hidden="false" customHeight="false" outlineLevel="0" collapsed="false">
      <c r="A733" s="2" t="s">
        <v>2719</v>
      </c>
      <c r="B733" s="3" t="n">
        <v>45450</v>
      </c>
      <c r="C733" s="2" t="s">
        <v>2720</v>
      </c>
      <c r="D733" s="2" t="s">
        <v>52</v>
      </c>
      <c r="E733" s="2" t="n">
        <v>5</v>
      </c>
      <c r="F733" s="4" t="n">
        <v>584.46</v>
      </c>
      <c r="G733" s="2" t="s">
        <v>2721</v>
      </c>
      <c r="H733" s="2" t="s">
        <v>38</v>
      </c>
      <c r="I733" s="2" t="s">
        <v>47</v>
      </c>
      <c r="J733" s="2" t="s">
        <v>2722</v>
      </c>
      <c r="K733" s="2" t="n">
        <v>8</v>
      </c>
      <c r="L733" s="2"/>
      <c r="M733" s="2" t="s">
        <v>42</v>
      </c>
      <c r="N733" s="4" t="n">
        <v>2922.3</v>
      </c>
      <c r="O733" s="2" t="str">
        <f aca="false">IF(COUNTIF($A$2:$A$1201,A733)&gt;1,"DUPLICATE","Unique")</f>
        <v>Unique</v>
      </c>
      <c r="P733" s="2" t="str">
        <f aca="false">IF(L733="","MISSING","OK")</f>
        <v>MISSING</v>
      </c>
      <c r="Q733" s="2" t="str">
        <f aca="false">IF(ISNUMBER(B733),"OK","BAD DATE")</f>
        <v>OK</v>
      </c>
      <c r="R733" s="2" t="str">
        <f aca="false">IF(ROUND(F733,2)=F733,"OK","FIX")</f>
        <v>OK</v>
      </c>
    </row>
    <row r="734" customFormat="false" ht="15" hidden="false" customHeight="false" outlineLevel="0" collapsed="false">
      <c r="A734" s="2" t="s">
        <v>2723</v>
      </c>
      <c r="B734" s="3" t="n">
        <v>45723</v>
      </c>
      <c r="C734" s="2" t="s">
        <v>2724</v>
      </c>
      <c r="D734" s="2" t="s">
        <v>62</v>
      </c>
      <c r="E734" s="2" t="n">
        <v>1</v>
      </c>
      <c r="F734" s="4" t="n">
        <v>132.05</v>
      </c>
      <c r="G734" s="2" t="s">
        <v>2576</v>
      </c>
      <c r="H734" s="2" t="s">
        <v>31</v>
      </c>
      <c r="I734" s="2" t="s">
        <v>54</v>
      </c>
      <c r="J734" s="2" t="s">
        <v>2725</v>
      </c>
      <c r="K734" s="2" t="n">
        <v>2</v>
      </c>
      <c r="L734" s="2"/>
      <c r="M734" s="2" t="s">
        <v>80</v>
      </c>
      <c r="N734" s="4" t="n">
        <v>132.05</v>
      </c>
      <c r="O734" s="2" t="str">
        <f aca="false">IF(COUNTIF($A$2:$A$1201,A734)&gt;1,"DUPLICATE","Unique")</f>
        <v>Unique</v>
      </c>
      <c r="P734" s="2" t="str">
        <f aca="false">IF(L734="","MISSING","OK")</f>
        <v>MISSING</v>
      </c>
      <c r="Q734" s="2" t="str">
        <f aca="false">IF(ISNUMBER(B734),"OK","BAD DATE")</f>
        <v>OK</v>
      </c>
      <c r="R734" s="2" t="str">
        <f aca="false">IF(ROUND(F734,2)=F734,"OK","FIX")</f>
        <v>OK</v>
      </c>
    </row>
    <row r="735" customFormat="false" ht="15" hidden="false" customHeight="false" outlineLevel="0" collapsed="false">
      <c r="A735" s="2" t="s">
        <v>2726</v>
      </c>
      <c r="B735" s="3" t="n">
        <v>45264</v>
      </c>
      <c r="C735" s="2" t="s">
        <v>2727</v>
      </c>
      <c r="D735" s="2" t="s">
        <v>36</v>
      </c>
      <c r="E735" s="2" t="n">
        <v>4</v>
      </c>
      <c r="F735" s="4" t="n">
        <v>494.84</v>
      </c>
      <c r="G735" s="2" t="s">
        <v>2542</v>
      </c>
      <c r="H735" s="2" t="s">
        <v>69</v>
      </c>
      <c r="I735" s="2" t="s">
        <v>47</v>
      </c>
      <c r="J735" s="2" t="s">
        <v>2728</v>
      </c>
      <c r="K735" s="2" t="n">
        <v>8</v>
      </c>
      <c r="L735" s="2" t="s">
        <v>25</v>
      </c>
      <c r="M735" s="2" t="s">
        <v>42</v>
      </c>
      <c r="N735" s="4" t="n">
        <v>1979.36</v>
      </c>
      <c r="O735" s="2" t="str">
        <f aca="false">IF(COUNTIF($A$2:$A$1201,A735)&gt;1,"DUPLICATE","Unique")</f>
        <v>Unique</v>
      </c>
      <c r="P735" s="2" t="str">
        <f aca="false">IF(L735="","MISSING","OK")</f>
        <v>OK</v>
      </c>
      <c r="Q735" s="2" t="str">
        <f aca="false">IF(ISNUMBER(B735),"OK","BAD DATE")</f>
        <v>OK</v>
      </c>
      <c r="R735" s="2" t="str">
        <f aca="false">IF(ROUND(F735,2)=F735,"OK","FIX")</f>
        <v>OK</v>
      </c>
    </row>
    <row r="736" customFormat="false" ht="15" hidden="false" customHeight="false" outlineLevel="0" collapsed="false">
      <c r="A736" s="2" t="s">
        <v>2729</v>
      </c>
      <c r="B736" s="3" t="n">
        <v>45314</v>
      </c>
      <c r="C736" s="2" t="s">
        <v>2730</v>
      </c>
      <c r="D736" s="2" t="s">
        <v>52</v>
      </c>
      <c r="E736" s="2" t="n">
        <v>4</v>
      </c>
      <c r="F736" s="4" t="n">
        <v>224.61</v>
      </c>
      <c r="G736" s="2" t="s">
        <v>1151</v>
      </c>
      <c r="H736" s="2" t="s">
        <v>38</v>
      </c>
      <c r="I736" s="2" t="s">
        <v>47</v>
      </c>
      <c r="J736" s="2" t="s">
        <v>2731</v>
      </c>
      <c r="K736" s="2" t="n">
        <v>6</v>
      </c>
      <c r="L736" s="2" t="s">
        <v>85</v>
      </c>
      <c r="M736" s="2" t="s">
        <v>49</v>
      </c>
      <c r="N736" s="4" t="n">
        <v>898.44</v>
      </c>
      <c r="O736" s="2" t="str">
        <f aca="false">IF(COUNTIF($A$2:$A$1201,A736)&gt;1,"DUPLICATE","Unique")</f>
        <v>Unique</v>
      </c>
      <c r="P736" s="2" t="str">
        <f aca="false">IF(L736="","MISSING","OK")</f>
        <v>OK</v>
      </c>
      <c r="Q736" s="2" t="str">
        <f aca="false">IF(ISNUMBER(B736),"OK","BAD DATE")</f>
        <v>OK</v>
      </c>
      <c r="R736" s="2" t="str">
        <f aca="false">IF(ROUND(F736,2)=F736,"OK","FIX")</f>
        <v>OK</v>
      </c>
    </row>
    <row r="737" customFormat="false" ht="15" hidden="false" customHeight="false" outlineLevel="0" collapsed="false">
      <c r="A737" s="2" t="s">
        <v>2732</v>
      </c>
      <c r="B737" s="3" t="n">
        <v>45471</v>
      </c>
      <c r="C737" s="2" t="s">
        <v>2733</v>
      </c>
      <c r="D737" s="2" t="s">
        <v>20</v>
      </c>
      <c r="E737" s="2" t="n">
        <v>4</v>
      </c>
      <c r="F737" s="4" t="n">
        <v>44.07</v>
      </c>
      <c r="G737" s="2" t="s">
        <v>1546</v>
      </c>
      <c r="H737" s="2" t="s">
        <v>22</v>
      </c>
      <c r="I737" s="2" t="s">
        <v>93</v>
      </c>
      <c r="J737" s="2" t="s">
        <v>2734</v>
      </c>
      <c r="K737" s="2" t="n">
        <v>6</v>
      </c>
      <c r="L737" s="2"/>
      <c r="M737" s="2" t="s">
        <v>42</v>
      </c>
      <c r="N737" s="4" t="n">
        <v>176.28</v>
      </c>
      <c r="O737" s="2" t="str">
        <f aca="false">IF(COUNTIF($A$2:$A$1201,A737)&gt;1,"DUPLICATE","Unique")</f>
        <v>Unique</v>
      </c>
      <c r="P737" s="2" t="str">
        <f aca="false">IF(L737="","MISSING","OK")</f>
        <v>MISSING</v>
      </c>
      <c r="Q737" s="2" t="str">
        <f aca="false">IF(ISNUMBER(B737),"OK","BAD DATE")</f>
        <v>OK</v>
      </c>
      <c r="R737" s="2" t="str">
        <f aca="false">IF(ROUND(F737,2)=F737,"OK","FIX")</f>
        <v>OK</v>
      </c>
    </row>
    <row r="738" customFormat="false" ht="15" hidden="false" customHeight="false" outlineLevel="0" collapsed="false">
      <c r="A738" s="2" t="s">
        <v>2735</v>
      </c>
      <c r="B738" s="3" t="n">
        <v>45331</v>
      </c>
      <c r="C738" s="2" t="s">
        <v>2736</v>
      </c>
      <c r="D738" s="2" t="s">
        <v>20</v>
      </c>
      <c r="E738" s="2" t="n">
        <v>5</v>
      </c>
      <c r="F738" s="4" t="n">
        <v>418.53</v>
      </c>
      <c r="G738" s="2" t="s">
        <v>1949</v>
      </c>
      <c r="H738" s="2" t="s">
        <v>38</v>
      </c>
      <c r="I738" s="2" t="s">
        <v>93</v>
      </c>
      <c r="J738" s="2" t="s">
        <v>2737</v>
      </c>
      <c r="K738" s="2" t="n">
        <v>6</v>
      </c>
      <c r="L738" s="2" t="s">
        <v>41</v>
      </c>
      <c r="M738" s="2" t="s">
        <v>80</v>
      </c>
      <c r="N738" s="4" t="n">
        <v>2092.65</v>
      </c>
      <c r="O738" s="2" t="str">
        <f aca="false">IF(COUNTIF($A$2:$A$1201,A738)&gt;1,"DUPLICATE","Unique")</f>
        <v>Unique</v>
      </c>
      <c r="P738" s="2" t="str">
        <f aca="false">IF(L738="","MISSING","OK")</f>
        <v>OK</v>
      </c>
      <c r="Q738" s="2" t="str">
        <f aca="false">IF(ISNUMBER(B738),"OK","BAD DATE")</f>
        <v>OK</v>
      </c>
      <c r="R738" s="2" t="str">
        <f aca="false">IF(ROUND(F738,2)=F738,"OK","FIX")</f>
        <v>OK</v>
      </c>
    </row>
    <row r="739" customFormat="false" ht="15" hidden="false" customHeight="false" outlineLevel="0" collapsed="false">
      <c r="A739" s="2" t="s">
        <v>2738</v>
      </c>
      <c r="B739" s="3" t="n">
        <v>45294</v>
      </c>
      <c r="C739" s="2" t="s">
        <v>2739</v>
      </c>
      <c r="D739" s="2" t="s">
        <v>29</v>
      </c>
      <c r="E739" s="2" t="n">
        <v>4</v>
      </c>
      <c r="F739" s="4" t="n">
        <v>532.87</v>
      </c>
      <c r="G739" s="2" t="s">
        <v>2740</v>
      </c>
      <c r="H739" s="2" t="s">
        <v>69</v>
      </c>
      <c r="I739" s="2" t="s">
        <v>93</v>
      </c>
      <c r="J739" s="2" t="s">
        <v>2741</v>
      </c>
      <c r="K739" s="2" t="n">
        <v>9</v>
      </c>
      <c r="L739" s="2" t="s">
        <v>41</v>
      </c>
      <c r="M739" s="2" t="s">
        <v>26</v>
      </c>
      <c r="N739" s="4" t="n">
        <v>2131.48</v>
      </c>
      <c r="O739" s="2" t="str">
        <f aca="false">IF(COUNTIF($A$2:$A$1201,A739)&gt;1,"DUPLICATE","Unique")</f>
        <v>Unique</v>
      </c>
      <c r="P739" s="2" t="str">
        <f aca="false">IF(L739="","MISSING","OK")</f>
        <v>OK</v>
      </c>
      <c r="Q739" s="2" t="str">
        <f aca="false">IF(ISNUMBER(B739),"OK","BAD DATE")</f>
        <v>OK</v>
      </c>
      <c r="R739" s="2" t="str">
        <f aca="false">IF(ROUND(F739,2)=F739,"OK","FIX")</f>
        <v>OK</v>
      </c>
    </row>
    <row r="740" customFormat="false" ht="15" hidden="false" customHeight="false" outlineLevel="0" collapsed="false">
      <c r="A740" s="2" t="s">
        <v>2742</v>
      </c>
      <c r="B740" s="3" t="n">
        <v>45812</v>
      </c>
      <c r="C740" s="2" t="s">
        <v>2743</v>
      </c>
      <c r="D740" s="2" t="s">
        <v>29</v>
      </c>
      <c r="E740" s="2" t="n">
        <v>2</v>
      </c>
      <c r="F740" s="4" t="n">
        <v>485.37</v>
      </c>
      <c r="G740" s="2" t="s">
        <v>2744</v>
      </c>
      <c r="H740" s="2" t="s">
        <v>38</v>
      </c>
      <c r="I740" s="2" t="s">
        <v>23</v>
      </c>
      <c r="J740" s="2" t="s">
        <v>2745</v>
      </c>
      <c r="K740" s="2" t="n">
        <v>5</v>
      </c>
      <c r="L740" s="2" t="s">
        <v>25</v>
      </c>
      <c r="M740" s="2" t="s">
        <v>42</v>
      </c>
      <c r="N740" s="4" t="n">
        <v>970.74</v>
      </c>
      <c r="O740" s="2" t="str">
        <f aca="false">IF(COUNTIF($A$2:$A$1201,A740)&gt;1,"DUPLICATE","Unique")</f>
        <v>Unique</v>
      </c>
      <c r="P740" s="2" t="str">
        <f aca="false">IF(L740="","MISSING","OK")</f>
        <v>OK</v>
      </c>
      <c r="Q740" s="2" t="str">
        <f aca="false">IF(ISNUMBER(B740),"OK","BAD DATE")</f>
        <v>OK</v>
      </c>
      <c r="R740" s="2" t="str">
        <f aca="false">IF(ROUND(F740,2)=F740,"OK","FIX")</f>
        <v>OK</v>
      </c>
    </row>
    <row r="741" customFormat="false" ht="15" hidden="false" customHeight="false" outlineLevel="0" collapsed="false">
      <c r="A741" s="2" t="s">
        <v>2746</v>
      </c>
      <c r="B741" s="3" t="n">
        <v>45456</v>
      </c>
      <c r="C741" s="2" t="s">
        <v>2747</v>
      </c>
      <c r="D741" s="2" t="s">
        <v>29</v>
      </c>
      <c r="E741" s="2" t="n">
        <v>4</v>
      </c>
      <c r="F741" s="4" t="n">
        <v>386.73</v>
      </c>
      <c r="G741" s="2" t="s">
        <v>557</v>
      </c>
      <c r="H741" s="2" t="s">
        <v>69</v>
      </c>
      <c r="I741" s="2" t="s">
        <v>54</v>
      </c>
      <c r="J741" s="2" t="s">
        <v>2748</v>
      </c>
      <c r="K741" s="2" t="n">
        <v>4</v>
      </c>
      <c r="L741" s="2" t="s">
        <v>25</v>
      </c>
      <c r="M741" s="2" t="s">
        <v>49</v>
      </c>
      <c r="N741" s="4" t="n">
        <v>1546.92</v>
      </c>
      <c r="O741" s="2" t="str">
        <f aca="false">IF(COUNTIF($A$2:$A$1201,A741)&gt;1,"DUPLICATE","Unique")</f>
        <v>Unique</v>
      </c>
      <c r="P741" s="2" t="str">
        <f aca="false">IF(L741="","MISSING","OK")</f>
        <v>OK</v>
      </c>
      <c r="Q741" s="2" t="str">
        <f aca="false">IF(ISNUMBER(B741),"OK","BAD DATE")</f>
        <v>OK</v>
      </c>
      <c r="R741" s="2" t="str">
        <f aca="false">IF(ROUND(F741,2)=F741,"OK","FIX")</f>
        <v>OK</v>
      </c>
    </row>
    <row r="742" customFormat="false" ht="15" hidden="false" customHeight="false" outlineLevel="0" collapsed="false">
      <c r="A742" s="2" t="s">
        <v>2749</v>
      </c>
      <c r="B742" s="3" t="n">
        <v>45493</v>
      </c>
      <c r="C742" s="2" t="s">
        <v>2750</v>
      </c>
      <c r="D742" s="2" t="s">
        <v>77</v>
      </c>
      <c r="E742" s="2" t="n">
        <v>2</v>
      </c>
      <c r="F742" s="4" t="n">
        <v>377.47</v>
      </c>
      <c r="G742" s="2" t="s">
        <v>1674</v>
      </c>
      <c r="H742" s="2" t="s">
        <v>69</v>
      </c>
      <c r="I742" s="2" t="s">
        <v>93</v>
      </c>
      <c r="J742" s="2" t="s">
        <v>2751</v>
      </c>
      <c r="K742" s="2" t="n">
        <v>7</v>
      </c>
      <c r="L742" s="2"/>
      <c r="M742" s="2" t="s">
        <v>80</v>
      </c>
      <c r="N742" s="4" t="n">
        <v>754.94</v>
      </c>
      <c r="O742" s="2" t="str">
        <f aca="false">IF(COUNTIF($A$2:$A$1201,A742)&gt;1,"DUPLICATE","Unique")</f>
        <v>Unique</v>
      </c>
      <c r="P742" s="2" t="str">
        <f aca="false">IF(L742="","MISSING","OK")</f>
        <v>MISSING</v>
      </c>
      <c r="Q742" s="2" t="str">
        <f aca="false">IF(ISNUMBER(B742),"OK","BAD DATE")</f>
        <v>OK</v>
      </c>
      <c r="R742" s="2" t="str">
        <f aca="false">IF(ROUND(F742,2)=F742,"OK","FIX")</f>
        <v>OK</v>
      </c>
    </row>
    <row r="743" customFormat="false" ht="15" hidden="false" customHeight="false" outlineLevel="0" collapsed="false">
      <c r="A743" s="2" t="s">
        <v>2752</v>
      </c>
      <c r="B743" s="3" t="n">
        <v>45680</v>
      </c>
      <c r="C743" s="2" t="s">
        <v>2753</v>
      </c>
      <c r="D743" s="2" t="s">
        <v>20</v>
      </c>
      <c r="E743" s="2" t="n">
        <v>5</v>
      </c>
      <c r="F743" s="4" t="n">
        <v>332.64</v>
      </c>
      <c r="G743" s="2" t="s">
        <v>2754</v>
      </c>
      <c r="H743" s="2" t="s">
        <v>64</v>
      </c>
      <c r="I743" s="2" t="s">
        <v>54</v>
      </c>
      <c r="J743" s="2" t="s">
        <v>2755</v>
      </c>
      <c r="K743" s="2" t="n">
        <v>10</v>
      </c>
      <c r="L743" s="2"/>
      <c r="M743" s="2" t="s">
        <v>33</v>
      </c>
      <c r="N743" s="4" t="n">
        <v>1663.2</v>
      </c>
      <c r="O743" s="2" t="str">
        <f aca="false">IF(COUNTIF($A$2:$A$1201,A743)&gt;1,"DUPLICATE","Unique")</f>
        <v>Unique</v>
      </c>
      <c r="P743" s="2" t="str">
        <f aca="false">IF(L743="","MISSING","OK")</f>
        <v>MISSING</v>
      </c>
      <c r="Q743" s="2" t="str">
        <f aca="false">IF(ISNUMBER(B743),"OK","BAD DATE")</f>
        <v>OK</v>
      </c>
      <c r="R743" s="2" t="str">
        <f aca="false">IF(ROUND(F743,2)=F743,"OK","FIX")</f>
        <v>OK</v>
      </c>
    </row>
    <row r="744" customFormat="false" ht="15" hidden="false" customHeight="false" outlineLevel="0" collapsed="false">
      <c r="A744" s="2" t="s">
        <v>2756</v>
      </c>
      <c r="B744" s="3" t="n">
        <v>45626</v>
      </c>
      <c r="C744" s="2" t="s">
        <v>2757</v>
      </c>
      <c r="D744" s="2" t="s">
        <v>62</v>
      </c>
      <c r="E744" s="2" t="n">
        <v>3</v>
      </c>
      <c r="F744" s="4" t="n">
        <v>699.93</v>
      </c>
      <c r="G744" s="2" t="s">
        <v>1202</v>
      </c>
      <c r="H744" s="2" t="s">
        <v>69</v>
      </c>
      <c r="I744" s="2" t="s">
        <v>47</v>
      </c>
      <c r="J744" s="2" t="s">
        <v>2758</v>
      </c>
      <c r="K744" s="2" t="n">
        <v>7</v>
      </c>
      <c r="L744" s="2" t="s">
        <v>25</v>
      </c>
      <c r="M744" s="2" t="s">
        <v>80</v>
      </c>
      <c r="N744" s="4" t="n">
        <v>2099.79</v>
      </c>
      <c r="O744" s="2" t="str">
        <f aca="false">IF(COUNTIF($A$2:$A$1201,A744)&gt;1,"DUPLICATE","Unique")</f>
        <v>Unique</v>
      </c>
      <c r="P744" s="2" t="str">
        <f aca="false">IF(L744="","MISSING","OK")</f>
        <v>OK</v>
      </c>
      <c r="Q744" s="2" t="str">
        <f aca="false">IF(ISNUMBER(B744),"OK","BAD DATE")</f>
        <v>OK</v>
      </c>
      <c r="R744" s="2" t="str">
        <f aca="false">IF(ROUND(F744,2)=F744,"OK","FIX")</f>
        <v>OK</v>
      </c>
    </row>
    <row r="745" customFormat="false" ht="15" hidden="false" customHeight="false" outlineLevel="0" collapsed="false">
      <c r="A745" s="2" t="s">
        <v>2759</v>
      </c>
      <c r="B745" s="3" t="n">
        <v>45565</v>
      </c>
      <c r="C745" s="2" t="s">
        <v>2760</v>
      </c>
      <c r="D745" s="2" t="s">
        <v>20</v>
      </c>
      <c r="E745" s="2" t="n">
        <v>1</v>
      </c>
      <c r="F745" s="4" t="n">
        <v>576.35</v>
      </c>
      <c r="G745" s="2" t="s">
        <v>197</v>
      </c>
      <c r="H745" s="2" t="s">
        <v>64</v>
      </c>
      <c r="I745" s="2" t="s">
        <v>47</v>
      </c>
      <c r="J745" s="2" t="s">
        <v>2761</v>
      </c>
      <c r="K745" s="2" t="n">
        <v>1</v>
      </c>
      <c r="L745" s="2" t="s">
        <v>85</v>
      </c>
      <c r="M745" s="2" t="s">
        <v>26</v>
      </c>
      <c r="N745" s="4" t="n">
        <v>576.35</v>
      </c>
      <c r="O745" s="2" t="str">
        <f aca="false">IF(COUNTIF($A$2:$A$1201,A745)&gt;1,"DUPLICATE","Unique")</f>
        <v>Unique</v>
      </c>
      <c r="P745" s="2" t="str">
        <f aca="false">IF(L745="","MISSING","OK")</f>
        <v>OK</v>
      </c>
      <c r="Q745" s="2" t="str">
        <f aca="false">IF(ISNUMBER(B745),"OK","BAD DATE")</f>
        <v>OK</v>
      </c>
      <c r="R745" s="2" t="str">
        <f aca="false">IF(ROUND(F745,2)=F745,"OK","FIX")</f>
        <v>OK</v>
      </c>
    </row>
    <row r="746" customFormat="false" ht="15" hidden="false" customHeight="false" outlineLevel="0" collapsed="false">
      <c r="A746" s="2" t="s">
        <v>2762</v>
      </c>
      <c r="B746" s="3" t="n">
        <v>45455</v>
      </c>
      <c r="C746" s="2" t="s">
        <v>2763</v>
      </c>
      <c r="D746" s="2" t="s">
        <v>36</v>
      </c>
      <c r="E746" s="2" t="n">
        <v>2</v>
      </c>
      <c r="F746" s="4" t="n">
        <v>461.37</v>
      </c>
      <c r="G746" s="2" t="s">
        <v>2764</v>
      </c>
      <c r="H746" s="2" t="s">
        <v>69</v>
      </c>
      <c r="I746" s="2" t="s">
        <v>54</v>
      </c>
      <c r="J746" s="2" t="s">
        <v>2765</v>
      </c>
      <c r="K746" s="2" t="n">
        <v>5</v>
      </c>
      <c r="L746" s="2" t="s">
        <v>25</v>
      </c>
      <c r="M746" s="2" t="s">
        <v>80</v>
      </c>
      <c r="N746" s="4" t="n">
        <v>922.74</v>
      </c>
      <c r="O746" s="2" t="str">
        <f aca="false">IF(COUNTIF($A$2:$A$1201,A746)&gt;1,"DUPLICATE","Unique")</f>
        <v>Unique</v>
      </c>
      <c r="P746" s="2" t="str">
        <f aca="false">IF(L746="","MISSING","OK")</f>
        <v>OK</v>
      </c>
      <c r="Q746" s="2" t="str">
        <f aca="false">IF(ISNUMBER(B746),"OK","BAD DATE")</f>
        <v>OK</v>
      </c>
      <c r="R746" s="2" t="str">
        <f aca="false">IF(ROUND(F746,2)=F746,"OK","FIX")</f>
        <v>OK</v>
      </c>
    </row>
    <row r="747" customFormat="false" ht="15" hidden="false" customHeight="false" outlineLevel="0" collapsed="false">
      <c r="A747" s="2" t="s">
        <v>2766</v>
      </c>
      <c r="B747" s="3" t="n">
        <v>44987</v>
      </c>
      <c r="C747" s="2" t="s">
        <v>2767</v>
      </c>
      <c r="D747" s="2" t="s">
        <v>52</v>
      </c>
      <c r="E747" s="2" t="n">
        <v>4</v>
      </c>
      <c r="F747" s="4" t="n">
        <v>111.3</v>
      </c>
      <c r="G747" s="2" t="s">
        <v>2768</v>
      </c>
      <c r="H747" s="2" t="s">
        <v>22</v>
      </c>
      <c r="I747" s="2" t="s">
        <v>93</v>
      </c>
      <c r="J747" s="2" t="s">
        <v>2769</v>
      </c>
      <c r="K747" s="2" t="n">
        <v>7</v>
      </c>
      <c r="L747" s="2" t="s">
        <v>41</v>
      </c>
      <c r="M747" s="2" t="s">
        <v>42</v>
      </c>
      <c r="N747" s="4" t="n">
        <v>445.2</v>
      </c>
      <c r="O747" s="2" t="str">
        <f aca="false">IF(COUNTIF($A$2:$A$1201,A747)&gt;1,"DUPLICATE","Unique")</f>
        <v>Unique</v>
      </c>
      <c r="P747" s="2" t="str">
        <f aca="false">IF(L747="","MISSING","OK")</f>
        <v>OK</v>
      </c>
      <c r="Q747" s="2" t="str">
        <f aca="false">IF(ISNUMBER(B747),"OK","BAD DATE")</f>
        <v>OK</v>
      </c>
      <c r="R747" s="2" t="str">
        <f aca="false">IF(ROUND(F747,2)=F747,"OK","FIX")</f>
        <v>OK</v>
      </c>
    </row>
    <row r="748" customFormat="false" ht="15" hidden="false" customHeight="false" outlineLevel="0" collapsed="false">
      <c r="A748" s="2" t="s">
        <v>2770</v>
      </c>
      <c r="B748" s="3" t="n">
        <v>45712</v>
      </c>
      <c r="C748" s="2" t="s">
        <v>2771</v>
      </c>
      <c r="D748" s="2" t="s">
        <v>77</v>
      </c>
      <c r="E748" s="2" t="n">
        <v>3</v>
      </c>
      <c r="F748" s="4" t="n">
        <v>661.89</v>
      </c>
      <c r="G748" s="2" t="s">
        <v>2772</v>
      </c>
      <c r="H748" s="2" t="s">
        <v>31</v>
      </c>
      <c r="I748" s="2" t="s">
        <v>39</v>
      </c>
      <c r="J748" s="2" t="s">
        <v>2773</v>
      </c>
      <c r="K748" s="2" t="n">
        <v>6</v>
      </c>
      <c r="L748" s="2" t="s">
        <v>85</v>
      </c>
      <c r="M748" s="2" t="s">
        <v>33</v>
      </c>
      <c r="N748" s="4" t="n">
        <v>1985.67</v>
      </c>
      <c r="O748" s="2" t="str">
        <f aca="false">IF(COUNTIF($A$2:$A$1201,A748)&gt;1,"DUPLICATE","Unique")</f>
        <v>Unique</v>
      </c>
      <c r="P748" s="2" t="str">
        <f aca="false">IF(L748="","MISSING","OK")</f>
        <v>OK</v>
      </c>
      <c r="Q748" s="2" t="str">
        <f aca="false">IF(ISNUMBER(B748),"OK","BAD DATE")</f>
        <v>OK</v>
      </c>
      <c r="R748" s="2" t="str">
        <f aca="false">IF(ROUND(F748,2)=F748,"OK","FIX")</f>
        <v>OK</v>
      </c>
    </row>
    <row r="749" customFormat="false" ht="15" hidden="false" customHeight="false" outlineLevel="0" collapsed="false">
      <c r="A749" s="2" t="s">
        <v>2774</v>
      </c>
      <c r="B749" s="3" t="n">
        <v>45728</v>
      </c>
      <c r="C749" s="2" t="s">
        <v>2775</v>
      </c>
      <c r="D749" s="2" t="s">
        <v>36</v>
      </c>
      <c r="E749" s="2" t="n">
        <v>2</v>
      </c>
      <c r="F749" s="4" t="n">
        <v>259.58</v>
      </c>
      <c r="G749" s="2" t="s">
        <v>2776</v>
      </c>
      <c r="H749" s="2" t="s">
        <v>22</v>
      </c>
      <c r="I749" s="2" t="s">
        <v>54</v>
      </c>
      <c r="J749" s="2" t="s">
        <v>2777</v>
      </c>
      <c r="K749" s="2" t="n">
        <v>7</v>
      </c>
      <c r="L749" s="2" t="s">
        <v>41</v>
      </c>
      <c r="M749" s="2" t="s">
        <v>26</v>
      </c>
      <c r="N749" s="4" t="n">
        <v>519.16</v>
      </c>
      <c r="O749" s="2" t="str">
        <f aca="false">IF(COUNTIF($A$2:$A$1201,A749)&gt;1,"DUPLICATE","Unique")</f>
        <v>Unique</v>
      </c>
      <c r="P749" s="2" t="str">
        <f aca="false">IF(L749="","MISSING","OK")</f>
        <v>OK</v>
      </c>
      <c r="Q749" s="2" t="str">
        <f aca="false">IF(ISNUMBER(B749),"OK","BAD DATE")</f>
        <v>OK</v>
      </c>
      <c r="R749" s="2" t="str">
        <f aca="false">IF(ROUND(F749,2)=F749,"OK","FIX")</f>
        <v>OK</v>
      </c>
    </row>
    <row r="750" customFormat="false" ht="15" hidden="false" customHeight="false" outlineLevel="0" collapsed="false">
      <c r="A750" s="2" t="s">
        <v>2778</v>
      </c>
      <c r="B750" s="3" t="n">
        <v>45488</v>
      </c>
      <c r="C750" s="2" t="s">
        <v>2779</v>
      </c>
      <c r="D750" s="2" t="s">
        <v>36</v>
      </c>
      <c r="E750" s="2" t="n">
        <v>3</v>
      </c>
      <c r="F750" s="4" t="n">
        <v>70.81</v>
      </c>
      <c r="G750" s="2" t="s">
        <v>1912</v>
      </c>
      <c r="H750" s="2" t="s">
        <v>38</v>
      </c>
      <c r="I750" s="2" t="s">
        <v>23</v>
      </c>
      <c r="J750" s="2" t="s">
        <v>2780</v>
      </c>
      <c r="K750" s="2" t="n">
        <v>8</v>
      </c>
      <c r="L750" s="2" t="s">
        <v>41</v>
      </c>
      <c r="M750" s="2" t="s">
        <v>33</v>
      </c>
      <c r="N750" s="4" t="n">
        <v>212.43</v>
      </c>
      <c r="O750" s="2" t="str">
        <f aca="false">IF(COUNTIF($A$2:$A$1201,A750)&gt;1,"DUPLICATE","Unique")</f>
        <v>Unique</v>
      </c>
      <c r="P750" s="2" t="str">
        <f aca="false">IF(L750="","MISSING","OK")</f>
        <v>OK</v>
      </c>
      <c r="Q750" s="2" t="str">
        <f aca="false">IF(ISNUMBER(B750),"OK","BAD DATE")</f>
        <v>OK</v>
      </c>
      <c r="R750" s="2" t="str">
        <f aca="false">IF(ROUND(F750,2)=F750,"OK","FIX")</f>
        <v>OK</v>
      </c>
    </row>
    <row r="751" customFormat="false" ht="15" hidden="false" customHeight="false" outlineLevel="0" collapsed="false">
      <c r="A751" s="2" t="s">
        <v>2781</v>
      </c>
      <c r="B751" s="3" t="n">
        <v>45760</v>
      </c>
      <c r="C751" s="2" t="s">
        <v>2782</v>
      </c>
      <c r="D751" s="2" t="s">
        <v>62</v>
      </c>
      <c r="E751" s="2" t="n">
        <v>1</v>
      </c>
      <c r="F751" s="4" t="n">
        <v>518.39</v>
      </c>
      <c r="G751" s="2" t="s">
        <v>2783</v>
      </c>
      <c r="H751" s="2" t="s">
        <v>22</v>
      </c>
      <c r="I751" s="2" t="s">
        <v>93</v>
      </c>
      <c r="J751" s="2" t="s">
        <v>2784</v>
      </c>
      <c r="K751" s="2" t="n">
        <v>4</v>
      </c>
      <c r="L751" s="2" t="s">
        <v>41</v>
      </c>
      <c r="M751" s="2" t="s">
        <v>26</v>
      </c>
      <c r="N751" s="4" t="n">
        <v>518.39</v>
      </c>
      <c r="O751" s="2" t="str">
        <f aca="false">IF(COUNTIF($A$2:$A$1201,A751)&gt;1,"DUPLICATE","Unique")</f>
        <v>Unique</v>
      </c>
      <c r="P751" s="2" t="str">
        <f aca="false">IF(L751="","MISSING","OK")</f>
        <v>OK</v>
      </c>
      <c r="Q751" s="2" t="str">
        <f aca="false">IF(ISNUMBER(B751),"OK","BAD DATE")</f>
        <v>OK</v>
      </c>
      <c r="R751" s="2" t="str">
        <f aca="false">IF(ROUND(F751,2)=F751,"OK","FIX")</f>
        <v>OK</v>
      </c>
    </row>
    <row r="752" customFormat="false" ht="15" hidden="false" customHeight="false" outlineLevel="0" collapsed="false">
      <c r="A752" s="2" t="s">
        <v>2785</v>
      </c>
      <c r="B752" s="3" t="n">
        <v>44940</v>
      </c>
      <c r="C752" s="2" t="s">
        <v>2786</v>
      </c>
      <c r="D752" s="2" t="s">
        <v>36</v>
      </c>
      <c r="E752" s="2" t="n">
        <v>4</v>
      </c>
      <c r="F752" s="4" t="n">
        <v>145.41</v>
      </c>
      <c r="G752" s="2" t="s">
        <v>2787</v>
      </c>
      <c r="H752" s="2" t="s">
        <v>38</v>
      </c>
      <c r="I752" s="2" t="s">
        <v>47</v>
      </c>
      <c r="J752" s="2" t="s">
        <v>2788</v>
      </c>
      <c r="K752" s="2" t="n">
        <v>7</v>
      </c>
      <c r="L752" s="2" t="s">
        <v>41</v>
      </c>
      <c r="M752" s="2" t="s">
        <v>42</v>
      </c>
      <c r="N752" s="4" t="n">
        <v>581.64</v>
      </c>
      <c r="O752" s="2" t="str">
        <f aca="false">IF(COUNTIF($A$2:$A$1201,A752)&gt;1,"DUPLICATE","Unique")</f>
        <v>Unique</v>
      </c>
      <c r="P752" s="2" t="str">
        <f aca="false">IF(L752="","MISSING","OK")</f>
        <v>OK</v>
      </c>
      <c r="Q752" s="2" t="str">
        <f aca="false">IF(ISNUMBER(B752),"OK","BAD DATE")</f>
        <v>OK</v>
      </c>
      <c r="R752" s="2" t="str">
        <f aca="false">IF(ROUND(F752,2)=F752,"OK","FIX")</f>
        <v>OK</v>
      </c>
    </row>
    <row r="753" customFormat="false" ht="15" hidden="false" customHeight="false" outlineLevel="0" collapsed="false">
      <c r="A753" s="2" t="s">
        <v>2789</v>
      </c>
      <c r="B753" s="3" t="n">
        <v>44950</v>
      </c>
      <c r="C753" s="2" t="s">
        <v>2790</v>
      </c>
      <c r="D753" s="2" t="s">
        <v>36</v>
      </c>
      <c r="E753" s="2" t="n">
        <v>2</v>
      </c>
      <c r="F753" s="4" t="n">
        <v>599.86</v>
      </c>
      <c r="G753" s="2" t="s">
        <v>2791</v>
      </c>
      <c r="H753" s="2" t="s">
        <v>64</v>
      </c>
      <c r="I753" s="2" t="s">
        <v>93</v>
      </c>
      <c r="J753" s="2" t="s">
        <v>2792</v>
      </c>
      <c r="K753" s="2" t="n">
        <v>7</v>
      </c>
      <c r="L753" s="2" t="s">
        <v>41</v>
      </c>
      <c r="M753" s="2" t="s">
        <v>49</v>
      </c>
      <c r="N753" s="4" t="n">
        <v>1199.72</v>
      </c>
      <c r="O753" s="2" t="str">
        <f aca="false">IF(COUNTIF($A$2:$A$1201,A753)&gt;1,"DUPLICATE","Unique")</f>
        <v>Unique</v>
      </c>
      <c r="P753" s="2" t="str">
        <f aca="false">IF(L753="","MISSING","OK")</f>
        <v>OK</v>
      </c>
      <c r="Q753" s="2" t="str">
        <f aca="false">IF(ISNUMBER(B753),"OK","BAD DATE")</f>
        <v>OK</v>
      </c>
      <c r="R753" s="2" t="str">
        <f aca="false">IF(ROUND(F753,2)=F753,"OK","FIX")</f>
        <v>OK</v>
      </c>
    </row>
    <row r="754" customFormat="false" ht="15" hidden="false" customHeight="false" outlineLevel="0" collapsed="false">
      <c r="A754" s="2" t="s">
        <v>2793</v>
      </c>
      <c r="B754" s="3" t="n">
        <v>45568</v>
      </c>
      <c r="C754" s="2" t="s">
        <v>2794</v>
      </c>
      <c r="D754" s="2" t="s">
        <v>29</v>
      </c>
      <c r="E754" s="2" t="n">
        <v>4</v>
      </c>
      <c r="F754" s="4" t="n">
        <v>429.37</v>
      </c>
      <c r="G754" s="2" t="s">
        <v>1117</v>
      </c>
      <c r="H754" s="2" t="s">
        <v>38</v>
      </c>
      <c r="I754" s="2" t="s">
        <v>54</v>
      </c>
      <c r="J754" s="2" t="s">
        <v>2795</v>
      </c>
      <c r="K754" s="2" t="n">
        <v>8</v>
      </c>
      <c r="L754" s="2" t="s">
        <v>41</v>
      </c>
      <c r="M754" s="2" t="s">
        <v>80</v>
      </c>
      <c r="N754" s="4" t="n">
        <v>1717.48</v>
      </c>
      <c r="O754" s="2" t="str">
        <f aca="false">IF(COUNTIF($A$2:$A$1201,A754)&gt;1,"DUPLICATE","Unique")</f>
        <v>Unique</v>
      </c>
      <c r="P754" s="2" t="str">
        <f aca="false">IF(L754="","MISSING","OK")</f>
        <v>OK</v>
      </c>
      <c r="Q754" s="2" t="str">
        <f aca="false">IF(ISNUMBER(B754),"OK","BAD DATE")</f>
        <v>OK</v>
      </c>
      <c r="R754" s="2" t="str">
        <f aca="false">IF(ROUND(F754,2)=F754,"OK","FIX")</f>
        <v>OK</v>
      </c>
    </row>
    <row r="755" customFormat="false" ht="15" hidden="false" customHeight="false" outlineLevel="0" collapsed="false">
      <c r="A755" s="2" t="s">
        <v>2796</v>
      </c>
      <c r="B755" s="3" t="n">
        <v>45406</v>
      </c>
      <c r="C755" s="2" t="s">
        <v>2797</v>
      </c>
      <c r="D755" s="2" t="s">
        <v>29</v>
      </c>
      <c r="E755" s="2" t="n">
        <v>2</v>
      </c>
      <c r="F755" s="4" t="n">
        <v>241.49</v>
      </c>
      <c r="G755" s="2" t="s">
        <v>2798</v>
      </c>
      <c r="H755" s="2" t="s">
        <v>22</v>
      </c>
      <c r="I755" s="2" t="s">
        <v>47</v>
      </c>
      <c r="J755" s="2" t="s">
        <v>2799</v>
      </c>
      <c r="K755" s="2" t="n">
        <v>7</v>
      </c>
      <c r="L755" s="2" t="s">
        <v>41</v>
      </c>
      <c r="M755" s="2" t="s">
        <v>26</v>
      </c>
      <c r="N755" s="4" t="n">
        <v>482.98</v>
      </c>
      <c r="O755" s="2" t="str">
        <f aca="false">IF(COUNTIF($A$2:$A$1201,A755)&gt;1,"DUPLICATE","Unique")</f>
        <v>Unique</v>
      </c>
      <c r="P755" s="2" t="str">
        <f aca="false">IF(L755="","MISSING","OK")</f>
        <v>OK</v>
      </c>
      <c r="Q755" s="2" t="str">
        <f aca="false">IF(ISNUMBER(B755),"OK","BAD DATE")</f>
        <v>OK</v>
      </c>
      <c r="R755" s="2" t="str">
        <f aca="false">IF(ROUND(F755,2)=F755,"OK","FIX")</f>
        <v>OK</v>
      </c>
    </row>
    <row r="756" customFormat="false" ht="15" hidden="false" customHeight="false" outlineLevel="0" collapsed="false">
      <c r="A756" s="2" t="s">
        <v>2800</v>
      </c>
      <c r="B756" s="3" t="n">
        <v>45808</v>
      </c>
      <c r="C756" s="2" t="s">
        <v>2801</v>
      </c>
      <c r="D756" s="2" t="s">
        <v>52</v>
      </c>
      <c r="E756" s="2" t="n">
        <v>2</v>
      </c>
      <c r="F756" s="4" t="n">
        <v>452.05</v>
      </c>
      <c r="G756" s="2" t="s">
        <v>2802</v>
      </c>
      <c r="H756" s="2" t="s">
        <v>38</v>
      </c>
      <c r="I756" s="2" t="s">
        <v>47</v>
      </c>
      <c r="J756" s="2" t="s">
        <v>2803</v>
      </c>
      <c r="K756" s="2" t="n">
        <v>3</v>
      </c>
      <c r="L756" s="2" t="s">
        <v>85</v>
      </c>
      <c r="M756" s="2" t="s">
        <v>42</v>
      </c>
      <c r="N756" s="4" t="n">
        <v>904.1</v>
      </c>
      <c r="O756" s="2" t="str">
        <f aca="false">IF(COUNTIF($A$2:$A$1201,A756)&gt;1,"DUPLICATE","Unique")</f>
        <v>Unique</v>
      </c>
      <c r="P756" s="2" t="str">
        <f aca="false">IF(L756="","MISSING","OK")</f>
        <v>OK</v>
      </c>
      <c r="Q756" s="2" t="str">
        <f aca="false">IF(ISNUMBER(B756),"OK","BAD DATE")</f>
        <v>OK</v>
      </c>
      <c r="R756" s="2" t="str">
        <f aca="false">IF(ROUND(F756,2)=F756,"OK","FIX")</f>
        <v>OK</v>
      </c>
    </row>
    <row r="757" customFormat="false" ht="15" hidden="false" customHeight="false" outlineLevel="0" collapsed="false">
      <c r="A757" s="2" t="s">
        <v>2804</v>
      </c>
      <c r="B757" s="3" t="n">
        <v>45090</v>
      </c>
      <c r="C757" s="2" t="s">
        <v>2805</v>
      </c>
      <c r="D757" s="2" t="s">
        <v>77</v>
      </c>
      <c r="E757" s="2" t="n">
        <v>3</v>
      </c>
      <c r="F757" s="4" t="n">
        <v>336.71</v>
      </c>
      <c r="G757" s="2" t="s">
        <v>2806</v>
      </c>
      <c r="H757" s="2" t="s">
        <v>38</v>
      </c>
      <c r="I757" s="2" t="s">
        <v>93</v>
      </c>
      <c r="J757" s="2" t="s">
        <v>2807</v>
      </c>
      <c r="K757" s="2" t="n">
        <v>4</v>
      </c>
      <c r="L757" s="2"/>
      <c r="M757" s="2" t="s">
        <v>42</v>
      </c>
      <c r="N757" s="4" t="n">
        <v>1010.13</v>
      </c>
      <c r="O757" s="2" t="str">
        <f aca="false">IF(COUNTIF($A$2:$A$1201,A757)&gt;1,"DUPLICATE","Unique")</f>
        <v>Unique</v>
      </c>
      <c r="P757" s="2" t="str">
        <f aca="false">IF(L757="","MISSING","OK")</f>
        <v>MISSING</v>
      </c>
      <c r="Q757" s="2" t="str">
        <f aca="false">IF(ISNUMBER(B757),"OK","BAD DATE")</f>
        <v>OK</v>
      </c>
      <c r="R757" s="2" t="str">
        <f aca="false">IF(ROUND(F757,2)=F757,"OK","FIX")</f>
        <v>OK</v>
      </c>
    </row>
    <row r="758" customFormat="false" ht="15" hidden="false" customHeight="false" outlineLevel="0" collapsed="false">
      <c r="A758" s="2" t="s">
        <v>2808</v>
      </c>
      <c r="B758" s="3" t="n">
        <v>45470</v>
      </c>
      <c r="C758" s="2" t="s">
        <v>2809</v>
      </c>
      <c r="D758" s="2" t="s">
        <v>29</v>
      </c>
      <c r="E758" s="2" t="n">
        <v>1</v>
      </c>
      <c r="F758" s="4" t="n">
        <v>283.69</v>
      </c>
      <c r="G758" s="2" t="s">
        <v>273</v>
      </c>
      <c r="H758" s="2" t="s">
        <v>64</v>
      </c>
      <c r="I758" s="2" t="s">
        <v>23</v>
      </c>
      <c r="J758" s="2" t="s">
        <v>2810</v>
      </c>
      <c r="K758" s="2" t="n">
        <v>6</v>
      </c>
      <c r="L758" s="2"/>
      <c r="M758" s="2" t="s">
        <v>80</v>
      </c>
      <c r="N758" s="4" t="n">
        <v>283.69</v>
      </c>
      <c r="O758" s="2" t="str">
        <f aca="false">IF(COUNTIF($A$2:$A$1201,A758)&gt;1,"DUPLICATE","Unique")</f>
        <v>Unique</v>
      </c>
      <c r="P758" s="2" t="str">
        <f aca="false">IF(L758="","MISSING","OK")</f>
        <v>MISSING</v>
      </c>
      <c r="Q758" s="2" t="str">
        <f aca="false">IF(ISNUMBER(B758),"OK","BAD DATE")</f>
        <v>OK</v>
      </c>
      <c r="R758" s="2" t="str">
        <f aca="false">IF(ROUND(F758,2)=F758,"OK","FIX")</f>
        <v>OK</v>
      </c>
    </row>
    <row r="759" customFormat="false" ht="15" hidden="false" customHeight="false" outlineLevel="0" collapsed="false">
      <c r="A759" s="2" t="s">
        <v>2811</v>
      </c>
      <c r="B759" s="3" t="n">
        <v>45344</v>
      </c>
      <c r="C759" s="2" t="s">
        <v>2812</v>
      </c>
      <c r="D759" s="2" t="s">
        <v>77</v>
      </c>
      <c r="E759" s="2" t="n">
        <v>1</v>
      </c>
      <c r="F759" s="4" t="n">
        <v>157.72</v>
      </c>
      <c r="G759" s="2" t="s">
        <v>783</v>
      </c>
      <c r="H759" s="2" t="s">
        <v>22</v>
      </c>
      <c r="I759" s="2" t="s">
        <v>54</v>
      </c>
      <c r="J759" s="2" t="s">
        <v>2813</v>
      </c>
      <c r="K759" s="2" t="n">
        <v>2</v>
      </c>
      <c r="L759" s="2" t="s">
        <v>41</v>
      </c>
      <c r="M759" s="2" t="s">
        <v>80</v>
      </c>
      <c r="N759" s="4" t="n">
        <v>157.72</v>
      </c>
      <c r="O759" s="2" t="str">
        <f aca="false">IF(COUNTIF($A$2:$A$1201,A759)&gt;1,"DUPLICATE","Unique")</f>
        <v>Unique</v>
      </c>
      <c r="P759" s="2" t="str">
        <f aca="false">IF(L759="","MISSING","OK")</f>
        <v>OK</v>
      </c>
      <c r="Q759" s="2" t="str">
        <f aca="false">IF(ISNUMBER(B759),"OK","BAD DATE")</f>
        <v>OK</v>
      </c>
      <c r="R759" s="2" t="str">
        <f aca="false">IF(ROUND(F759,2)=F759,"OK","FIX")</f>
        <v>OK</v>
      </c>
    </row>
    <row r="760" customFormat="false" ht="15" hidden="false" customHeight="false" outlineLevel="0" collapsed="false">
      <c r="A760" s="2" t="s">
        <v>2814</v>
      </c>
      <c r="B760" s="3" t="n">
        <v>45011</v>
      </c>
      <c r="C760" s="2" t="s">
        <v>2815</v>
      </c>
      <c r="D760" s="2" t="s">
        <v>36</v>
      </c>
      <c r="E760" s="2" t="n">
        <v>3</v>
      </c>
      <c r="F760" s="4" t="n">
        <v>624.84</v>
      </c>
      <c r="G760" s="2" t="s">
        <v>339</v>
      </c>
      <c r="H760" s="2" t="s">
        <v>38</v>
      </c>
      <c r="I760" s="2" t="s">
        <v>39</v>
      </c>
      <c r="J760" s="2" t="s">
        <v>2816</v>
      </c>
      <c r="K760" s="2" t="n">
        <v>8</v>
      </c>
      <c r="L760" s="2" t="s">
        <v>85</v>
      </c>
      <c r="M760" s="2" t="s">
        <v>49</v>
      </c>
      <c r="N760" s="4" t="n">
        <v>1874.52</v>
      </c>
      <c r="O760" s="2" t="str">
        <f aca="false">IF(COUNTIF($A$2:$A$1201,A760)&gt;1,"DUPLICATE","Unique")</f>
        <v>Unique</v>
      </c>
      <c r="P760" s="2" t="str">
        <f aca="false">IF(L760="","MISSING","OK")</f>
        <v>OK</v>
      </c>
      <c r="Q760" s="2" t="str">
        <f aca="false">IF(ISNUMBER(B760),"OK","BAD DATE")</f>
        <v>OK</v>
      </c>
      <c r="R760" s="2" t="str">
        <f aca="false">IF(ROUND(F760,2)=F760,"OK","FIX")</f>
        <v>OK</v>
      </c>
    </row>
    <row r="761" customFormat="false" ht="15" hidden="false" customHeight="false" outlineLevel="0" collapsed="false">
      <c r="A761" s="2" t="s">
        <v>2817</v>
      </c>
      <c r="B761" s="3" t="n">
        <v>45131</v>
      </c>
      <c r="C761" s="2" t="s">
        <v>2818</v>
      </c>
      <c r="D761" s="2" t="s">
        <v>77</v>
      </c>
      <c r="E761" s="2" t="n">
        <v>3</v>
      </c>
      <c r="F761" s="4" t="n">
        <v>308.01</v>
      </c>
      <c r="G761" s="2" t="s">
        <v>2819</v>
      </c>
      <c r="H761" s="2" t="s">
        <v>69</v>
      </c>
      <c r="I761" s="2" t="s">
        <v>93</v>
      </c>
      <c r="J761" s="2" t="s">
        <v>2820</v>
      </c>
      <c r="K761" s="2" t="n">
        <v>3</v>
      </c>
      <c r="L761" s="2" t="s">
        <v>41</v>
      </c>
      <c r="M761" s="2" t="s">
        <v>49</v>
      </c>
      <c r="N761" s="4" t="n">
        <v>924.03</v>
      </c>
      <c r="O761" s="2" t="str">
        <f aca="false">IF(COUNTIF($A$2:$A$1201,A761)&gt;1,"DUPLICATE","Unique")</f>
        <v>Unique</v>
      </c>
      <c r="P761" s="2" t="str">
        <f aca="false">IF(L761="","MISSING","OK")</f>
        <v>OK</v>
      </c>
      <c r="Q761" s="2" t="str">
        <f aca="false">IF(ISNUMBER(B761),"OK","BAD DATE")</f>
        <v>OK</v>
      </c>
      <c r="R761" s="2" t="str">
        <f aca="false">IF(ROUND(F761,2)=F761,"OK","FIX")</f>
        <v>OK</v>
      </c>
    </row>
    <row r="762" customFormat="false" ht="15" hidden="false" customHeight="false" outlineLevel="0" collapsed="false">
      <c r="A762" s="2" t="s">
        <v>2821</v>
      </c>
      <c r="B762" s="3" t="n">
        <v>45706</v>
      </c>
      <c r="C762" s="2" t="s">
        <v>2822</v>
      </c>
      <c r="D762" s="2" t="s">
        <v>77</v>
      </c>
      <c r="E762" s="2" t="n">
        <v>1</v>
      </c>
      <c r="F762" s="4" t="n">
        <v>39.56</v>
      </c>
      <c r="G762" s="2" t="s">
        <v>739</v>
      </c>
      <c r="H762" s="2" t="s">
        <v>22</v>
      </c>
      <c r="I762" s="2" t="s">
        <v>39</v>
      </c>
      <c r="J762" s="2" t="s">
        <v>2823</v>
      </c>
      <c r="K762" s="2" t="n">
        <v>5</v>
      </c>
      <c r="L762" s="2"/>
      <c r="M762" s="2" t="s">
        <v>80</v>
      </c>
      <c r="N762" s="4" t="n">
        <v>39.56</v>
      </c>
      <c r="O762" s="2" t="str">
        <f aca="false">IF(COUNTIF($A$2:$A$1201,A762)&gt;1,"DUPLICATE","Unique")</f>
        <v>Unique</v>
      </c>
      <c r="P762" s="2" t="str">
        <f aca="false">IF(L762="","MISSING","OK")</f>
        <v>MISSING</v>
      </c>
      <c r="Q762" s="2" t="str">
        <f aca="false">IF(ISNUMBER(B762),"OK","BAD DATE")</f>
        <v>OK</v>
      </c>
      <c r="R762" s="2" t="str">
        <f aca="false">IF(ROUND(F762,2)=F762,"OK","FIX")</f>
        <v>OK</v>
      </c>
    </row>
    <row r="763" customFormat="false" ht="15" hidden="false" customHeight="false" outlineLevel="0" collapsed="false">
      <c r="A763" s="2" t="s">
        <v>2824</v>
      </c>
      <c r="B763" s="3" t="n">
        <v>45079</v>
      </c>
      <c r="C763" s="2" t="s">
        <v>2825</v>
      </c>
      <c r="D763" s="2" t="s">
        <v>77</v>
      </c>
      <c r="E763" s="2" t="n">
        <v>4</v>
      </c>
      <c r="F763" s="4" t="n">
        <v>37.76</v>
      </c>
      <c r="G763" s="2" t="s">
        <v>2826</v>
      </c>
      <c r="H763" s="2" t="s">
        <v>22</v>
      </c>
      <c r="I763" s="2" t="s">
        <v>54</v>
      </c>
      <c r="J763" s="2" t="s">
        <v>2827</v>
      </c>
      <c r="K763" s="2" t="n">
        <v>7</v>
      </c>
      <c r="L763" s="2"/>
      <c r="M763" s="2" t="s">
        <v>80</v>
      </c>
      <c r="N763" s="4" t="n">
        <v>151.04</v>
      </c>
      <c r="O763" s="2" t="str">
        <f aca="false">IF(COUNTIF($A$2:$A$1201,A763)&gt;1,"DUPLICATE","Unique")</f>
        <v>Unique</v>
      </c>
      <c r="P763" s="2" t="str">
        <f aca="false">IF(L763="","MISSING","OK")</f>
        <v>MISSING</v>
      </c>
      <c r="Q763" s="2" t="str">
        <f aca="false">IF(ISNUMBER(B763),"OK","BAD DATE")</f>
        <v>OK</v>
      </c>
      <c r="R763" s="2" t="str">
        <f aca="false">IF(ROUND(F763,2)=F763,"OK","FIX")</f>
        <v>OK</v>
      </c>
    </row>
    <row r="764" customFormat="false" ht="15" hidden="false" customHeight="false" outlineLevel="0" collapsed="false">
      <c r="A764" s="2" t="s">
        <v>2828</v>
      </c>
      <c r="B764" s="3" t="n">
        <v>45552</v>
      </c>
      <c r="C764" s="2" t="s">
        <v>2829</v>
      </c>
      <c r="D764" s="2" t="s">
        <v>29</v>
      </c>
      <c r="E764" s="2" t="n">
        <v>3</v>
      </c>
      <c r="F764" s="4" t="n">
        <v>76.96</v>
      </c>
      <c r="G764" s="2" t="s">
        <v>399</v>
      </c>
      <c r="H764" s="2" t="s">
        <v>69</v>
      </c>
      <c r="I764" s="2" t="s">
        <v>47</v>
      </c>
      <c r="J764" s="2" t="s">
        <v>2830</v>
      </c>
      <c r="K764" s="2" t="n">
        <v>8</v>
      </c>
      <c r="L764" s="2" t="s">
        <v>41</v>
      </c>
      <c r="M764" s="2" t="s">
        <v>42</v>
      </c>
      <c r="N764" s="4" t="n">
        <v>230.88</v>
      </c>
      <c r="O764" s="2" t="str">
        <f aca="false">IF(COUNTIF($A$2:$A$1201,A764)&gt;1,"DUPLICATE","Unique")</f>
        <v>Unique</v>
      </c>
      <c r="P764" s="2" t="str">
        <f aca="false">IF(L764="","MISSING","OK")</f>
        <v>OK</v>
      </c>
      <c r="Q764" s="2" t="str">
        <f aca="false">IF(ISNUMBER(B764),"OK","BAD DATE")</f>
        <v>OK</v>
      </c>
      <c r="R764" s="2" t="str">
        <f aca="false">IF(ROUND(F764,2)=F764,"OK","FIX")</f>
        <v>OK</v>
      </c>
    </row>
    <row r="765" customFormat="false" ht="15" hidden="false" customHeight="false" outlineLevel="0" collapsed="false">
      <c r="A765" s="2" t="s">
        <v>2831</v>
      </c>
      <c r="B765" s="3" t="n">
        <v>45022</v>
      </c>
      <c r="C765" s="2" t="s">
        <v>2832</v>
      </c>
      <c r="D765" s="2" t="s">
        <v>62</v>
      </c>
      <c r="E765" s="2" t="n">
        <v>1</v>
      </c>
      <c r="F765" s="4" t="n">
        <v>569.96</v>
      </c>
      <c r="G765" s="2" t="s">
        <v>430</v>
      </c>
      <c r="H765" s="2" t="s">
        <v>31</v>
      </c>
      <c r="I765" s="2" t="s">
        <v>54</v>
      </c>
      <c r="J765" s="2" t="s">
        <v>2833</v>
      </c>
      <c r="K765" s="2" t="n">
        <v>4</v>
      </c>
      <c r="L765" s="2" t="s">
        <v>41</v>
      </c>
      <c r="M765" s="2" t="s">
        <v>42</v>
      </c>
      <c r="N765" s="4" t="n">
        <v>569.96</v>
      </c>
      <c r="O765" s="2" t="str">
        <f aca="false">IF(COUNTIF($A$2:$A$1201,A765)&gt;1,"DUPLICATE","Unique")</f>
        <v>Unique</v>
      </c>
      <c r="P765" s="2" t="str">
        <f aca="false">IF(L765="","MISSING","OK")</f>
        <v>OK</v>
      </c>
      <c r="Q765" s="2" t="str">
        <f aca="false">IF(ISNUMBER(B765),"OK","BAD DATE")</f>
        <v>OK</v>
      </c>
      <c r="R765" s="2" t="str">
        <f aca="false">IF(ROUND(F765,2)=F765,"OK","FIX")</f>
        <v>OK</v>
      </c>
    </row>
    <row r="766" customFormat="false" ht="15" hidden="false" customHeight="false" outlineLevel="0" collapsed="false">
      <c r="A766" s="2" t="s">
        <v>2834</v>
      </c>
      <c r="B766" s="3" t="n">
        <v>45361</v>
      </c>
      <c r="C766" s="2" t="s">
        <v>2835</v>
      </c>
      <c r="D766" s="2" t="s">
        <v>62</v>
      </c>
      <c r="E766" s="2" t="n">
        <v>5</v>
      </c>
      <c r="F766" s="4" t="n">
        <v>627.43</v>
      </c>
      <c r="G766" s="2" t="s">
        <v>719</v>
      </c>
      <c r="H766" s="2" t="s">
        <v>38</v>
      </c>
      <c r="I766" s="2" t="s">
        <v>39</v>
      </c>
      <c r="J766" s="2" t="s">
        <v>2836</v>
      </c>
      <c r="K766" s="2" t="n">
        <v>10</v>
      </c>
      <c r="L766" s="2" t="s">
        <v>41</v>
      </c>
      <c r="M766" s="2" t="s">
        <v>42</v>
      </c>
      <c r="N766" s="4" t="n">
        <v>3137.15</v>
      </c>
      <c r="O766" s="2" t="str">
        <f aca="false">IF(COUNTIF($A$2:$A$1201,A766)&gt;1,"DUPLICATE","Unique")</f>
        <v>Unique</v>
      </c>
      <c r="P766" s="2" t="str">
        <f aca="false">IF(L766="","MISSING","OK")</f>
        <v>OK</v>
      </c>
      <c r="Q766" s="2" t="str">
        <f aca="false">IF(ISNUMBER(B766),"OK","BAD DATE")</f>
        <v>OK</v>
      </c>
      <c r="R766" s="2" t="str">
        <f aca="false">IF(ROUND(F766,2)=F766,"OK","FIX")</f>
        <v>OK</v>
      </c>
    </row>
    <row r="767" customFormat="false" ht="15" hidden="false" customHeight="false" outlineLevel="0" collapsed="false">
      <c r="A767" s="2" t="s">
        <v>2837</v>
      </c>
      <c r="B767" s="3" t="n">
        <v>45205</v>
      </c>
      <c r="C767" s="2" t="s">
        <v>2838</v>
      </c>
      <c r="D767" s="2" t="s">
        <v>62</v>
      </c>
      <c r="E767" s="2" t="n">
        <v>2</v>
      </c>
      <c r="F767" s="4" t="n">
        <v>534.91</v>
      </c>
      <c r="G767" s="2" t="s">
        <v>2665</v>
      </c>
      <c r="H767" s="2" t="s">
        <v>22</v>
      </c>
      <c r="I767" s="2" t="s">
        <v>47</v>
      </c>
      <c r="J767" s="2" t="s">
        <v>2839</v>
      </c>
      <c r="K767" s="2" t="n">
        <v>5</v>
      </c>
      <c r="L767" s="2" t="s">
        <v>25</v>
      </c>
      <c r="M767" s="2" t="s">
        <v>80</v>
      </c>
      <c r="N767" s="4" t="n">
        <v>1069.82</v>
      </c>
      <c r="O767" s="2" t="str">
        <f aca="false">IF(COUNTIF($A$2:$A$1201,A767)&gt;1,"DUPLICATE","Unique")</f>
        <v>Unique</v>
      </c>
      <c r="P767" s="2" t="str">
        <f aca="false">IF(L767="","MISSING","OK")</f>
        <v>OK</v>
      </c>
      <c r="Q767" s="2" t="str">
        <f aca="false">IF(ISNUMBER(B767),"OK","BAD DATE")</f>
        <v>OK</v>
      </c>
      <c r="R767" s="2" t="str">
        <f aca="false">IF(ROUND(F767,2)=F767,"OK","FIX")</f>
        <v>OK</v>
      </c>
    </row>
    <row r="768" customFormat="false" ht="15" hidden="false" customHeight="false" outlineLevel="0" collapsed="false">
      <c r="A768" s="2" t="s">
        <v>2840</v>
      </c>
      <c r="B768" s="3" t="n">
        <v>44948</v>
      </c>
      <c r="C768" s="2" t="s">
        <v>2841</v>
      </c>
      <c r="D768" s="2" t="s">
        <v>52</v>
      </c>
      <c r="E768" s="2" t="n">
        <v>2</v>
      </c>
      <c r="F768" s="4" t="n">
        <v>278.88</v>
      </c>
      <c r="G768" s="2" t="s">
        <v>1392</v>
      </c>
      <c r="H768" s="2" t="s">
        <v>22</v>
      </c>
      <c r="I768" s="2" t="s">
        <v>93</v>
      </c>
      <c r="J768" s="2" t="s">
        <v>2842</v>
      </c>
      <c r="K768" s="2" t="n">
        <v>3</v>
      </c>
      <c r="L768" s="2" t="s">
        <v>41</v>
      </c>
      <c r="M768" s="2" t="s">
        <v>33</v>
      </c>
      <c r="N768" s="4" t="n">
        <v>557.76</v>
      </c>
      <c r="O768" s="2" t="str">
        <f aca="false">IF(COUNTIF($A$2:$A$1201,A768)&gt;1,"DUPLICATE","Unique")</f>
        <v>Unique</v>
      </c>
      <c r="P768" s="2" t="str">
        <f aca="false">IF(L768="","MISSING","OK")</f>
        <v>OK</v>
      </c>
      <c r="Q768" s="2" t="str">
        <f aca="false">IF(ISNUMBER(B768),"OK","BAD DATE")</f>
        <v>OK</v>
      </c>
      <c r="R768" s="2" t="str">
        <f aca="false">IF(ROUND(F768,2)=F768,"OK","FIX")</f>
        <v>OK</v>
      </c>
    </row>
    <row r="769" customFormat="false" ht="15" hidden="false" customHeight="false" outlineLevel="0" collapsed="false">
      <c r="A769" s="2" t="s">
        <v>2843</v>
      </c>
      <c r="B769" s="3" t="n">
        <v>45765</v>
      </c>
      <c r="C769" s="2" t="s">
        <v>2844</v>
      </c>
      <c r="D769" s="2" t="s">
        <v>36</v>
      </c>
      <c r="E769" s="2" t="n">
        <v>2</v>
      </c>
      <c r="F769" s="4" t="n">
        <v>323.22</v>
      </c>
      <c r="G769" s="2" t="s">
        <v>2845</v>
      </c>
      <c r="H769" s="2" t="s">
        <v>38</v>
      </c>
      <c r="I769" s="2" t="s">
        <v>54</v>
      </c>
      <c r="J769" s="2" t="s">
        <v>2846</v>
      </c>
      <c r="K769" s="2" t="n">
        <v>7</v>
      </c>
      <c r="L769" s="2"/>
      <c r="M769" s="2" t="s">
        <v>26</v>
      </c>
      <c r="N769" s="4" t="n">
        <v>646.44</v>
      </c>
      <c r="O769" s="2" t="str">
        <f aca="false">IF(COUNTIF($A$2:$A$1201,A769)&gt;1,"DUPLICATE","Unique")</f>
        <v>Unique</v>
      </c>
      <c r="P769" s="2" t="str">
        <f aca="false">IF(L769="","MISSING","OK")</f>
        <v>MISSING</v>
      </c>
      <c r="Q769" s="2" t="str">
        <f aca="false">IF(ISNUMBER(B769),"OK","BAD DATE")</f>
        <v>OK</v>
      </c>
      <c r="R769" s="2" t="str">
        <f aca="false">IF(ROUND(F769,2)=F769,"OK","FIX")</f>
        <v>OK</v>
      </c>
    </row>
    <row r="770" customFormat="false" ht="15" hidden="false" customHeight="false" outlineLevel="0" collapsed="false">
      <c r="A770" s="2" t="s">
        <v>2847</v>
      </c>
      <c r="B770" s="3" t="n">
        <v>45173</v>
      </c>
      <c r="C770" s="2" t="s">
        <v>2848</v>
      </c>
      <c r="D770" s="2" t="s">
        <v>36</v>
      </c>
      <c r="E770" s="2" t="n">
        <v>5</v>
      </c>
      <c r="F770" s="4" t="n">
        <v>653.46</v>
      </c>
      <c r="G770" s="2" t="s">
        <v>2849</v>
      </c>
      <c r="H770" s="2" t="s">
        <v>69</v>
      </c>
      <c r="I770" s="2" t="s">
        <v>39</v>
      </c>
      <c r="J770" s="2" t="s">
        <v>2850</v>
      </c>
      <c r="K770" s="2" t="n">
        <v>9</v>
      </c>
      <c r="L770" s="2" t="s">
        <v>85</v>
      </c>
      <c r="M770" s="2" t="s">
        <v>42</v>
      </c>
      <c r="N770" s="4" t="n">
        <v>3267.3</v>
      </c>
      <c r="O770" s="2" t="str">
        <f aca="false">IF(COUNTIF($A$2:$A$1201,A770)&gt;1,"DUPLICATE","Unique")</f>
        <v>Unique</v>
      </c>
      <c r="P770" s="2" t="str">
        <f aca="false">IF(L770="","MISSING","OK")</f>
        <v>OK</v>
      </c>
      <c r="Q770" s="2" t="str">
        <f aca="false">IF(ISNUMBER(B770),"OK","BAD DATE")</f>
        <v>OK</v>
      </c>
      <c r="R770" s="2" t="str">
        <f aca="false">IF(ROUND(F770,2)=F770,"OK","FIX")</f>
        <v>OK</v>
      </c>
    </row>
    <row r="771" customFormat="false" ht="15" hidden="false" customHeight="false" outlineLevel="0" collapsed="false">
      <c r="A771" s="2" t="s">
        <v>2851</v>
      </c>
      <c r="B771" s="3" t="n">
        <v>45113</v>
      </c>
      <c r="C771" s="2" t="s">
        <v>2852</v>
      </c>
      <c r="D771" s="2" t="s">
        <v>52</v>
      </c>
      <c r="E771" s="2" t="n">
        <v>4</v>
      </c>
      <c r="F771" s="4" t="n">
        <v>678.55</v>
      </c>
      <c r="G771" s="2" t="s">
        <v>157</v>
      </c>
      <c r="H771" s="2" t="s">
        <v>69</v>
      </c>
      <c r="I771" s="2" t="s">
        <v>54</v>
      </c>
      <c r="J771" s="2" t="s">
        <v>2853</v>
      </c>
      <c r="K771" s="2" t="n">
        <v>5</v>
      </c>
      <c r="L771" s="2"/>
      <c r="M771" s="2" t="s">
        <v>42</v>
      </c>
      <c r="N771" s="4" t="n">
        <v>2714.2</v>
      </c>
      <c r="O771" s="2" t="str">
        <f aca="false">IF(COUNTIF($A$2:$A$1201,A771)&gt;1,"DUPLICATE","Unique")</f>
        <v>Unique</v>
      </c>
      <c r="P771" s="2" t="str">
        <f aca="false">IF(L771="","MISSING","OK")</f>
        <v>MISSING</v>
      </c>
      <c r="Q771" s="2" t="str">
        <f aca="false">IF(ISNUMBER(B771),"OK","BAD DATE")</f>
        <v>OK</v>
      </c>
      <c r="R771" s="2" t="str">
        <f aca="false">IF(ROUND(F771,2)=F771,"OK","FIX")</f>
        <v>OK</v>
      </c>
    </row>
    <row r="772" customFormat="false" ht="15" hidden="false" customHeight="false" outlineLevel="0" collapsed="false">
      <c r="A772" s="2" t="s">
        <v>2854</v>
      </c>
      <c r="B772" s="3" t="n">
        <v>45333</v>
      </c>
      <c r="C772" s="2" t="s">
        <v>2855</v>
      </c>
      <c r="D772" s="2" t="s">
        <v>77</v>
      </c>
      <c r="E772" s="2" t="n">
        <v>1</v>
      </c>
      <c r="F772" s="4" t="n">
        <v>314.38</v>
      </c>
      <c r="G772" s="2" t="s">
        <v>1727</v>
      </c>
      <c r="H772" s="2" t="s">
        <v>31</v>
      </c>
      <c r="I772" s="2" t="s">
        <v>47</v>
      </c>
      <c r="J772" s="2" t="s">
        <v>2856</v>
      </c>
      <c r="K772" s="2" t="n">
        <v>6</v>
      </c>
      <c r="L772" s="2"/>
      <c r="M772" s="2" t="s">
        <v>80</v>
      </c>
      <c r="N772" s="4" t="n">
        <v>314.38</v>
      </c>
      <c r="O772" s="2" t="str">
        <f aca="false">IF(COUNTIF($A$2:$A$1201,A772)&gt;1,"DUPLICATE","Unique")</f>
        <v>Unique</v>
      </c>
      <c r="P772" s="2" t="str">
        <f aca="false">IF(L772="","MISSING","OK")</f>
        <v>MISSING</v>
      </c>
      <c r="Q772" s="2" t="str">
        <f aca="false">IF(ISNUMBER(B772),"OK","BAD DATE")</f>
        <v>OK</v>
      </c>
      <c r="R772" s="2" t="str">
        <f aca="false">IF(ROUND(F772,2)=F772,"OK","FIX")</f>
        <v>OK</v>
      </c>
    </row>
    <row r="773" customFormat="false" ht="15" hidden="false" customHeight="false" outlineLevel="0" collapsed="false">
      <c r="A773" s="2" t="s">
        <v>2857</v>
      </c>
      <c r="B773" s="3" t="n">
        <v>45455</v>
      </c>
      <c r="C773" s="2" t="s">
        <v>2858</v>
      </c>
      <c r="D773" s="2" t="s">
        <v>29</v>
      </c>
      <c r="E773" s="2" t="n">
        <v>3</v>
      </c>
      <c r="F773" s="4" t="n">
        <v>692.44</v>
      </c>
      <c r="G773" s="2" t="s">
        <v>1505</v>
      </c>
      <c r="H773" s="2" t="s">
        <v>22</v>
      </c>
      <c r="I773" s="2" t="s">
        <v>39</v>
      </c>
      <c r="J773" s="2" t="s">
        <v>2859</v>
      </c>
      <c r="K773" s="2" t="n">
        <v>8</v>
      </c>
      <c r="L773" s="2" t="s">
        <v>41</v>
      </c>
      <c r="M773" s="2" t="s">
        <v>80</v>
      </c>
      <c r="N773" s="4" t="n">
        <v>2077.32</v>
      </c>
      <c r="O773" s="2" t="str">
        <f aca="false">IF(COUNTIF($A$2:$A$1201,A773)&gt;1,"DUPLICATE","Unique")</f>
        <v>Unique</v>
      </c>
      <c r="P773" s="2" t="str">
        <f aca="false">IF(L773="","MISSING","OK")</f>
        <v>OK</v>
      </c>
      <c r="Q773" s="2" t="str">
        <f aca="false">IF(ISNUMBER(B773),"OK","BAD DATE")</f>
        <v>OK</v>
      </c>
      <c r="R773" s="2" t="str">
        <f aca="false">IF(ROUND(F773,2)=F773,"OK","FIX")</f>
        <v>OK</v>
      </c>
    </row>
    <row r="774" customFormat="false" ht="15" hidden="false" customHeight="false" outlineLevel="0" collapsed="false">
      <c r="A774" s="2" t="s">
        <v>2860</v>
      </c>
      <c r="B774" s="3" t="n">
        <v>45501</v>
      </c>
      <c r="C774" s="2" t="s">
        <v>2861</v>
      </c>
      <c r="D774" s="2" t="s">
        <v>20</v>
      </c>
      <c r="E774" s="2" t="n">
        <v>1</v>
      </c>
      <c r="F774" s="4" t="n">
        <v>604.87</v>
      </c>
      <c r="G774" s="2" t="s">
        <v>2862</v>
      </c>
      <c r="H774" s="2" t="s">
        <v>31</v>
      </c>
      <c r="I774" s="2" t="s">
        <v>54</v>
      </c>
      <c r="J774" s="2" t="s">
        <v>2863</v>
      </c>
      <c r="K774" s="2" t="n">
        <v>4</v>
      </c>
      <c r="L774" s="2"/>
      <c r="M774" s="2" t="s">
        <v>26</v>
      </c>
      <c r="N774" s="4" t="n">
        <v>604.87</v>
      </c>
      <c r="O774" s="2" t="str">
        <f aca="false">IF(COUNTIF($A$2:$A$1201,A774)&gt;1,"DUPLICATE","Unique")</f>
        <v>Unique</v>
      </c>
      <c r="P774" s="2" t="str">
        <f aca="false">IF(L774="","MISSING","OK")</f>
        <v>MISSING</v>
      </c>
      <c r="Q774" s="2" t="str">
        <f aca="false">IF(ISNUMBER(B774),"OK","BAD DATE")</f>
        <v>OK</v>
      </c>
      <c r="R774" s="2" t="str">
        <f aca="false">IF(ROUND(F774,2)=F774,"OK","FIX")</f>
        <v>OK</v>
      </c>
    </row>
    <row r="775" customFormat="false" ht="15" hidden="false" customHeight="false" outlineLevel="0" collapsed="false">
      <c r="A775" s="2" t="s">
        <v>2864</v>
      </c>
      <c r="B775" s="3" t="n">
        <v>45836</v>
      </c>
      <c r="C775" s="2" t="s">
        <v>2865</v>
      </c>
      <c r="D775" s="2" t="s">
        <v>29</v>
      </c>
      <c r="E775" s="2" t="n">
        <v>2</v>
      </c>
      <c r="F775" s="4" t="n">
        <v>512.33</v>
      </c>
      <c r="G775" s="2" t="s">
        <v>2866</v>
      </c>
      <c r="H775" s="2" t="s">
        <v>69</v>
      </c>
      <c r="I775" s="2" t="s">
        <v>39</v>
      </c>
      <c r="J775" s="2" t="s">
        <v>2867</v>
      </c>
      <c r="K775" s="2" t="n">
        <v>7</v>
      </c>
      <c r="L775" s="2"/>
      <c r="M775" s="2" t="s">
        <v>49</v>
      </c>
      <c r="N775" s="4" t="n">
        <v>1024.66</v>
      </c>
      <c r="O775" s="2" t="str">
        <f aca="false">IF(COUNTIF($A$2:$A$1201,A775)&gt;1,"DUPLICATE","Unique")</f>
        <v>Unique</v>
      </c>
      <c r="P775" s="2" t="str">
        <f aca="false">IF(L775="","MISSING","OK")</f>
        <v>MISSING</v>
      </c>
      <c r="Q775" s="2" t="str">
        <f aca="false">IF(ISNUMBER(B775),"OK","BAD DATE")</f>
        <v>OK</v>
      </c>
      <c r="R775" s="2" t="str">
        <f aca="false">IF(ROUND(F775,2)=F775,"OK","FIX")</f>
        <v>OK</v>
      </c>
    </row>
    <row r="776" customFormat="false" ht="15" hidden="false" customHeight="false" outlineLevel="0" collapsed="false">
      <c r="A776" s="2" t="s">
        <v>2868</v>
      </c>
      <c r="B776" s="3" t="n">
        <v>45762</v>
      </c>
      <c r="C776" s="2" t="s">
        <v>2869</v>
      </c>
      <c r="D776" s="2" t="s">
        <v>45</v>
      </c>
      <c r="E776" s="2" t="n">
        <v>3</v>
      </c>
      <c r="F776" s="4" t="n">
        <v>20.54</v>
      </c>
      <c r="G776" s="2" t="s">
        <v>2870</v>
      </c>
      <c r="H776" s="2" t="s">
        <v>38</v>
      </c>
      <c r="I776" s="2" t="s">
        <v>39</v>
      </c>
      <c r="J776" s="2" t="s">
        <v>2871</v>
      </c>
      <c r="K776" s="2" t="n">
        <v>3</v>
      </c>
      <c r="L776" s="2" t="s">
        <v>41</v>
      </c>
      <c r="M776" s="2" t="s">
        <v>26</v>
      </c>
      <c r="N776" s="4" t="n">
        <v>61.62</v>
      </c>
      <c r="O776" s="2" t="str">
        <f aca="false">IF(COUNTIF($A$2:$A$1201,A776)&gt;1,"DUPLICATE","Unique")</f>
        <v>Unique</v>
      </c>
      <c r="P776" s="2" t="str">
        <f aca="false">IF(L776="","MISSING","OK")</f>
        <v>OK</v>
      </c>
      <c r="Q776" s="2" t="str">
        <f aca="false">IF(ISNUMBER(B776),"OK","BAD DATE")</f>
        <v>OK</v>
      </c>
      <c r="R776" s="2" t="str">
        <f aca="false">IF(ROUND(F776,2)=F776,"OK","FIX")</f>
        <v>OK</v>
      </c>
    </row>
    <row r="777" customFormat="false" ht="15" hidden="false" customHeight="false" outlineLevel="0" collapsed="false">
      <c r="A777" s="2" t="s">
        <v>2872</v>
      </c>
      <c r="B777" s="3" t="n">
        <v>44989</v>
      </c>
      <c r="C777" s="2" t="s">
        <v>2873</v>
      </c>
      <c r="D777" s="2" t="s">
        <v>29</v>
      </c>
      <c r="E777" s="2" t="n">
        <v>2</v>
      </c>
      <c r="F777" s="4" t="n">
        <v>625.22</v>
      </c>
      <c r="G777" s="2" t="s">
        <v>129</v>
      </c>
      <c r="H777" s="2" t="s">
        <v>31</v>
      </c>
      <c r="I777" s="2" t="s">
        <v>39</v>
      </c>
      <c r="J777" s="2" t="s">
        <v>2874</v>
      </c>
      <c r="K777" s="2" t="n">
        <v>5</v>
      </c>
      <c r="L777" s="2"/>
      <c r="M777" s="2" t="s">
        <v>80</v>
      </c>
      <c r="N777" s="4" t="n">
        <v>1250.44</v>
      </c>
      <c r="O777" s="2" t="str">
        <f aca="false">IF(COUNTIF($A$2:$A$1201,A777)&gt;1,"DUPLICATE","Unique")</f>
        <v>Unique</v>
      </c>
      <c r="P777" s="2" t="str">
        <f aca="false">IF(L777="","MISSING","OK")</f>
        <v>MISSING</v>
      </c>
      <c r="Q777" s="2" t="str">
        <f aca="false">IF(ISNUMBER(B777),"OK","BAD DATE")</f>
        <v>OK</v>
      </c>
      <c r="R777" s="2" t="str">
        <f aca="false">IF(ROUND(F777,2)=F777,"OK","FIX")</f>
        <v>OK</v>
      </c>
    </row>
    <row r="778" customFormat="false" ht="15" hidden="false" customHeight="false" outlineLevel="0" collapsed="false">
      <c r="A778" s="2" t="s">
        <v>2875</v>
      </c>
      <c r="B778" s="3" t="n">
        <v>45159</v>
      </c>
      <c r="C778" s="2" t="s">
        <v>2876</v>
      </c>
      <c r="D778" s="2" t="s">
        <v>36</v>
      </c>
      <c r="E778" s="2" t="n">
        <v>1</v>
      </c>
      <c r="F778" s="4" t="n">
        <v>21.19</v>
      </c>
      <c r="G778" s="2" t="s">
        <v>2877</v>
      </c>
      <c r="H778" s="2" t="s">
        <v>69</v>
      </c>
      <c r="I778" s="2" t="s">
        <v>47</v>
      </c>
      <c r="J778" s="2" t="s">
        <v>2878</v>
      </c>
      <c r="K778" s="2" t="n">
        <v>5</v>
      </c>
      <c r="L778" s="2" t="s">
        <v>85</v>
      </c>
      <c r="M778" s="2" t="s">
        <v>80</v>
      </c>
      <c r="N778" s="4" t="n">
        <v>21.19</v>
      </c>
      <c r="O778" s="2" t="str">
        <f aca="false">IF(COUNTIF($A$2:$A$1201,A778)&gt;1,"DUPLICATE","Unique")</f>
        <v>Unique</v>
      </c>
      <c r="P778" s="2" t="str">
        <f aca="false">IF(L778="","MISSING","OK")</f>
        <v>OK</v>
      </c>
      <c r="Q778" s="2" t="str">
        <f aca="false">IF(ISNUMBER(B778),"OK","BAD DATE")</f>
        <v>OK</v>
      </c>
      <c r="R778" s="2" t="str">
        <f aca="false">IF(ROUND(F778,2)=F778,"OK","FIX")</f>
        <v>OK</v>
      </c>
    </row>
    <row r="779" customFormat="false" ht="15" hidden="false" customHeight="false" outlineLevel="0" collapsed="false">
      <c r="A779" s="2" t="s">
        <v>2879</v>
      </c>
      <c r="B779" s="3" t="n">
        <v>45737</v>
      </c>
      <c r="C779" s="2" t="s">
        <v>2880</v>
      </c>
      <c r="D779" s="2" t="s">
        <v>45</v>
      </c>
      <c r="E779" s="2" t="n">
        <v>5</v>
      </c>
      <c r="F779" s="4" t="n">
        <v>64.49</v>
      </c>
      <c r="G779" s="2" t="s">
        <v>133</v>
      </c>
      <c r="H779" s="2" t="s">
        <v>31</v>
      </c>
      <c r="I779" s="2" t="s">
        <v>39</v>
      </c>
      <c r="J779" s="2" t="s">
        <v>2881</v>
      </c>
      <c r="K779" s="2" t="n">
        <v>7</v>
      </c>
      <c r="L779" s="2"/>
      <c r="M779" s="2" t="s">
        <v>49</v>
      </c>
      <c r="N779" s="4" t="n">
        <v>322.45</v>
      </c>
      <c r="O779" s="2" t="str">
        <f aca="false">IF(COUNTIF($A$2:$A$1201,A779)&gt;1,"DUPLICATE","Unique")</f>
        <v>Unique</v>
      </c>
      <c r="P779" s="2" t="str">
        <f aca="false">IF(L779="","MISSING","OK")</f>
        <v>MISSING</v>
      </c>
      <c r="Q779" s="2" t="str">
        <f aca="false">IF(ISNUMBER(B779),"OK","BAD DATE")</f>
        <v>OK</v>
      </c>
      <c r="R779" s="2" t="str">
        <f aca="false">IF(ROUND(F779,2)=F779,"OK","FIX")</f>
        <v>OK</v>
      </c>
    </row>
    <row r="780" customFormat="false" ht="15" hidden="false" customHeight="false" outlineLevel="0" collapsed="false">
      <c r="A780" s="2" t="s">
        <v>2882</v>
      </c>
      <c r="B780" s="3" t="n">
        <v>45044</v>
      </c>
      <c r="C780" s="2" t="s">
        <v>2883</v>
      </c>
      <c r="D780" s="2" t="s">
        <v>62</v>
      </c>
      <c r="E780" s="2" t="n">
        <v>4</v>
      </c>
      <c r="F780" s="4" t="n">
        <v>246.85</v>
      </c>
      <c r="G780" s="2" t="s">
        <v>2884</v>
      </c>
      <c r="H780" s="2" t="s">
        <v>38</v>
      </c>
      <c r="I780" s="2" t="s">
        <v>23</v>
      </c>
      <c r="J780" s="2" t="s">
        <v>2885</v>
      </c>
      <c r="K780" s="2" t="n">
        <v>8</v>
      </c>
      <c r="L780" s="2" t="s">
        <v>85</v>
      </c>
      <c r="M780" s="2" t="s">
        <v>80</v>
      </c>
      <c r="N780" s="4" t="n">
        <v>987.4</v>
      </c>
      <c r="O780" s="2" t="str">
        <f aca="false">IF(COUNTIF($A$2:$A$1201,A780)&gt;1,"DUPLICATE","Unique")</f>
        <v>Unique</v>
      </c>
      <c r="P780" s="2" t="str">
        <f aca="false">IF(L780="","MISSING","OK")</f>
        <v>OK</v>
      </c>
      <c r="Q780" s="2" t="str">
        <f aca="false">IF(ISNUMBER(B780),"OK","BAD DATE")</f>
        <v>OK</v>
      </c>
      <c r="R780" s="2" t="str">
        <f aca="false">IF(ROUND(F780,2)=F780,"OK","FIX")</f>
        <v>OK</v>
      </c>
    </row>
    <row r="781" customFormat="false" ht="15" hidden="false" customHeight="false" outlineLevel="0" collapsed="false">
      <c r="A781" s="2" t="s">
        <v>2886</v>
      </c>
      <c r="B781" s="3" t="n">
        <v>45261</v>
      </c>
      <c r="C781" s="2" t="s">
        <v>2887</v>
      </c>
      <c r="D781" s="2" t="s">
        <v>29</v>
      </c>
      <c r="E781" s="2" t="n">
        <v>3</v>
      </c>
      <c r="F781" s="4" t="n">
        <v>588.74</v>
      </c>
      <c r="G781" s="2" t="s">
        <v>2888</v>
      </c>
      <c r="H781" s="2" t="s">
        <v>22</v>
      </c>
      <c r="I781" s="2" t="s">
        <v>93</v>
      </c>
      <c r="J781" s="2" t="s">
        <v>2889</v>
      </c>
      <c r="K781" s="2" t="n">
        <v>8</v>
      </c>
      <c r="L781" s="2" t="s">
        <v>41</v>
      </c>
      <c r="M781" s="2" t="s">
        <v>42</v>
      </c>
      <c r="N781" s="4" t="n">
        <v>1766.22</v>
      </c>
      <c r="O781" s="2" t="str">
        <f aca="false">IF(COUNTIF($A$2:$A$1201,A781)&gt;1,"DUPLICATE","Unique")</f>
        <v>Unique</v>
      </c>
      <c r="P781" s="2" t="str">
        <f aca="false">IF(L781="","MISSING","OK")</f>
        <v>OK</v>
      </c>
      <c r="Q781" s="2" t="str">
        <f aca="false">IF(ISNUMBER(B781),"OK","BAD DATE")</f>
        <v>OK</v>
      </c>
      <c r="R781" s="2" t="str">
        <f aca="false">IF(ROUND(F781,2)=F781,"OK","FIX")</f>
        <v>OK</v>
      </c>
    </row>
    <row r="782" customFormat="false" ht="15" hidden="false" customHeight="false" outlineLevel="0" collapsed="false">
      <c r="A782" s="2" t="s">
        <v>2890</v>
      </c>
      <c r="B782" s="3" t="n">
        <v>45382</v>
      </c>
      <c r="C782" s="2" t="s">
        <v>2891</v>
      </c>
      <c r="D782" s="2" t="s">
        <v>62</v>
      </c>
      <c r="E782" s="2" t="n">
        <v>4</v>
      </c>
      <c r="F782" s="4" t="n">
        <v>184.48</v>
      </c>
      <c r="G782" s="2" t="s">
        <v>1716</v>
      </c>
      <c r="H782" s="2" t="s">
        <v>31</v>
      </c>
      <c r="I782" s="2" t="s">
        <v>39</v>
      </c>
      <c r="J782" s="2" t="s">
        <v>2892</v>
      </c>
      <c r="K782" s="2" t="n">
        <v>4</v>
      </c>
      <c r="L782" s="2" t="s">
        <v>85</v>
      </c>
      <c r="M782" s="2" t="s">
        <v>80</v>
      </c>
      <c r="N782" s="4" t="n">
        <v>737.92</v>
      </c>
      <c r="O782" s="2" t="str">
        <f aca="false">IF(COUNTIF($A$2:$A$1201,A782)&gt;1,"DUPLICATE","Unique")</f>
        <v>Unique</v>
      </c>
      <c r="P782" s="2" t="str">
        <f aca="false">IF(L782="","MISSING","OK")</f>
        <v>OK</v>
      </c>
      <c r="Q782" s="2" t="str">
        <f aca="false">IF(ISNUMBER(B782),"OK","BAD DATE")</f>
        <v>OK</v>
      </c>
      <c r="R782" s="2" t="str">
        <f aca="false">IF(ROUND(F782,2)=F782,"OK","FIX")</f>
        <v>OK</v>
      </c>
    </row>
    <row r="783" customFormat="false" ht="15" hidden="false" customHeight="false" outlineLevel="0" collapsed="false">
      <c r="A783" s="2" t="s">
        <v>2893</v>
      </c>
      <c r="B783" s="3" t="n">
        <v>45301</v>
      </c>
      <c r="C783" s="2" t="s">
        <v>2894</v>
      </c>
      <c r="D783" s="2" t="s">
        <v>29</v>
      </c>
      <c r="E783" s="2" t="n">
        <v>5</v>
      </c>
      <c r="F783" s="4" t="n">
        <v>524.26</v>
      </c>
      <c r="G783" s="2" t="s">
        <v>58</v>
      </c>
      <c r="H783" s="2" t="s">
        <v>64</v>
      </c>
      <c r="I783" s="2" t="s">
        <v>54</v>
      </c>
      <c r="J783" s="2" t="s">
        <v>2895</v>
      </c>
      <c r="K783" s="2" t="n">
        <v>5</v>
      </c>
      <c r="L783" s="2" t="s">
        <v>41</v>
      </c>
      <c r="M783" s="2" t="s">
        <v>33</v>
      </c>
      <c r="N783" s="4" t="n">
        <v>2621.3</v>
      </c>
      <c r="O783" s="2" t="str">
        <f aca="false">IF(COUNTIF($A$2:$A$1201,A783)&gt;1,"DUPLICATE","Unique")</f>
        <v>Unique</v>
      </c>
      <c r="P783" s="2" t="str">
        <f aca="false">IF(L783="","MISSING","OK")</f>
        <v>OK</v>
      </c>
      <c r="Q783" s="2" t="str">
        <f aca="false">IF(ISNUMBER(B783),"OK","BAD DATE")</f>
        <v>OK</v>
      </c>
      <c r="R783" s="2" t="str">
        <f aca="false">IF(ROUND(F783,2)=F783,"OK","FIX")</f>
        <v>OK</v>
      </c>
    </row>
    <row r="784" customFormat="false" ht="15" hidden="false" customHeight="false" outlineLevel="0" collapsed="false">
      <c r="A784" s="2" t="s">
        <v>2896</v>
      </c>
      <c r="B784" s="3" t="n">
        <v>45515</v>
      </c>
      <c r="C784" s="2" t="s">
        <v>2897</v>
      </c>
      <c r="D784" s="2" t="s">
        <v>20</v>
      </c>
      <c r="E784" s="2" t="n">
        <v>2</v>
      </c>
      <c r="F784" s="4" t="n">
        <v>493.63</v>
      </c>
      <c r="G784" s="2" t="s">
        <v>2157</v>
      </c>
      <c r="H784" s="2" t="s">
        <v>31</v>
      </c>
      <c r="I784" s="2" t="s">
        <v>47</v>
      </c>
      <c r="J784" s="2" t="s">
        <v>2898</v>
      </c>
      <c r="K784" s="2" t="n">
        <v>6</v>
      </c>
      <c r="L784" s="2" t="s">
        <v>25</v>
      </c>
      <c r="M784" s="2" t="s">
        <v>33</v>
      </c>
      <c r="N784" s="4" t="n">
        <v>987.26</v>
      </c>
      <c r="O784" s="2" t="str">
        <f aca="false">IF(COUNTIF($A$2:$A$1201,A784)&gt;1,"DUPLICATE","Unique")</f>
        <v>Unique</v>
      </c>
      <c r="P784" s="2" t="str">
        <f aca="false">IF(L784="","MISSING","OK")</f>
        <v>OK</v>
      </c>
      <c r="Q784" s="2" t="str">
        <f aca="false">IF(ISNUMBER(B784),"OK","BAD DATE")</f>
        <v>OK</v>
      </c>
      <c r="R784" s="2" t="str">
        <f aca="false">IF(ROUND(F784,2)=F784,"OK","FIX")</f>
        <v>OK</v>
      </c>
    </row>
    <row r="785" customFormat="false" ht="15" hidden="false" customHeight="false" outlineLevel="0" collapsed="false">
      <c r="A785" s="2" t="s">
        <v>2899</v>
      </c>
      <c r="B785" s="3" t="n">
        <v>45803</v>
      </c>
      <c r="C785" s="2" t="s">
        <v>2900</v>
      </c>
      <c r="D785" s="2" t="s">
        <v>52</v>
      </c>
      <c r="E785" s="2" t="n">
        <v>1</v>
      </c>
      <c r="F785" s="4" t="n">
        <v>438.34</v>
      </c>
      <c r="G785" s="2" t="s">
        <v>2665</v>
      </c>
      <c r="H785" s="2" t="s">
        <v>64</v>
      </c>
      <c r="I785" s="2" t="s">
        <v>47</v>
      </c>
      <c r="J785" s="2" t="s">
        <v>2901</v>
      </c>
      <c r="K785" s="2" t="n">
        <v>5</v>
      </c>
      <c r="L785" s="2" t="s">
        <v>41</v>
      </c>
      <c r="M785" s="2" t="s">
        <v>49</v>
      </c>
      <c r="N785" s="4" t="n">
        <v>438.34</v>
      </c>
      <c r="O785" s="2" t="str">
        <f aca="false">IF(COUNTIF($A$2:$A$1201,A785)&gt;1,"DUPLICATE","Unique")</f>
        <v>Unique</v>
      </c>
      <c r="P785" s="2" t="str">
        <f aca="false">IF(L785="","MISSING","OK")</f>
        <v>OK</v>
      </c>
      <c r="Q785" s="2" t="str">
        <f aca="false">IF(ISNUMBER(B785),"OK","BAD DATE")</f>
        <v>OK</v>
      </c>
      <c r="R785" s="2" t="str">
        <f aca="false">IF(ROUND(F785,2)=F785,"OK","FIX")</f>
        <v>OK</v>
      </c>
    </row>
    <row r="786" customFormat="false" ht="15" hidden="false" customHeight="false" outlineLevel="0" collapsed="false">
      <c r="A786" s="2" t="s">
        <v>2902</v>
      </c>
      <c r="B786" s="3" t="n">
        <v>45793</v>
      </c>
      <c r="C786" s="2" t="s">
        <v>2903</v>
      </c>
      <c r="D786" s="2" t="s">
        <v>62</v>
      </c>
      <c r="E786" s="2" t="n">
        <v>1</v>
      </c>
      <c r="F786" s="4" t="n">
        <v>325.81</v>
      </c>
      <c r="G786" s="2" t="s">
        <v>250</v>
      </c>
      <c r="H786" s="2" t="s">
        <v>38</v>
      </c>
      <c r="I786" s="2" t="s">
        <v>93</v>
      </c>
      <c r="J786" s="2" t="s">
        <v>2904</v>
      </c>
      <c r="K786" s="2" t="n">
        <v>1</v>
      </c>
      <c r="L786" s="2" t="s">
        <v>85</v>
      </c>
      <c r="M786" s="2" t="s">
        <v>33</v>
      </c>
      <c r="N786" s="4" t="n">
        <v>325.81</v>
      </c>
      <c r="O786" s="2" t="str">
        <f aca="false">IF(COUNTIF($A$2:$A$1201,A786)&gt;1,"DUPLICATE","Unique")</f>
        <v>Unique</v>
      </c>
      <c r="P786" s="2" t="str">
        <f aca="false">IF(L786="","MISSING","OK")</f>
        <v>OK</v>
      </c>
      <c r="Q786" s="2" t="str">
        <f aca="false">IF(ISNUMBER(B786),"OK","BAD DATE")</f>
        <v>OK</v>
      </c>
      <c r="R786" s="2" t="str">
        <f aca="false">IF(ROUND(F786,2)=F786,"OK","FIX")</f>
        <v>OK</v>
      </c>
    </row>
    <row r="787" customFormat="false" ht="15" hidden="false" customHeight="false" outlineLevel="0" collapsed="false">
      <c r="A787" s="2" t="s">
        <v>2905</v>
      </c>
      <c r="B787" s="3" t="n">
        <v>45136</v>
      </c>
      <c r="C787" s="2" t="s">
        <v>2906</v>
      </c>
      <c r="D787" s="2" t="s">
        <v>45</v>
      </c>
      <c r="E787" s="2" t="n">
        <v>1</v>
      </c>
      <c r="F787" s="4" t="n">
        <v>176.1</v>
      </c>
      <c r="G787" s="2" t="s">
        <v>2907</v>
      </c>
      <c r="H787" s="2" t="s">
        <v>38</v>
      </c>
      <c r="I787" s="2" t="s">
        <v>93</v>
      </c>
      <c r="J787" s="2" t="s">
        <v>2908</v>
      </c>
      <c r="K787" s="2" t="n">
        <v>1</v>
      </c>
      <c r="L787" s="2" t="s">
        <v>25</v>
      </c>
      <c r="M787" s="2" t="s">
        <v>26</v>
      </c>
      <c r="N787" s="4" t="n">
        <v>176.1</v>
      </c>
      <c r="O787" s="2" t="str">
        <f aca="false">IF(COUNTIF($A$2:$A$1201,A787)&gt;1,"DUPLICATE","Unique")</f>
        <v>Unique</v>
      </c>
      <c r="P787" s="2" t="str">
        <f aca="false">IF(L787="","MISSING","OK")</f>
        <v>OK</v>
      </c>
      <c r="Q787" s="2" t="str">
        <f aca="false">IF(ISNUMBER(B787),"OK","BAD DATE")</f>
        <v>OK</v>
      </c>
      <c r="R787" s="2" t="str">
        <f aca="false">IF(ROUND(F787,2)=F787,"OK","FIX")</f>
        <v>OK</v>
      </c>
    </row>
    <row r="788" customFormat="false" ht="15" hidden="false" customHeight="false" outlineLevel="0" collapsed="false">
      <c r="A788" s="2" t="s">
        <v>2909</v>
      </c>
      <c r="B788" s="3" t="n">
        <v>45161</v>
      </c>
      <c r="C788" s="2" t="s">
        <v>2910</v>
      </c>
      <c r="D788" s="2" t="s">
        <v>45</v>
      </c>
      <c r="E788" s="2" t="n">
        <v>5</v>
      </c>
      <c r="F788" s="4" t="n">
        <v>45.31</v>
      </c>
      <c r="G788" s="2" t="s">
        <v>2911</v>
      </c>
      <c r="H788" s="2" t="s">
        <v>31</v>
      </c>
      <c r="I788" s="2" t="s">
        <v>39</v>
      </c>
      <c r="J788" s="2" t="s">
        <v>2912</v>
      </c>
      <c r="K788" s="2" t="n">
        <v>8</v>
      </c>
      <c r="L788" s="2"/>
      <c r="M788" s="2" t="s">
        <v>33</v>
      </c>
      <c r="N788" s="4" t="n">
        <v>226.55</v>
      </c>
      <c r="O788" s="2" t="str">
        <f aca="false">IF(COUNTIF($A$2:$A$1201,A788)&gt;1,"DUPLICATE","Unique")</f>
        <v>Unique</v>
      </c>
      <c r="P788" s="2" t="str">
        <f aca="false">IF(L788="","MISSING","OK")</f>
        <v>MISSING</v>
      </c>
      <c r="Q788" s="2" t="str">
        <f aca="false">IF(ISNUMBER(B788),"OK","BAD DATE")</f>
        <v>OK</v>
      </c>
      <c r="R788" s="2" t="str">
        <f aca="false">IF(ROUND(F788,2)=F788,"OK","FIX")</f>
        <v>OK</v>
      </c>
    </row>
    <row r="789" customFormat="false" ht="15" hidden="false" customHeight="false" outlineLevel="0" collapsed="false">
      <c r="A789" s="2" t="s">
        <v>2913</v>
      </c>
      <c r="B789" s="3" t="n">
        <v>45368</v>
      </c>
      <c r="C789" s="2" t="s">
        <v>2914</v>
      </c>
      <c r="D789" s="2" t="s">
        <v>77</v>
      </c>
      <c r="E789" s="2" t="n">
        <v>4</v>
      </c>
      <c r="F789" s="4" t="n">
        <v>221.96</v>
      </c>
      <c r="G789" s="2" t="s">
        <v>2915</v>
      </c>
      <c r="H789" s="2" t="s">
        <v>69</v>
      </c>
      <c r="I789" s="2" t="s">
        <v>54</v>
      </c>
      <c r="J789" s="2" t="s">
        <v>2916</v>
      </c>
      <c r="K789" s="2" t="n">
        <v>7</v>
      </c>
      <c r="L789" s="2"/>
      <c r="M789" s="2" t="s">
        <v>80</v>
      </c>
      <c r="N789" s="4" t="n">
        <v>887.84</v>
      </c>
      <c r="O789" s="2" t="str">
        <f aca="false">IF(COUNTIF($A$2:$A$1201,A789)&gt;1,"DUPLICATE","Unique")</f>
        <v>Unique</v>
      </c>
      <c r="P789" s="2" t="str">
        <f aca="false">IF(L789="","MISSING","OK")</f>
        <v>MISSING</v>
      </c>
      <c r="Q789" s="2" t="str">
        <f aca="false">IF(ISNUMBER(B789),"OK","BAD DATE")</f>
        <v>OK</v>
      </c>
      <c r="R789" s="2" t="str">
        <f aca="false">IF(ROUND(F789,2)=F789,"OK","FIX")</f>
        <v>OK</v>
      </c>
    </row>
    <row r="790" customFormat="false" ht="15" hidden="false" customHeight="false" outlineLevel="0" collapsed="false">
      <c r="A790" s="2" t="s">
        <v>2917</v>
      </c>
      <c r="B790" s="3" t="n">
        <v>45232</v>
      </c>
      <c r="C790" s="2" t="s">
        <v>2918</v>
      </c>
      <c r="D790" s="2" t="s">
        <v>45</v>
      </c>
      <c r="E790" s="2" t="n">
        <v>2</v>
      </c>
      <c r="F790" s="4" t="n">
        <v>601.43</v>
      </c>
      <c r="G790" s="2" t="s">
        <v>2919</v>
      </c>
      <c r="H790" s="2" t="s">
        <v>31</v>
      </c>
      <c r="I790" s="2" t="s">
        <v>93</v>
      </c>
      <c r="J790" s="2" t="s">
        <v>2920</v>
      </c>
      <c r="K790" s="2" t="n">
        <v>5</v>
      </c>
      <c r="L790" s="2" t="s">
        <v>41</v>
      </c>
      <c r="M790" s="2" t="s">
        <v>26</v>
      </c>
      <c r="N790" s="4" t="n">
        <v>1202.86</v>
      </c>
      <c r="O790" s="2" t="str">
        <f aca="false">IF(COUNTIF($A$2:$A$1201,A790)&gt;1,"DUPLICATE","Unique")</f>
        <v>Unique</v>
      </c>
      <c r="P790" s="2" t="str">
        <f aca="false">IF(L790="","MISSING","OK")</f>
        <v>OK</v>
      </c>
      <c r="Q790" s="2" t="str">
        <f aca="false">IF(ISNUMBER(B790),"OK","BAD DATE")</f>
        <v>OK</v>
      </c>
      <c r="R790" s="2" t="str">
        <f aca="false">IF(ROUND(F790,2)=F790,"OK","FIX")</f>
        <v>OK</v>
      </c>
    </row>
    <row r="791" customFormat="false" ht="15" hidden="false" customHeight="false" outlineLevel="0" collapsed="false">
      <c r="A791" s="2" t="s">
        <v>2921</v>
      </c>
      <c r="B791" s="3" t="n">
        <v>45155</v>
      </c>
      <c r="C791" s="2" t="s">
        <v>2922</v>
      </c>
      <c r="D791" s="2" t="s">
        <v>36</v>
      </c>
      <c r="E791" s="2" t="n">
        <v>5</v>
      </c>
      <c r="F791" s="4" t="n">
        <v>691.28</v>
      </c>
      <c r="G791" s="2" t="s">
        <v>2923</v>
      </c>
      <c r="H791" s="2" t="s">
        <v>31</v>
      </c>
      <c r="I791" s="2" t="s">
        <v>54</v>
      </c>
      <c r="J791" s="2" t="s">
        <v>2924</v>
      </c>
      <c r="K791" s="2" t="n">
        <v>10</v>
      </c>
      <c r="L791" s="2" t="s">
        <v>25</v>
      </c>
      <c r="M791" s="2" t="s">
        <v>42</v>
      </c>
      <c r="N791" s="4" t="n">
        <v>3456.4</v>
      </c>
      <c r="O791" s="2" t="str">
        <f aca="false">IF(COUNTIF($A$2:$A$1201,A791)&gt;1,"DUPLICATE","Unique")</f>
        <v>Unique</v>
      </c>
      <c r="P791" s="2" t="str">
        <f aca="false">IF(L791="","MISSING","OK")</f>
        <v>OK</v>
      </c>
      <c r="Q791" s="2" t="str">
        <f aca="false">IF(ISNUMBER(B791),"OK","BAD DATE")</f>
        <v>OK</v>
      </c>
      <c r="R791" s="2" t="str">
        <f aca="false">IF(ROUND(F791,2)=F791,"OK","FIX")</f>
        <v>OK</v>
      </c>
    </row>
    <row r="792" customFormat="false" ht="15" hidden="false" customHeight="false" outlineLevel="0" collapsed="false">
      <c r="A792" s="2" t="s">
        <v>2925</v>
      </c>
      <c r="B792" s="3" t="n">
        <v>45549</v>
      </c>
      <c r="C792" s="2" t="s">
        <v>2926</v>
      </c>
      <c r="D792" s="2" t="s">
        <v>62</v>
      </c>
      <c r="E792" s="2" t="n">
        <v>4</v>
      </c>
      <c r="F792" s="4" t="n">
        <v>417.89</v>
      </c>
      <c r="G792" s="2" t="s">
        <v>2927</v>
      </c>
      <c r="H792" s="2" t="s">
        <v>64</v>
      </c>
      <c r="I792" s="2" t="s">
        <v>93</v>
      </c>
      <c r="J792" s="2" t="s">
        <v>2928</v>
      </c>
      <c r="K792" s="2" t="n">
        <v>4</v>
      </c>
      <c r="L792" s="2"/>
      <c r="M792" s="2" t="s">
        <v>80</v>
      </c>
      <c r="N792" s="4" t="n">
        <v>1671.56</v>
      </c>
      <c r="O792" s="2" t="str">
        <f aca="false">IF(COUNTIF($A$2:$A$1201,A792)&gt;1,"DUPLICATE","Unique")</f>
        <v>Unique</v>
      </c>
      <c r="P792" s="2" t="str">
        <f aca="false">IF(L792="","MISSING","OK")</f>
        <v>MISSING</v>
      </c>
      <c r="Q792" s="2" t="str">
        <f aca="false">IF(ISNUMBER(B792),"OK","BAD DATE")</f>
        <v>OK</v>
      </c>
      <c r="R792" s="2" t="str">
        <f aca="false">IF(ROUND(F792,2)=F792,"OK","FIX")</f>
        <v>OK</v>
      </c>
    </row>
    <row r="793" customFormat="false" ht="15" hidden="false" customHeight="false" outlineLevel="0" collapsed="false">
      <c r="A793" s="2" t="s">
        <v>2929</v>
      </c>
      <c r="B793" s="3" t="n">
        <v>45304</v>
      </c>
      <c r="C793" s="2" t="s">
        <v>2930</v>
      </c>
      <c r="D793" s="2" t="s">
        <v>45</v>
      </c>
      <c r="E793" s="2" t="n">
        <v>4</v>
      </c>
      <c r="F793" s="4" t="n">
        <v>409.28</v>
      </c>
      <c r="G793" s="2" t="s">
        <v>141</v>
      </c>
      <c r="H793" s="2" t="s">
        <v>69</v>
      </c>
      <c r="I793" s="2" t="s">
        <v>93</v>
      </c>
      <c r="J793" s="2" t="s">
        <v>2931</v>
      </c>
      <c r="K793" s="2" t="n">
        <v>8</v>
      </c>
      <c r="L793" s="2"/>
      <c r="M793" s="2" t="s">
        <v>42</v>
      </c>
      <c r="N793" s="4" t="n">
        <v>1637.12</v>
      </c>
      <c r="O793" s="2" t="str">
        <f aca="false">IF(COUNTIF($A$2:$A$1201,A793)&gt;1,"DUPLICATE","Unique")</f>
        <v>Unique</v>
      </c>
      <c r="P793" s="2" t="str">
        <f aca="false">IF(L793="","MISSING","OK")</f>
        <v>MISSING</v>
      </c>
      <c r="Q793" s="2" t="str">
        <f aca="false">IF(ISNUMBER(B793),"OK","BAD DATE")</f>
        <v>OK</v>
      </c>
      <c r="R793" s="2" t="str">
        <f aca="false">IF(ROUND(F793,2)=F793,"OK","FIX")</f>
        <v>OK</v>
      </c>
    </row>
    <row r="794" customFormat="false" ht="15" hidden="false" customHeight="false" outlineLevel="0" collapsed="false">
      <c r="A794" s="2" t="s">
        <v>2932</v>
      </c>
      <c r="B794" s="3" t="n">
        <v>45093</v>
      </c>
      <c r="C794" s="2" t="s">
        <v>2933</v>
      </c>
      <c r="D794" s="2" t="s">
        <v>77</v>
      </c>
      <c r="E794" s="2" t="n">
        <v>2</v>
      </c>
      <c r="F794" s="4" t="n">
        <v>356.35</v>
      </c>
      <c r="G794" s="2" t="s">
        <v>2934</v>
      </c>
      <c r="H794" s="2" t="s">
        <v>22</v>
      </c>
      <c r="I794" s="2" t="s">
        <v>47</v>
      </c>
      <c r="J794" s="2" t="s">
        <v>2935</v>
      </c>
      <c r="K794" s="2" t="n">
        <v>6</v>
      </c>
      <c r="L794" s="2" t="s">
        <v>85</v>
      </c>
      <c r="M794" s="2" t="s">
        <v>49</v>
      </c>
      <c r="N794" s="4" t="n">
        <v>712.7</v>
      </c>
      <c r="O794" s="2" t="str">
        <f aca="false">IF(COUNTIF($A$2:$A$1201,A794)&gt;1,"DUPLICATE","Unique")</f>
        <v>Unique</v>
      </c>
      <c r="P794" s="2" t="str">
        <f aca="false">IF(L794="","MISSING","OK")</f>
        <v>OK</v>
      </c>
      <c r="Q794" s="2" t="str">
        <f aca="false">IF(ISNUMBER(B794),"OK","BAD DATE")</f>
        <v>OK</v>
      </c>
      <c r="R794" s="2" t="str">
        <f aca="false">IF(ROUND(F794,2)=F794,"OK","FIX")</f>
        <v>OK</v>
      </c>
    </row>
    <row r="795" customFormat="false" ht="15" hidden="false" customHeight="false" outlineLevel="0" collapsed="false">
      <c r="A795" s="2" t="s">
        <v>2936</v>
      </c>
      <c r="B795" s="3" t="n">
        <v>45397</v>
      </c>
      <c r="C795" s="2" t="s">
        <v>2937</v>
      </c>
      <c r="D795" s="2" t="s">
        <v>45</v>
      </c>
      <c r="E795" s="2" t="n">
        <v>5</v>
      </c>
      <c r="F795" s="4" t="n">
        <v>170.22</v>
      </c>
      <c r="G795" s="2" t="s">
        <v>1643</v>
      </c>
      <c r="H795" s="2" t="s">
        <v>22</v>
      </c>
      <c r="I795" s="2" t="s">
        <v>54</v>
      </c>
      <c r="J795" s="2" t="s">
        <v>2938</v>
      </c>
      <c r="K795" s="2" t="n">
        <v>8</v>
      </c>
      <c r="L795" s="2"/>
      <c r="M795" s="2" t="s">
        <v>33</v>
      </c>
      <c r="N795" s="4" t="n">
        <v>851.1</v>
      </c>
      <c r="O795" s="2" t="str">
        <f aca="false">IF(COUNTIF($A$2:$A$1201,A795)&gt;1,"DUPLICATE","Unique")</f>
        <v>Unique</v>
      </c>
      <c r="P795" s="2" t="str">
        <f aca="false">IF(L795="","MISSING","OK")</f>
        <v>MISSING</v>
      </c>
      <c r="Q795" s="2" t="str">
        <f aca="false">IF(ISNUMBER(B795),"OK","BAD DATE")</f>
        <v>OK</v>
      </c>
      <c r="R795" s="2" t="str">
        <f aca="false">IF(ROUND(F795,2)=F795,"OK","FIX")</f>
        <v>OK</v>
      </c>
    </row>
    <row r="796" customFormat="false" ht="15" hidden="false" customHeight="false" outlineLevel="0" collapsed="false">
      <c r="A796" s="2" t="s">
        <v>2939</v>
      </c>
      <c r="B796" s="3" t="n">
        <v>44994</v>
      </c>
      <c r="C796" s="2" t="s">
        <v>2940</v>
      </c>
      <c r="D796" s="2" t="s">
        <v>52</v>
      </c>
      <c r="E796" s="2" t="n">
        <v>4</v>
      </c>
      <c r="F796" s="4" t="n">
        <v>384.85</v>
      </c>
      <c r="G796" s="2" t="s">
        <v>2941</v>
      </c>
      <c r="H796" s="2" t="s">
        <v>31</v>
      </c>
      <c r="I796" s="2" t="s">
        <v>54</v>
      </c>
      <c r="J796" s="2" t="s">
        <v>2942</v>
      </c>
      <c r="K796" s="2" t="n">
        <v>9</v>
      </c>
      <c r="L796" s="2" t="s">
        <v>41</v>
      </c>
      <c r="M796" s="2" t="s">
        <v>26</v>
      </c>
      <c r="N796" s="4" t="n">
        <v>1539.4</v>
      </c>
      <c r="O796" s="2" t="str">
        <f aca="false">IF(COUNTIF($A$2:$A$1201,A796)&gt;1,"DUPLICATE","Unique")</f>
        <v>Unique</v>
      </c>
      <c r="P796" s="2" t="str">
        <f aca="false">IF(L796="","MISSING","OK")</f>
        <v>OK</v>
      </c>
      <c r="Q796" s="2" t="str">
        <f aca="false">IF(ISNUMBER(B796),"OK","BAD DATE")</f>
        <v>OK</v>
      </c>
      <c r="R796" s="2" t="str">
        <f aca="false">IF(ROUND(F796,2)=F796,"OK","FIX")</f>
        <v>OK</v>
      </c>
    </row>
    <row r="797" customFormat="false" ht="15" hidden="false" customHeight="false" outlineLevel="0" collapsed="false">
      <c r="A797" s="2" t="s">
        <v>2943</v>
      </c>
      <c r="B797" s="3" t="n">
        <v>45616</v>
      </c>
      <c r="C797" s="2" t="s">
        <v>2944</v>
      </c>
      <c r="D797" s="2" t="s">
        <v>62</v>
      </c>
      <c r="E797" s="2" t="n">
        <v>4</v>
      </c>
      <c r="F797" s="4" t="n">
        <v>115.77</v>
      </c>
      <c r="G797" s="2" t="s">
        <v>2945</v>
      </c>
      <c r="H797" s="2" t="s">
        <v>31</v>
      </c>
      <c r="I797" s="2" t="s">
        <v>93</v>
      </c>
      <c r="J797" s="2" t="s">
        <v>2946</v>
      </c>
      <c r="K797" s="2" t="n">
        <v>7</v>
      </c>
      <c r="L797" s="2" t="s">
        <v>25</v>
      </c>
      <c r="M797" s="2" t="s">
        <v>26</v>
      </c>
      <c r="N797" s="4" t="n">
        <v>463.08</v>
      </c>
      <c r="O797" s="2" t="str">
        <f aca="false">IF(COUNTIF($A$2:$A$1201,A797)&gt;1,"DUPLICATE","Unique")</f>
        <v>Unique</v>
      </c>
      <c r="P797" s="2" t="str">
        <f aca="false">IF(L797="","MISSING","OK")</f>
        <v>OK</v>
      </c>
      <c r="Q797" s="2" t="str">
        <f aca="false">IF(ISNUMBER(B797),"OK","BAD DATE")</f>
        <v>OK</v>
      </c>
      <c r="R797" s="2" t="str">
        <f aca="false">IF(ROUND(F797,2)=F797,"OK","FIX")</f>
        <v>OK</v>
      </c>
    </row>
    <row r="798" customFormat="false" ht="15" hidden="false" customHeight="false" outlineLevel="0" collapsed="false">
      <c r="A798" s="2" t="s">
        <v>2947</v>
      </c>
      <c r="B798" s="3" t="n">
        <v>45776</v>
      </c>
      <c r="C798" s="2" t="s">
        <v>2948</v>
      </c>
      <c r="D798" s="2" t="s">
        <v>29</v>
      </c>
      <c r="E798" s="2" t="n">
        <v>3</v>
      </c>
      <c r="F798" s="4" t="n">
        <v>579.55</v>
      </c>
      <c r="G798" s="2" t="s">
        <v>888</v>
      </c>
      <c r="H798" s="2" t="s">
        <v>64</v>
      </c>
      <c r="I798" s="2" t="s">
        <v>47</v>
      </c>
      <c r="J798" s="2" t="s">
        <v>2949</v>
      </c>
      <c r="K798" s="2" t="n">
        <v>8</v>
      </c>
      <c r="L798" s="2" t="s">
        <v>85</v>
      </c>
      <c r="M798" s="2" t="s">
        <v>49</v>
      </c>
      <c r="N798" s="4" t="n">
        <v>1738.65</v>
      </c>
      <c r="O798" s="2" t="str">
        <f aca="false">IF(COUNTIF($A$2:$A$1201,A798)&gt;1,"DUPLICATE","Unique")</f>
        <v>Unique</v>
      </c>
      <c r="P798" s="2" t="str">
        <f aca="false">IF(L798="","MISSING","OK")</f>
        <v>OK</v>
      </c>
      <c r="Q798" s="2" t="str">
        <f aca="false">IF(ISNUMBER(B798),"OK","BAD DATE")</f>
        <v>OK</v>
      </c>
      <c r="R798" s="2" t="str">
        <f aca="false">IF(ROUND(F798,2)=F798,"OK","FIX")</f>
        <v>OK</v>
      </c>
    </row>
    <row r="799" customFormat="false" ht="15" hidden="false" customHeight="false" outlineLevel="0" collapsed="false">
      <c r="A799" s="2" t="s">
        <v>2950</v>
      </c>
      <c r="B799" s="3" t="n">
        <v>44984</v>
      </c>
      <c r="C799" s="2" t="s">
        <v>2951</v>
      </c>
      <c r="D799" s="2" t="s">
        <v>62</v>
      </c>
      <c r="E799" s="2" t="n">
        <v>2</v>
      </c>
      <c r="F799" s="4" t="n">
        <v>438.76</v>
      </c>
      <c r="G799" s="2" t="s">
        <v>2952</v>
      </c>
      <c r="H799" s="2" t="s">
        <v>22</v>
      </c>
      <c r="I799" s="2" t="s">
        <v>47</v>
      </c>
      <c r="J799" s="2" t="s">
        <v>2953</v>
      </c>
      <c r="K799" s="2" t="n">
        <v>2</v>
      </c>
      <c r="L799" s="2"/>
      <c r="M799" s="2" t="s">
        <v>49</v>
      </c>
      <c r="N799" s="4" t="n">
        <v>877.52</v>
      </c>
      <c r="O799" s="2" t="str">
        <f aca="false">IF(COUNTIF($A$2:$A$1201,A799)&gt;1,"DUPLICATE","Unique")</f>
        <v>Unique</v>
      </c>
      <c r="P799" s="2" t="str">
        <f aca="false">IF(L799="","MISSING","OK")</f>
        <v>MISSING</v>
      </c>
      <c r="Q799" s="2" t="str">
        <f aca="false">IF(ISNUMBER(B799),"OK","BAD DATE")</f>
        <v>OK</v>
      </c>
      <c r="R799" s="2" t="str">
        <f aca="false">IF(ROUND(F799,2)=F799,"OK","FIX")</f>
        <v>OK</v>
      </c>
    </row>
    <row r="800" customFormat="false" ht="15" hidden="false" customHeight="false" outlineLevel="0" collapsed="false">
      <c r="A800" s="2" t="s">
        <v>2954</v>
      </c>
      <c r="B800" s="3" t="n">
        <v>45796</v>
      </c>
      <c r="C800" s="2" t="s">
        <v>2955</v>
      </c>
      <c r="D800" s="2" t="s">
        <v>29</v>
      </c>
      <c r="E800" s="2" t="n">
        <v>5</v>
      </c>
      <c r="F800" s="4" t="n">
        <v>488.35</v>
      </c>
      <c r="G800" s="2" t="s">
        <v>1237</v>
      </c>
      <c r="H800" s="2" t="s">
        <v>22</v>
      </c>
      <c r="I800" s="2" t="s">
        <v>47</v>
      </c>
      <c r="J800" s="2" t="s">
        <v>2956</v>
      </c>
      <c r="K800" s="2" t="n">
        <v>9</v>
      </c>
      <c r="L800" s="2" t="s">
        <v>41</v>
      </c>
      <c r="M800" s="2" t="s">
        <v>42</v>
      </c>
      <c r="N800" s="4" t="n">
        <v>2441.75</v>
      </c>
      <c r="O800" s="2" t="str">
        <f aca="false">IF(COUNTIF($A$2:$A$1201,A800)&gt;1,"DUPLICATE","Unique")</f>
        <v>Unique</v>
      </c>
      <c r="P800" s="2" t="str">
        <f aca="false">IF(L800="","MISSING","OK")</f>
        <v>OK</v>
      </c>
      <c r="Q800" s="2" t="str">
        <f aca="false">IF(ISNUMBER(B800),"OK","BAD DATE")</f>
        <v>OK</v>
      </c>
      <c r="R800" s="2" t="str">
        <f aca="false">IF(ROUND(F800,2)=F800,"OK","FIX")</f>
        <v>OK</v>
      </c>
    </row>
    <row r="801" customFormat="false" ht="15" hidden="false" customHeight="false" outlineLevel="0" collapsed="false">
      <c r="A801" s="2" t="s">
        <v>2957</v>
      </c>
      <c r="B801" s="3" t="n">
        <v>45032</v>
      </c>
      <c r="C801" s="2" t="s">
        <v>2958</v>
      </c>
      <c r="D801" s="2" t="s">
        <v>62</v>
      </c>
      <c r="E801" s="2" t="n">
        <v>4</v>
      </c>
      <c r="F801" s="4" t="n">
        <v>328.56</v>
      </c>
      <c r="G801" s="2" t="s">
        <v>1074</v>
      </c>
      <c r="H801" s="2" t="s">
        <v>22</v>
      </c>
      <c r="I801" s="2" t="s">
        <v>47</v>
      </c>
      <c r="J801" s="2" t="s">
        <v>2959</v>
      </c>
      <c r="K801" s="2" t="n">
        <v>4</v>
      </c>
      <c r="L801" s="2" t="s">
        <v>41</v>
      </c>
      <c r="M801" s="2" t="s">
        <v>42</v>
      </c>
      <c r="N801" s="4" t="n">
        <v>1314.24</v>
      </c>
      <c r="O801" s="2" t="str">
        <f aca="false">IF(COUNTIF($A$2:$A$1201,A801)&gt;1,"DUPLICATE","Unique")</f>
        <v>Unique</v>
      </c>
      <c r="P801" s="2" t="str">
        <f aca="false">IF(L801="","MISSING","OK")</f>
        <v>OK</v>
      </c>
      <c r="Q801" s="2" t="str">
        <f aca="false">IF(ISNUMBER(B801),"OK","BAD DATE")</f>
        <v>OK</v>
      </c>
      <c r="R801" s="2" t="str">
        <f aca="false">IF(ROUND(F801,2)=F801,"OK","FIX")</f>
        <v>OK</v>
      </c>
    </row>
    <row r="802" customFormat="false" ht="15" hidden="false" customHeight="false" outlineLevel="0" collapsed="false">
      <c r="A802" s="2" t="s">
        <v>2960</v>
      </c>
      <c r="B802" s="3" t="n">
        <v>45744</v>
      </c>
      <c r="C802" s="2" t="s">
        <v>2961</v>
      </c>
      <c r="D802" s="2" t="s">
        <v>36</v>
      </c>
      <c r="E802" s="2" t="n">
        <v>1</v>
      </c>
      <c r="F802" s="4" t="n">
        <v>68.39</v>
      </c>
      <c r="G802" s="2" t="s">
        <v>2962</v>
      </c>
      <c r="H802" s="2" t="s">
        <v>31</v>
      </c>
      <c r="I802" s="2" t="s">
        <v>47</v>
      </c>
      <c r="J802" s="2" t="s">
        <v>2963</v>
      </c>
      <c r="K802" s="2" t="n">
        <v>3</v>
      </c>
      <c r="L802" s="2" t="s">
        <v>85</v>
      </c>
      <c r="M802" s="2" t="s">
        <v>49</v>
      </c>
      <c r="N802" s="4" t="n">
        <v>68.39</v>
      </c>
      <c r="O802" s="2" t="str">
        <f aca="false">IF(COUNTIF($A$2:$A$1201,A802)&gt;1,"DUPLICATE","Unique")</f>
        <v>Unique</v>
      </c>
      <c r="P802" s="2" t="str">
        <f aca="false">IF(L802="","MISSING","OK")</f>
        <v>OK</v>
      </c>
      <c r="Q802" s="2" t="str">
        <f aca="false">IF(ISNUMBER(B802),"OK","BAD DATE")</f>
        <v>OK</v>
      </c>
      <c r="R802" s="2" t="str">
        <f aca="false">IF(ROUND(F802,2)=F802,"OK","FIX")</f>
        <v>OK</v>
      </c>
    </row>
    <row r="803" customFormat="false" ht="15" hidden="false" customHeight="false" outlineLevel="0" collapsed="false">
      <c r="A803" s="2" t="s">
        <v>2964</v>
      </c>
      <c r="B803" s="3" t="n">
        <v>45049</v>
      </c>
      <c r="C803" s="2" t="s">
        <v>152</v>
      </c>
      <c r="D803" s="2" t="s">
        <v>52</v>
      </c>
      <c r="E803" s="2" t="n">
        <v>4</v>
      </c>
      <c r="F803" s="4" t="n">
        <v>595.62</v>
      </c>
      <c r="G803" s="2" t="s">
        <v>2965</v>
      </c>
      <c r="H803" s="2" t="s">
        <v>22</v>
      </c>
      <c r="I803" s="2" t="s">
        <v>93</v>
      </c>
      <c r="J803" s="2" t="s">
        <v>2966</v>
      </c>
      <c r="K803" s="2" t="n">
        <v>8</v>
      </c>
      <c r="L803" s="2" t="s">
        <v>41</v>
      </c>
      <c r="M803" s="2" t="s">
        <v>49</v>
      </c>
      <c r="N803" s="4" t="n">
        <v>2382.48</v>
      </c>
      <c r="O803" s="2" t="str">
        <f aca="false">IF(COUNTIF($A$2:$A$1201,A803)&gt;1,"DUPLICATE","Unique")</f>
        <v>Unique</v>
      </c>
      <c r="P803" s="2" t="str">
        <f aca="false">IF(L803="","MISSING","OK")</f>
        <v>OK</v>
      </c>
      <c r="Q803" s="2" t="str">
        <f aca="false">IF(ISNUMBER(B803),"OK","BAD DATE")</f>
        <v>OK</v>
      </c>
      <c r="R803" s="2" t="str">
        <f aca="false">IF(ROUND(F803,2)=F803,"OK","FIX")</f>
        <v>OK</v>
      </c>
    </row>
    <row r="804" customFormat="false" ht="15" hidden="false" customHeight="false" outlineLevel="0" collapsed="false">
      <c r="A804" s="2" t="s">
        <v>2967</v>
      </c>
      <c r="B804" s="3" t="n">
        <v>45339</v>
      </c>
      <c r="C804" s="2" t="s">
        <v>2968</v>
      </c>
      <c r="D804" s="2" t="s">
        <v>45</v>
      </c>
      <c r="E804" s="2" t="n">
        <v>5</v>
      </c>
      <c r="F804" s="4" t="n">
        <v>644.64</v>
      </c>
      <c r="G804" s="2" t="s">
        <v>2969</v>
      </c>
      <c r="H804" s="2" t="s">
        <v>64</v>
      </c>
      <c r="I804" s="2" t="s">
        <v>39</v>
      </c>
      <c r="J804" s="2" t="s">
        <v>2970</v>
      </c>
      <c r="K804" s="2" t="n">
        <v>6</v>
      </c>
      <c r="L804" s="2" t="s">
        <v>41</v>
      </c>
      <c r="M804" s="2" t="s">
        <v>42</v>
      </c>
      <c r="N804" s="4" t="n">
        <v>3223.2</v>
      </c>
      <c r="O804" s="2" t="str">
        <f aca="false">IF(COUNTIF($A$2:$A$1201,A804)&gt;1,"DUPLICATE","Unique")</f>
        <v>Unique</v>
      </c>
      <c r="P804" s="2" t="str">
        <f aca="false">IF(L804="","MISSING","OK")</f>
        <v>OK</v>
      </c>
      <c r="Q804" s="2" t="str">
        <f aca="false">IF(ISNUMBER(B804),"OK","BAD DATE")</f>
        <v>OK</v>
      </c>
      <c r="R804" s="2" t="str">
        <f aca="false">IF(ROUND(F804,2)=F804,"OK","FIX")</f>
        <v>OK</v>
      </c>
    </row>
    <row r="805" customFormat="false" ht="15" hidden="false" customHeight="false" outlineLevel="0" collapsed="false">
      <c r="A805" s="2" t="s">
        <v>2971</v>
      </c>
      <c r="B805" s="3" t="n">
        <v>45158</v>
      </c>
      <c r="C805" s="2" t="s">
        <v>2972</v>
      </c>
      <c r="D805" s="2" t="s">
        <v>20</v>
      </c>
      <c r="E805" s="2" t="n">
        <v>5</v>
      </c>
      <c r="F805" s="4" t="n">
        <v>397.81</v>
      </c>
      <c r="G805" s="2" t="s">
        <v>227</v>
      </c>
      <c r="H805" s="2" t="s">
        <v>22</v>
      </c>
      <c r="I805" s="2" t="s">
        <v>47</v>
      </c>
      <c r="J805" s="2" t="s">
        <v>2973</v>
      </c>
      <c r="K805" s="2" t="n">
        <v>5</v>
      </c>
      <c r="L805" s="2" t="s">
        <v>25</v>
      </c>
      <c r="M805" s="2" t="s">
        <v>33</v>
      </c>
      <c r="N805" s="4" t="n">
        <v>1989.05</v>
      </c>
      <c r="O805" s="2" t="str">
        <f aca="false">IF(COUNTIF($A$2:$A$1201,A805)&gt;1,"DUPLICATE","Unique")</f>
        <v>Unique</v>
      </c>
      <c r="P805" s="2" t="str">
        <f aca="false">IF(L805="","MISSING","OK")</f>
        <v>OK</v>
      </c>
      <c r="Q805" s="2" t="str">
        <f aca="false">IF(ISNUMBER(B805),"OK","BAD DATE")</f>
        <v>OK</v>
      </c>
      <c r="R805" s="2" t="str">
        <f aca="false">IF(ROUND(F805,2)=F805,"OK","FIX")</f>
        <v>OK</v>
      </c>
    </row>
    <row r="806" customFormat="false" ht="15" hidden="false" customHeight="false" outlineLevel="0" collapsed="false">
      <c r="A806" s="2" t="s">
        <v>2974</v>
      </c>
      <c r="B806" s="3" t="n">
        <v>45292</v>
      </c>
      <c r="C806" s="2" t="s">
        <v>2975</v>
      </c>
      <c r="D806" s="2" t="s">
        <v>45</v>
      </c>
      <c r="E806" s="2" t="n">
        <v>3</v>
      </c>
      <c r="F806" s="4" t="n">
        <v>236.5</v>
      </c>
      <c r="G806" s="2" t="s">
        <v>2976</v>
      </c>
      <c r="H806" s="2" t="s">
        <v>31</v>
      </c>
      <c r="I806" s="2" t="s">
        <v>54</v>
      </c>
      <c r="J806" s="2" t="s">
        <v>2977</v>
      </c>
      <c r="K806" s="2" t="n">
        <v>8</v>
      </c>
      <c r="L806" s="2" t="s">
        <v>41</v>
      </c>
      <c r="M806" s="2" t="s">
        <v>42</v>
      </c>
      <c r="N806" s="4" t="n">
        <v>709.5</v>
      </c>
      <c r="O806" s="2" t="str">
        <f aca="false">IF(COUNTIF($A$2:$A$1201,A806)&gt;1,"DUPLICATE","Unique")</f>
        <v>Unique</v>
      </c>
      <c r="P806" s="2" t="str">
        <f aca="false">IF(L806="","MISSING","OK")</f>
        <v>OK</v>
      </c>
      <c r="Q806" s="2" t="str">
        <f aca="false">IF(ISNUMBER(B806),"OK","BAD DATE")</f>
        <v>OK</v>
      </c>
      <c r="R806" s="2" t="str">
        <f aca="false">IF(ROUND(F806,2)=F806,"OK","FIX")</f>
        <v>OK</v>
      </c>
    </row>
    <row r="807" customFormat="false" ht="15" hidden="false" customHeight="false" outlineLevel="0" collapsed="false">
      <c r="A807" s="2" t="s">
        <v>2978</v>
      </c>
      <c r="B807" s="3" t="n">
        <v>45580</v>
      </c>
      <c r="C807" s="2" t="s">
        <v>2979</v>
      </c>
      <c r="D807" s="2" t="s">
        <v>62</v>
      </c>
      <c r="E807" s="2" t="n">
        <v>5</v>
      </c>
      <c r="F807" s="4" t="n">
        <v>472.01</v>
      </c>
      <c r="G807" s="2" t="s">
        <v>2980</v>
      </c>
      <c r="H807" s="2" t="s">
        <v>64</v>
      </c>
      <c r="I807" s="2" t="s">
        <v>39</v>
      </c>
      <c r="J807" s="2" t="s">
        <v>2981</v>
      </c>
      <c r="K807" s="2" t="n">
        <v>10</v>
      </c>
      <c r="L807" s="2" t="s">
        <v>25</v>
      </c>
      <c r="M807" s="2" t="s">
        <v>42</v>
      </c>
      <c r="N807" s="4" t="n">
        <v>2360.05</v>
      </c>
      <c r="O807" s="2" t="str">
        <f aca="false">IF(COUNTIF($A$2:$A$1201,A807)&gt;1,"DUPLICATE","Unique")</f>
        <v>Unique</v>
      </c>
      <c r="P807" s="2" t="str">
        <f aca="false">IF(L807="","MISSING","OK")</f>
        <v>OK</v>
      </c>
      <c r="Q807" s="2" t="str">
        <f aca="false">IF(ISNUMBER(B807),"OK","BAD DATE")</f>
        <v>OK</v>
      </c>
      <c r="R807" s="2" t="str">
        <f aca="false">IF(ROUND(F807,2)=F807,"OK","FIX")</f>
        <v>OK</v>
      </c>
    </row>
    <row r="808" customFormat="false" ht="15" hidden="false" customHeight="false" outlineLevel="0" collapsed="false">
      <c r="A808" s="2" t="s">
        <v>2982</v>
      </c>
      <c r="B808" s="3" t="n">
        <v>45170</v>
      </c>
      <c r="C808" s="2" t="s">
        <v>2983</v>
      </c>
      <c r="D808" s="2" t="s">
        <v>45</v>
      </c>
      <c r="E808" s="2" t="n">
        <v>5</v>
      </c>
      <c r="F808" s="4" t="n">
        <v>253.75</v>
      </c>
      <c r="G808" s="2" t="s">
        <v>1125</v>
      </c>
      <c r="H808" s="2" t="s">
        <v>31</v>
      </c>
      <c r="I808" s="2" t="s">
        <v>93</v>
      </c>
      <c r="J808" s="2" t="s">
        <v>2984</v>
      </c>
      <c r="K808" s="2" t="n">
        <v>9</v>
      </c>
      <c r="L808" s="2" t="s">
        <v>85</v>
      </c>
      <c r="M808" s="2" t="s">
        <v>26</v>
      </c>
      <c r="N808" s="4" t="n">
        <v>1268.75</v>
      </c>
      <c r="O808" s="2" t="str">
        <f aca="false">IF(COUNTIF($A$2:$A$1201,A808)&gt;1,"DUPLICATE","Unique")</f>
        <v>Unique</v>
      </c>
      <c r="P808" s="2" t="str">
        <f aca="false">IF(L808="","MISSING","OK")</f>
        <v>OK</v>
      </c>
      <c r="Q808" s="2" t="str">
        <f aca="false">IF(ISNUMBER(B808),"OK","BAD DATE")</f>
        <v>OK</v>
      </c>
      <c r="R808" s="2" t="str">
        <f aca="false">IF(ROUND(F808,2)=F808,"OK","FIX")</f>
        <v>OK</v>
      </c>
    </row>
    <row r="809" customFormat="false" ht="15" hidden="false" customHeight="false" outlineLevel="0" collapsed="false">
      <c r="A809" s="2" t="s">
        <v>2985</v>
      </c>
      <c r="B809" s="3" t="n">
        <v>45606</v>
      </c>
      <c r="C809" s="2" t="s">
        <v>2986</v>
      </c>
      <c r="D809" s="2" t="s">
        <v>20</v>
      </c>
      <c r="E809" s="2" t="n">
        <v>3</v>
      </c>
      <c r="F809" s="4" t="n">
        <v>676.21</v>
      </c>
      <c r="G809" s="2" t="s">
        <v>2987</v>
      </c>
      <c r="H809" s="2" t="s">
        <v>31</v>
      </c>
      <c r="I809" s="2" t="s">
        <v>54</v>
      </c>
      <c r="J809" s="2" t="s">
        <v>2988</v>
      </c>
      <c r="K809" s="2" t="n">
        <v>5</v>
      </c>
      <c r="L809" s="2" t="s">
        <v>25</v>
      </c>
      <c r="M809" s="2" t="s">
        <v>80</v>
      </c>
      <c r="N809" s="4" t="n">
        <v>2028.63</v>
      </c>
      <c r="O809" s="2" t="str">
        <f aca="false">IF(COUNTIF($A$2:$A$1201,A809)&gt;1,"DUPLICATE","Unique")</f>
        <v>Unique</v>
      </c>
      <c r="P809" s="2" t="str">
        <f aca="false">IF(L809="","MISSING","OK")</f>
        <v>OK</v>
      </c>
      <c r="Q809" s="2" t="str">
        <f aca="false">IF(ISNUMBER(B809),"OK","BAD DATE")</f>
        <v>OK</v>
      </c>
      <c r="R809" s="2" t="str">
        <f aca="false">IF(ROUND(F809,2)=F809,"OK","FIX")</f>
        <v>OK</v>
      </c>
    </row>
    <row r="810" customFormat="false" ht="15" hidden="false" customHeight="false" outlineLevel="0" collapsed="false">
      <c r="A810" s="2" t="s">
        <v>2989</v>
      </c>
      <c r="B810" s="3" t="n">
        <v>45335</v>
      </c>
      <c r="C810" s="2" t="s">
        <v>2990</v>
      </c>
      <c r="D810" s="2" t="s">
        <v>77</v>
      </c>
      <c r="E810" s="2" t="n">
        <v>3</v>
      </c>
      <c r="F810" s="4" t="n">
        <v>134.05</v>
      </c>
      <c r="G810" s="2" t="s">
        <v>2991</v>
      </c>
      <c r="H810" s="2" t="s">
        <v>38</v>
      </c>
      <c r="I810" s="2" t="s">
        <v>23</v>
      </c>
      <c r="J810" s="2" t="s">
        <v>2992</v>
      </c>
      <c r="K810" s="2" t="n">
        <v>3</v>
      </c>
      <c r="L810" s="2"/>
      <c r="M810" s="2" t="s">
        <v>80</v>
      </c>
      <c r="N810" s="4" t="n">
        <v>402.15</v>
      </c>
      <c r="O810" s="2" t="str">
        <f aca="false">IF(COUNTIF($A$2:$A$1201,A810)&gt;1,"DUPLICATE","Unique")</f>
        <v>Unique</v>
      </c>
      <c r="P810" s="2" t="str">
        <f aca="false">IF(L810="","MISSING","OK")</f>
        <v>MISSING</v>
      </c>
      <c r="Q810" s="2" t="str">
        <f aca="false">IF(ISNUMBER(B810),"OK","BAD DATE")</f>
        <v>OK</v>
      </c>
      <c r="R810" s="2" t="str">
        <f aca="false">IF(ROUND(F810,2)=F810,"OK","FIX")</f>
        <v>OK</v>
      </c>
    </row>
    <row r="811" customFormat="false" ht="15" hidden="false" customHeight="false" outlineLevel="0" collapsed="false">
      <c r="A811" s="2" t="s">
        <v>2993</v>
      </c>
      <c r="B811" s="3" t="n">
        <v>45391</v>
      </c>
      <c r="C811" s="2" t="s">
        <v>2994</v>
      </c>
      <c r="D811" s="2" t="s">
        <v>77</v>
      </c>
      <c r="E811" s="2" t="n">
        <v>5</v>
      </c>
      <c r="F811" s="4" t="n">
        <v>217.43</v>
      </c>
      <c r="G811" s="2" t="s">
        <v>297</v>
      </c>
      <c r="H811" s="2" t="s">
        <v>22</v>
      </c>
      <c r="I811" s="2" t="s">
        <v>23</v>
      </c>
      <c r="J811" s="2" t="s">
        <v>2995</v>
      </c>
      <c r="K811" s="2" t="n">
        <v>10</v>
      </c>
      <c r="L811" s="2" t="s">
        <v>25</v>
      </c>
      <c r="M811" s="2" t="s">
        <v>26</v>
      </c>
      <c r="N811" s="4" t="n">
        <v>1087.15</v>
      </c>
      <c r="O811" s="2" t="str">
        <f aca="false">IF(COUNTIF($A$2:$A$1201,A811)&gt;1,"DUPLICATE","Unique")</f>
        <v>Unique</v>
      </c>
      <c r="P811" s="2" t="str">
        <f aca="false">IF(L811="","MISSING","OK")</f>
        <v>OK</v>
      </c>
      <c r="Q811" s="2" t="str">
        <f aca="false">IF(ISNUMBER(B811),"OK","BAD DATE")</f>
        <v>OK</v>
      </c>
      <c r="R811" s="2" t="str">
        <f aca="false">IF(ROUND(F811,2)=F811,"OK","FIX")</f>
        <v>OK</v>
      </c>
    </row>
    <row r="812" customFormat="false" ht="15" hidden="false" customHeight="false" outlineLevel="0" collapsed="false">
      <c r="A812" s="2" t="s">
        <v>2996</v>
      </c>
      <c r="B812" s="3" t="n">
        <v>45077</v>
      </c>
      <c r="C812" s="2" t="s">
        <v>2997</v>
      </c>
      <c r="D812" s="2" t="s">
        <v>36</v>
      </c>
      <c r="E812" s="2" t="n">
        <v>1</v>
      </c>
      <c r="F812" s="4" t="n">
        <v>553.56</v>
      </c>
      <c r="G812" s="2" t="s">
        <v>2998</v>
      </c>
      <c r="H812" s="2" t="s">
        <v>38</v>
      </c>
      <c r="I812" s="2" t="s">
        <v>39</v>
      </c>
      <c r="J812" s="2" t="s">
        <v>2999</v>
      </c>
      <c r="K812" s="2" t="n">
        <v>5</v>
      </c>
      <c r="L812" s="2"/>
      <c r="M812" s="2" t="s">
        <v>33</v>
      </c>
      <c r="N812" s="4" t="n">
        <v>553.56</v>
      </c>
      <c r="O812" s="2" t="str">
        <f aca="false">IF(COUNTIF($A$2:$A$1201,A812)&gt;1,"DUPLICATE","Unique")</f>
        <v>Unique</v>
      </c>
      <c r="P812" s="2" t="str">
        <f aca="false">IF(L812="","MISSING","OK")</f>
        <v>MISSING</v>
      </c>
      <c r="Q812" s="2" t="str">
        <f aca="false">IF(ISNUMBER(B812),"OK","BAD DATE")</f>
        <v>OK</v>
      </c>
      <c r="R812" s="2" t="str">
        <f aca="false">IF(ROUND(F812,2)=F812,"OK","FIX")</f>
        <v>OK</v>
      </c>
    </row>
    <row r="813" customFormat="false" ht="15" hidden="false" customHeight="false" outlineLevel="0" collapsed="false">
      <c r="A813" s="2" t="s">
        <v>3000</v>
      </c>
      <c r="B813" s="3" t="n">
        <v>45235</v>
      </c>
      <c r="C813" s="2" t="s">
        <v>3001</v>
      </c>
      <c r="D813" s="2" t="s">
        <v>62</v>
      </c>
      <c r="E813" s="2" t="n">
        <v>2</v>
      </c>
      <c r="F813" s="4" t="n">
        <v>28.55</v>
      </c>
      <c r="G813" s="2" t="s">
        <v>2798</v>
      </c>
      <c r="H813" s="2" t="s">
        <v>64</v>
      </c>
      <c r="I813" s="2" t="s">
        <v>23</v>
      </c>
      <c r="J813" s="2" t="s">
        <v>3002</v>
      </c>
      <c r="K813" s="2" t="n">
        <v>7</v>
      </c>
      <c r="L813" s="2" t="s">
        <v>25</v>
      </c>
      <c r="M813" s="2" t="s">
        <v>42</v>
      </c>
      <c r="N813" s="4" t="n">
        <v>57.1</v>
      </c>
      <c r="O813" s="2" t="str">
        <f aca="false">IF(COUNTIF($A$2:$A$1201,A813)&gt;1,"DUPLICATE","Unique")</f>
        <v>Unique</v>
      </c>
      <c r="P813" s="2" t="str">
        <f aca="false">IF(L813="","MISSING","OK")</f>
        <v>OK</v>
      </c>
      <c r="Q813" s="2" t="str">
        <f aca="false">IF(ISNUMBER(B813),"OK","BAD DATE")</f>
        <v>OK</v>
      </c>
      <c r="R813" s="2" t="str">
        <f aca="false">IF(ROUND(F813,2)=F813,"OK","FIX")</f>
        <v>OK</v>
      </c>
    </row>
    <row r="814" customFormat="false" ht="15" hidden="false" customHeight="false" outlineLevel="0" collapsed="false">
      <c r="A814" s="2" t="s">
        <v>3003</v>
      </c>
      <c r="B814" s="3" t="n">
        <v>45317</v>
      </c>
      <c r="C814" s="2" t="s">
        <v>3004</v>
      </c>
      <c r="D814" s="2" t="s">
        <v>29</v>
      </c>
      <c r="E814" s="2" t="n">
        <v>2</v>
      </c>
      <c r="F814" s="4" t="n">
        <v>255.26</v>
      </c>
      <c r="G814" s="2" t="s">
        <v>1074</v>
      </c>
      <c r="H814" s="2" t="s">
        <v>38</v>
      </c>
      <c r="I814" s="2" t="s">
        <v>39</v>
      </c>
      <c r="J814" s="2" t="s">
        <v>3005</v>
      </c>
      <c r="K814" s="2" t="n">
        <v>6</v>
      </c>
      <c r="L814" s="2" t="s">
        <v>41</v>
      </c>
      <c r="M814" s="2" t="s">
        <v>80</v>
      </c>
      <c r="N814" s="4" t="n">
        <v>510.52</v>
      </c>
      <c r="O814" s="2" t="str">
        <f aca="false">IF(COUNTIF($A$2:$A$1201,A814)&gt;1,"DUPLICATE","Unique")</f>
        <v>Unique</v>
      </c>
      <c r="P814" s="2" t="str">
        <f aca="false">IF(L814="","MISSING","OK")</f>
        <v>OK</v>
      </c>
      <c r="Q814" s="2" t="str">
        <f aca="false">IF(ISNUMBER(B814),"OK","BAD DATE")</f>
        <v>OK</v>
      </c>
      <c r="R814" s="2" t="str">
        <f aca="false">IF(ROUND(F814,2)=F814,"OK","FIX")</f>
        <v>OK</v>
      </c>
    </row>
    <row r="815" customFormat="false" ht="15" hidden="false" customHeight="false" outlineLevel="0" collapsed="false">
      <c r="A815" s="2" t="s">
        <v>3006</v>
      </c>
      <c r="B815" s="3" t="n">
        <v>45731</v>
      </c>
      <c r="C815" s="2" t="s">
        <v>3007</v>
      </c>
      <c r="D815" s="2" t="s">
        <v>62</v>
      </c>
      <c r="E815" s="2" t="n">
        <v>5</v>
      </c>
      <c r="F815" s="4" t="n">
        <v>292.54</v>
      </c>
      <c r="G815" s="2" t="s">
        <v>1121</v>
      </c>
      <c r="H815" s="2" t="s">
        <v>22</v>
      </c>
      <c r="I815" s="2" t="s">
        <v>39</v>
      </c>
      <c r="J815" s="2" t="s">
        <v>3008</v>
      </c>
      <c r="K815" s="2" t="n">
        <v>8</v>
      </c>
      <c r="L815" s="2" t="s">
        <v>41</v>
      </c>
      <c r="M815" s="2" t="s">
        <v>42</v>
      </c>
      <c r="N815" s="4" t="n">
        <v>1462.7</v>
      </c>
      <c r="O815" s="2" t="str">
        <f aca="false">IF(COUNTIF($A$2:$A$1201,A815)&gt;1,"DUPLICATE","Unique")</f>
        <v>Unique</v>
      </c>
      <c r="P815" s="2" t="str">
        <f aca="false">IF(L815="","MISSING","OK")</f>
        <v>OK</v>
      </c>
      <c r="Q815" s="2" t="str">
        <f aca="false">IF(ISNUMBER(B815),"OK","BAD DATE")</f>
        <v>OK</v>
      </c>
      <c r="R815" s="2" t="str">
        <f aca="false">IF(ROUND(F815,2)=F815,"OK","FIX")</f>
        <v>OK</v>
      </c>
    </row>
    <row r="816" customFormat="false" ht="15" hidden="false" customHeight="false" outlineLevel="0" collapsed="false">
      <c r="A816" s="2" t="s">
        <v>3009</v>
      </c>
      <c r="B816" s="3" t="n">
        <v>45637</v>
      </c>
      <c r="C816" s="2" t="s">
        <v>3010</v>
      </c>
      <c r="D816" s="2" t="s">
        <v>45</v>
      </c>
      <c r="E816" s="2" t="n">
        <v>4</v>
      </c>
      <c r="F816" s="4" t="n">
        <v>147.51</v>
      </c>
      <c r="G816" s="2" t="s">
        <v>3011</v>
      </c>
      <c r="H816" s="2" t="s">
        <v>22</v>
      </c>
      <c r="I816" s="2" t="s">
        <v>93</v>
      </c>
      <c r="J816" s="2" t="s">
        <v>3012</v>
      </c>
      <c r="K816" s="2" t="n">
        <v>4</v>
      </c>
      <c r="L816" s="2" t="s">
        <v>85</v>
      </c>
      <c r="M816" s="2" t="s">
        <v>26</v>
      </c>
      <c r="N816" s="4" t="n">
        <v>590.04</v>
      </c>
      <c r="O816" s="2" t="str">
        <f aca="false">IF(COUNTIF($A$2:$A$1201,A816)&gt;1,"DUPLICATE","Unique")</f>
        <v>Unique</v>
      </c>
      <c r="P816" s="2" t="str">
        <f aca="false">IF(L816="","MISSING","OK")</f>
        <v>OK</v>
      </c>
      <c r="Q816" s="2" t="str">
        <f aca="false">IF(ISNUMBER(B816),"OK","BAD DATE")</f>
        <v>OK</v>
      </c>
      <c r="R816" s="2" t="str">
        <f aca="false">IF(ROUND(F816,2)=F816,"OK","FIX")</f>
        <v>OK</v>
      </c>
    </row>
    <row r="817" customFormat="false" ht="15" hidden="false" customHeight="false" outlineLevel="0" collapsed="false">
      <c r="A817" s="2" t="s">
        <v>3013</v>
      </c>
      <c r="B817" s="3" t="n">
        <v>45508</v>
      </c>
      <c r="C817" s="2" t="s">
        <v>3014</v>
      </c>
      <c r="D817" s="2" t="s">
        <v>52</v>
      </c>
      <c r="E817" s="2" t="n">
        <v>3</v>
      </c>
      <c r="F817" s="4" t="n">
        <v>569.84</v>
      </c>
      <c r="G817" s="2" t="s">
        <v>3015</v>
      </c>
      <c r="H817" s="2" t="s">
        <v>64</v>
      </c>
      <c r="I817" s="2" t="s">
        <v>39</v>
      </c>
      <c r="J817" s="2" t="s">
        <v>3016</v>
      </c>
      <c r="K817" s="2" t="n">
        <v>8</v>
      </c>
      <c r="L817" s="2" t="s">
        <v>85</v>
      </c>
      <c r="M817" s="2" t="s">
        <v>26</v>
      </c>
      <c r="N817" s="4" t="n">
        <v>1709.52</v>
      </c>
      <c r="O817" s="2" t="str">
        <f aca="false">IF(COUNTIF($A$2:$A$1201,A817)&gt;1,"DUPLICATE","Unique")</f>
        <v>Unique</v>
      </c>
      <c r="P817" s="2" t="str">
        <f aca="false">IF(L817="","MISSING","OK")</f>
        <v>OK</v>
      </c>
      <c r="Q817" s="2" t="str">
        <f aca="false">IF(ISNUMBER(B817),"OK","BAD DATE")</f>
        <v>OK</v>
      </c>
      <c r="R817" s="2" t="str">
        <f aca="false">IF(ROUND(F817,2)=F817,"OK","FIX")</f>
        <v>OK</v>
      </c>
    </row>
    <row r="818" customFormat="false" ht="15" hidden="false" customHeight="false" outlineLevel="0" collapsed="false">
      <c r="A818" s="2" t="s">
        <v>3017</v>
      </c>
      <c r="B818" s="3" t="n">
        <v>45343</v>
      </c>
      <c r="C818" s="2" t="s">
        <v>3018</v>
      </c>
      <c r="D818" s="2" t="s">
        <v>36</v>
      </c>
      <c r="E818" s="2" t="n">
        <v>5</v>
      </c>
      <c r="F818" s="4" t="n">
        <v>574.79</v>
      </c>
      <c r="G818" s="2" t="s">
        <v>896</v>
      </c>
      <c r="H818" s="2" t="s">
        <v>38</v>
      </c>
      <c r="I818" s="2" t="s">
        <v>93</v>
      </c>
      <c r="J818" s="2" t="s">
        <v>3019</v>
      </c>
      <c r="K818" s="2" t="n">
        <v>8</v>
      </c>
      <c r="L818" s="2" t="s">
        <v>85</v>
      </c>
      <c r="M818" s="2" t="s">
        <v>33</v>
      </c>
      <c r="N818" s="4" t="n">
        <v>2873.95</v>
      </c>
      <c r="O818" s="2" t="str">
        <f aca="false">IF(COUNTIF($A$2:$A$1201,A818)&gt;1,"DUPLICATE","Unique")</f>
        <v>Unique</v>
      </c>
      <c r="P818" s="2" t="str">
        <f aca="false">IF(L818="","MISSING","OK")</f>
        <v>OK</v>
      </c>
      <c r="Q818" s="2" t="str">
        <f aca="false">IF(ISNUMBER(B818),"OK","BAD DATE")</f>
        <v>OK</v>
      </c>
      <c r="R818" s="2" t="str">
        <f aca="false">IF(ROUND(F818,2)=F818,"OK","FIX")</f>
        <v>OK</v>
      </c>
    </row>
    <row r="819" customFormat="false" ht="15" hidden="false" customHeight="false" outlineLevel="0" collapsed="false">
      <c r="A819" s="2" t="s">
        <v>3020</v>
      </c>
      <c r="B819" s="3" t="n">
        <v>45204</v>
      </c>
      <c r="C819" s="2" t="s">
        <v>3021</v>
      </c>
      <c r="D819" s="2" t="s">
        <v>45</v>
      </c>
      <c r="E819" s="2" t="n">
        <v>4</v>
      </c>
      <c r="F819" s="4" t="n">
        <v>598.19</v>
      </c>
      <c r="G819" s="2" t="s">
        <v>3022</v>
      </c>
      <c r="H819" s="2" t="s">
        <v>38</v>
      </c>
      <c r="I819" s="2" t="s">
        <v>54</v>
      </c>
      <c r="J819" s="2" t="s">
        <v>3023</v>
      </c>
      <c r="K819" s="2" t="n">
        <v>7</v>
      </c>
      <c r="L819" s="2" t="s">
        <v>85</v>
      </c>
      <c r="M819" s="2" t="s">
        <v>42</v>
      </c>
      <c r="N819" s="4" t="n">
        <v>2392.76</v>
      </c>
      <c r="O819" s="2" t="str">
        <f aca="false">IF(COUNTIF($A$2:$A$1201,A819)&gt;1,"DUPLICATE","Unique")</f>
        <v>Unique</v>
      </c>
      <c r="P819" s="2" t="str">
        <f aca="false">IF(L819="","MISSING","OK")</f>
        <v>OK</v>
      </c>
      <c r="Q819" s="2" t="str">
        <f aca="false">IF(ISNUMBER(B819),"OK","BAD DATE")</f>
        <v>OK</v>
      </c>
      <c r="R819" s="2" t="str">
        <f aca="false">IF(ROUND(F819,2)=F819,"OK","FIX")</f>
        <v>OK</v>
      </c>
    </row>
    <row r="820" customFormat="false" ht="15" hidden="false" customHeight="false" outlineLevel="0" collapsed="false">
      <c r="A820" s="2" t="s">
        <v>3024</v>
      </c>
      <c r="B820" s="3" t="n">
        <v>44987</v>
      </c>
      <c r="C820" s="2" t="s">
        <v>3025</v>
      </c>
      <c r="D820" s="2" t="s">
        <v>29</v>
      </c>
      <c r="E820" s="2" t="n">
        <v>4</v>
      </c>
      <c r="F820" s="4" t="n">
        <v>390.84</v>
      </c>
      <c r="G820" s="2" t="s">
        <v>2523</v>
      </c>
      <c r="H820" s="2" t="s">
        <v>38</v>
      </c>
      <c r="I820" s="2" t="s">
        <v>39</v>
      </c>
      <c r="J820" s="2" t="s">
        <v>3026</v>
      </c>
      <c r="K820" s="2" t="n">
        <v>9</v>
      </c>
      <c r="L820" s="2" t="s">
        <v>85</v>
      </c>
      <c r="M820" s="2" t="s">
        <v>33</v>
      </c>
      <c r="N820" s="4" t="n">
        <v>1563.36</v>
      </c>
      <c r="O820" s="2" t="str">
        <f aca="false">IF(COUNTIF($A$2:$A$1201,A820)&gt;1,"DUPLICATE","Unique")</f>
        <v>Unique</v>
      </c>
      <c r="P820" s="2" t="str">
        <f aca="false">IF(L820="","MISSING","OK")</f>
        <v>OK</v>
      </c>
      <c r="Q820" s="2" t="str">
        <f aca="false">IF(ISNUMBER(B820),"OK","BAD DATE")</f>
        <v>OK</v>
      </c>
      <c r="R820" s="2" t="str">
        <f aca="false">IF(ROUND(F820,2)=F820,"OK","FIX")</f>
        <v>OK</v>
      </c>
    </row>
    <row r="821" customFormat="false" ht="15" hidden="false" customHeight="false" outlineLevel="0" collapsed="false">
      <c r="A821" s="2" t="s">
        <v>3027</v>
      </c>
      <c r="B821" s="3" t="n">
        <v>45563</v>
      </c>
      <c r="C821" s="2" t="s">
        <v>3028</v>
      </c>
      <c r="D821" s="2" t="s">
        <v>29</v>
      </c>
      <c r="E821" s="2" t="n">
        <v>2</v>
      </c>
      <c r="F821" s="4" t="n">
        <v>398.45</v>
      </c>
      <c r="G821" s="2" t="s">
        <v>3029</v>
      </c>
      <c r="H821" s="2" t="s">
        <v>22</v>
      </c>
      <c r="I821" s="2" t="s">
        <v>39</v>
      </c>
      <c r="J821" s="2" t="s">
        <v>3030</v>
      </c>
      <c r="K821" s="2" t="n">
        <v>7</v>
      </c>
      <c r="L821" s="2" t="s">
        <v>25</v>
      </c>
      <c r="M821" s="2" t="s">
        <v>80</v>
      </c>
      <c r="N821" s="4" t="n">
        <v>796.9</v>
      </c>
      <c r="O821" s="2" t="str">
        <f aca="false">IF(COUNTIF($A$2:$A$1201,A821)&gt;1,"DUPLICATE","Unique")</f>
        <v>Unique</v>
      </c>
      <c r="P821" s="2" t="str">
        <f aca="false">IF(L821="","MISSING","OK")</f>
        <v>OK</v>
      </c>
      <c r="Q821" s="2" t="str">
        <f aca="false">IF(ISNUMBER(B821),"OK","BAD DATE")</f>
        <v>OK</v>
      </c>
      <c r="R821" s="2" t="str">
        <f aca="false">IF(ROUND(F821,2)=F821,"OK","FIX")</f>
        <v>OK</v>
      </c>
    </row>
    <row r="822" customFormat="false" ht="15" hidden="false" customHeight="false" outlineLevel="0" collapsed="false">
      <c r="A822" s="2" t="s">
        <v>3031</v>
      </c>
      <c r="B822" s="3" t="n">
        <v>45073</v>
      </c>
      <c r="C822" s="2" t="s">
        <v>3032</v>
      </c>
      <c r="D822" s="2" t="s">
        <v>29</v>
      </c>
      <c r="E822" s="2" t="n">
        <v>5</v>
      </c>
      <c r="F822" s="4" t="n">
        <v>623.81</v>
      </c>
      <c r="G822" s="2" t="s">
        <v>1400</v>
      </c>
      <c r="H822" s="2" t="s">
        <v>69</v>
      </c>
      <c r="I822" s="2" t="s">
        <v>47</v>
      </c>
      <c r="J822" s="2" t="s">
        <v>3033</v>
      </c>
      <c r="K822" s="2" t="n">
        <v>6</v>
      </c>
      <c r="L822" s="2" t="s">
        <v>41</v>
      </c>
      <c r="M822" s="2" t="s">
        <v>42</v>
      </c>
      <c r="N822" s="4" t="n">
        <v>3119.05</v>
      </c>
      <c r="O822" s="2" t="str">
        <f aca="false">IF(COUNTIF($A$2:$A$1201,A822)&gt;1,"DUPLICATE","Unique")</f>
        <v>Unique</v>
      </c>
      <c r="P822" s="2" t="str">
        <f aca="false">IF(L822="","MISSING","OK")</f>
        <v>OK</v>
      </c>
      <c r="Q822" s="2" t="str">
        <f aca="false">IF(ISNUMBER(B822),"OK","BAD DATE")</f>
        <v>OK</v>
      </c>
      <c r="R822" s="2" t="str">
        <f aca="false">IF(ROUND(F822,2)=F822,"OK","FIX")</f>
        <v>OK</v>
      </c>
    </row>
    <row r="823" customFormat="false" ht="15" hidden="false" customHeight="false" outlineLevel="0" collapsed="false">
      <c r="A823" s="2" t="s">
        <v>3034</v>
      </c>
      <c r="B823" s="3" t="n">
        <v>45640</v>
      </c>
      <c r="C823" s="2" t="s">
        <v>3035</v>
      </c>
      <c r="D823" s="2" t="s">
        <v>62</v>
      </c>
      <c r="E823" s="2" t="n">
        <v>4</v>
      </c>
      <c r="F823" s="4" t="n">
        <v>174.49</v>
      </c>
      <c r="G823" s="2" t="s">
        <v>1368</v>
      </c>
      <c r="H823" s="2" t="s">
        <v>38</v>
      </c>
      <c r="I823" s="2" t="s">
        <v>54</v>
      </c>
      <c r="J823" s="2" t="s">
        <v>3036</v>
      </c>
      <c r="K823" s="2" t="n">
        <v>5</v>
      </c>
      <c r="L823" s="2" t="s">
        <v>25</v>
      </c>
      <c r="M823" s="2" t="s">
        <v>49</v>
      </c>
      <c r="N823" s="4" t="n">
        <v>697.96</v>
      </c>
      <c r="O823" s="2" t="str">
        <f aca="false">IF(COUNTIF($A$2:$A$1201,A823)&gt;1,"DUPLICATE","Unique")</f>
        <v>Unique</v>
      </c>
      <c r="P823" s="2" t="str">
        <f aca="false">IF(L823="","MISSING","OK")</f>
        <v>OK</v>
      </c>
      <c r="Q823" s="2" t="str">
        <f aca="false">IF(ISNUMBER(B823),"OK","BAD DATE")</f>
        <v>OK</v>
      </c>
      <c r="R823" s="2" t="str">
        <f aca="false">IF(ROUND(F823,2)=F823,"OK","FIX")</f>
        <v>OK</v>
      </c>
    </row>
    <row r="824" customFormat="false" ht="15" hidden="false" customHeight="false" outlineLevel="0" collapsed="false">
      <c r="A824" s="2" t="s">
        <v>3037</v>
      </c>
      <c r="B824" s="3" t="n">
        <v>45731</v>
      </c>
      <c r="C824" s="2" t="s">
        <v>3038</v>
      </c>
      <c r="D824" s="2" t="s">
        <v>29</v>
      </c>
      <c r="E824" s="2" t="n">
        <v>1</v>
      </c>
      <c r="F824" s="4" t="n">
        <v>479.56</v>
      </c>
      <c r="G824" s="2" t="s">
        <v>324</v>
      </c>
      <c r="H824" s="2" t="s">
        <v>64</v>
      </c>
      <c r="I824" s="2" t="s">
        <v>47</v>
      </c>
      <c r="J824" s="2" t="s">
        <v>3039</v>
      </c>
      <c r="K824" s="2" t="n">
        <v>1</v>
      </c>
      <c r="L824" s="2" t="s">
        <v>25</v>
      </c>
      <c r="M824" s="2" t="s">
        <v>80</v>
      </c>
      <c r="N824" s="4" t="n">
        <v>479.56</v>
      </c>
      <c r="O824" s="2" t="str">
        <f aca="false">IF(COUNTIF($A$2:$A$1201,A824)&gt;1,"DUPLICATE","Unique")</f>
        <v>Unique</v>
      </c>
      <c r="P824" s="2" t="str">
        <f aca="false">IF(L824="","MISSING","OK")</f>
        <v>OK</v>
      </c>
      <c r="Q824" s="2" t="str">
        <f aca="false">IF(ISNUMBER(B824),"OK","BAD DATE")</f>
        <v>OK</v>
      </c>
      <c r="R824" s="2" t="str">
        <f aca="false">IF(ROUND(F824,2)=F824,"OK","FIX")</f>
        <v>OK</v>
      </c>
    </row>
    <row r="825" customFormat="false" ht="15" hidden="false" customHeight="false" outlineLevel="0" collapsed="false">
      <c r="A825" s="2" t="s">
        <v>3040</v>
      </c>
      <c r="B825" s="3" t="n">
        <v>45572</v>
      </c>
      <c r="C825" s="2" t="s">
        <v>3041</v>
      </c>
      <c r="D825" s="2" t="s">
        <v>62</v>
      </c>
      <c r="E825" s="2" t="n">
        <v>4</v>
      </c>
      <c r="F825" s="4" t="n">
        <v>653.13</v>
      </c>
      <c r="G825" s="2" t="s">
        <v>3042</v>
      </c>
      <c r="H825" s="2" t="s">
        <v>38</v>
      </c>
      <c r="I825" s="2" t="s">
        <v>23</v>
      </c>
      <c r="J825" s="2" t="s">
        <v>3043</v>
      </c>
      <c r="K825" s="2" t="n">
        <v>8</v>
      </c>
      <c r="L825" s="2" t="s">
        <v>85</v>
      </c>
      <c r="M825" s="2" t="s">
        <v>26</v>
      </c>
      <c r="N825" s="4" t="n">
        <v>2612.52</v>
      </c>
      <c r="O825" s="2" t="str">
        <f aca="false">IF(COUNTIF($A$2:$A$1201,A825)&gt;1,"DUPLICATE","Unique")</f>
        <v>Unique</v>
      </c>
      <c r="P825" s="2" t="str">
        <f aca="false">IF(L825="","MISSING","OK")</f>
        <v>OK</v>
      </c>
      <c r="Q825" s="2" t="str">
        <f aca="false">IF(ISNUMBER(B825),"OK","BAD DATE")</f>
        <v>OK</v>
      </c>
      <c r="R825" s="2" t="str">
        <f aca="false">IF(ROUND(F825,2)=F825,"OK","FIX")</f>
        <v>OK</v>
      </c>
    </row>
    <row r="826" customFormat="false" ht="15" hidden="false" customHeight="false" outlineLevel="0" collapsed="false">
      <c r="A826" s="2" t="s">
        <v>3044</v>
      </c>
      <c r="B826" s="3" t="n">
        <v>45167</v>
      </c>
      <c r="C826" s="2" t="s">
        <v>3045</v>
      </c>
      <c r="D826" s="2" t="s">
        <v>20</v>
      </c>
      <c r="E826" s="2" t="n">
        <v>3</v>
      </c>
      <c r="F826" s="4" t="n">
        <v>481.1</v>
      </c>
      <c r="G826" s="2" t="s">
        <v>3046</v>
      </c>
      <c r="H826" s="2" t="s">
        <v>38</v>
      </c>
      <c r="I826" s="2" t="s">
        <v>47</v>
      </c>
      <c r="J826" s="2" t="s">
        <v>3047</v>
      </c>
      <c r="K826" s="2" t="n">
        <v>3</v>
      </c>
      <c r="L826" s="2" t="s">
        <v>41</v>
      </c>
      <c r="M826" s="2" t="s">
        <v>49</v>
      </c>
      <c r="N826" s="4" t="n">
        <v>1443.3</v>
      </c>
      <c r="O826" s="2" t="str">
        <f aca="false">IF(COUNTIF($A$2:$A$1201,A826)&gt;1,"DUPLICATE","Unique")</f>
        <v>Unique</v>
      </c>
      <c r="P826" s="2" t="str">
        <f aca="false">IF(L826="","MISSING","OK")</f>
        <v>OK</v>
      </c>
      <c r="Q826" s="2" t="str">
        <f aca="false">IF(ISNUMBER(B826),"OK","BAD DATE")</f>
        <v>OK</v>
      </c>
      <c r="R826" s="2" t="str">
        <f aca="false">IF(ROUND(F826,2)=F826,"OK","FIX")</f>
        <v>OK</v>
      </c>
    </row>
    <row r="827" customFormat="false" ht="15" hidden="false" customHeight="false" outlineLevel="0" collapsed="false">
      <c r="A827" s="2" t="s">
        <v>3048</v>
      </c>
      <c r="B827" s="3" t="n">
        <v>45742</v>
      </c>
      <c r="C827" s="2" t="s">
        <v>3049</v>
      </c>
      <c r="D827" s="2" t="s">
        <v>77</v>
      </c>
      <c r="E827" s="2" t="n">
        <v>5</v>
      </c>
      <c r="F827" s="4" t="n">
        <v>271.69</v>
      </c>
      <c r="G827" s="2" t="s">
        <v>3050</v>
      </c>
      <c r="H827" s="2" t="s">
        <v>31</v>
      </c>
      <c r="I827" s="2" t="s">
        <v>47</v>
      </c>
      <c r="J827" s="2" t="s">
        <v>3051</v>
      </c>
      <c r="K827" s="2" t="n">
        <v>7</v>
      </c>
      <c r="L827" s="2" t="s">
        <v>41</v>
      </c>
      <c r="M827" s="2" t="s">
        <v>26</v>
      </c>
      <c r="N827" s="4" t="n">
        <v>1358.45</v>
      </c>
      <c r="O827" s="2" t="str">
        <f aca="false">IF(COUNTIF($A$2:$A$1201,A827)&gt;1,"DUPLICATE","Unique")</f>
        <v>Unique</v>
      </c>
      <c r="P827" s="2" t="str">
        <f aca="false">IF(L827="","MISSING","OK")</f>
        <v>OK</v>
      </c>
      <c r="Q827" s="2" t="str">
        <f aca="false">IF(ISNUMBER(B827),"OK","BAD DATE")</f>
        <v>OK</v>
      </c>
      <c r="R827" s="2" t="str">
        <f aca="false">IF(ROUND(F827,2)=F827,"OK","FIX")</f>
        <v>OK</v>
      </c>
    </row>
    <row r="828" customFormat="false" ht="15" hidden="false" customHeight="false" outlineLevel="0" collapsed="false">
      <c r="A828" s="2" t="s">
        <v>3052</v>
      </c>
      <c r="B828" s="3" t="n">
        <v>45724</v>
      </c>
      <c r="C828" s="2" t="s">
        <v>3053</v>
      </c>
      <c r="D828" s="2" t="s">
        <v>52</v>
      </c>
      <c r="E828" s="2" t="n">
        <v>3</v>
      </c>
      <c r="F828" s="4" t="n">
        <v>463.81</v>
      </c>
      <c r="G828" s="2" t="s">
        <v>739</v>
      </c>
      <c r="H828" s="2" t="s">
        <v>31</v>
      </c>
      <c r="I828" s="2" t="s">
        <v>47</v>
      </c>
      <c r="J828" s="2" t="s">
        <v>3054</v>
      </c>
      <c r="K828" s="2" t="n">
        <v>8</v>
      </c>
      <c r="L828" s="2" t="s">
        <v>85</v>
      </c>
      <c r="M828" s="2" t="s">
        <v>42</v>
      </c>
      <c r="N828" s="4" t="n">
        <v>1391.43</v>
      </c>
      <c r="O828" s="2" t="str">
        <f aca="false">IF(COUNTIF($A$2:$A$1201,A828)&gt;1,"DUPLICATE","Unique")</f>
        <v>Unique</v>
      </c>
      <c r="P828" s="2" t="str">
        <f aca="false">IF(L828="","MISSING","OK")</f>
        <v>OK</v>
      </c>
      <c r="Q828" s="2" t="str">
        <f aca="false">IF(ISNUMBER(B828),"OK","BAD DATE")</f>
        <v>OK</v>
      </c>
      <c r="R828" s="2" t="str">
        <f aca="false">IF(ROUND(F828,2)=F828,"OK","FIX")</f>
        <v>OK</v>
      </c>
    </row>
    <row r="829" customFormat="false" ht="15" hidden="false" customHeight="false" outlineLevel="0" collapsed="false">
      <c r="A829" s="2" t="s">
        <v>3055</v>
      </c>
      <c r="B829" s="3" t="n">
        <v>45071</v>
      </c>
      <c r="C829" s="2" t="s">
        <v>3056</v>
      </c>
      <c r="D829" s="2" t="s">
        <v>36</v>
      </c>
      <c r="E829" s="2" t="n">
        <v>2</v>
      </c>
      <c r="F829" s="4" t="n">
        <v>639.88</v>
      </c>
      <c r="G829" s="2" t="s">
        <v>877</v>
      </c>
      <c r="H829" s="2" t="s">
        <v>69</v>
      </c>
      <c r="I829" s="2" t="s">
        <v>54</v>
      </c>
      <c r="J829" s="2" t="s">
        <v>3057</v>
      </c>
      <c r="K829" s="2" t="n">
        <v>5</v>
      </c>
      <c r="L829" s="2" t="s">
        <v>85</v>
      </c>
      <c r="M829" s="2" t="s">
        <v>26</v>
      </c>
      <c r="N829" s="4" t="n">
        <v>1279.76</v>
      </c>
      <c r="O829" s="2" t="str">
        <f aca="false">IF(COUNTIF($A$2:$A$1201,A829)&gt;1,"DUPLICATE","Unique")</f>
        <v>Unique</v>
      </c>
      <c r="P829" s="2" t="str">
        <f aca="false">IF(L829="","MISSING","OK")</f>
        <v>OK</v>
      </c>
      <c r="Q829" s="2" t="str">
        <f aca="false">IF(ISNUMBER(B829),"OK","BAD DATE")</f>
        <v>OK</v>
      </c>
      <c r="R829" s="2" t="str">
        <f aca="false">IF(ROUND(F829,2)=F829,"OK","FIX")</f>
        <v>OK</v>
      </c>
    </row>
    <row r="830" customFormat="false" ht="15" hidden="false" customHeight="false" outlineLevel="0" collapsed="false">
      <c r="A830" s="2" t="s">
        <v>3058</v>
      </c>
      <c r="B830" s="3" t="n">
        <v>45497</v>
      </c>
      <c r="C830" s="2" t="s">
        <v>3059</v>
      </c>
      <c r="D830" s="2" t="s">
        <v>45</v>
      </c>
      <c r="E830" s="2" t="n">
        <v>4</v>
      </c>
      <c r="F830" s="4" t="n">
        <v>404.58</v>
      </c>
      <c r="G830" s="2" t="s">
        <v>3060</v>
      </c>
      <c r="H830" s="2" t="s">
        <v>69</v>
      </c>
      <c r="I830" s="2" t="s">
        <v>23</v>
      </c>
      <c r="J830" s="2" t="s">
        <v>3061</v>
      </c>
      <c r="K830" s="2" t="n">
        <v>5</v>
      </c>
      <c r="L830" s="2" t="s">
        <v>41</v>
      </c>
      <c r="M830" s="2" t="s">
        <v>26</v>
      </c>
      <c r="N830" s="4" t="n">
        <v>1618.32</v>
      </c>
      <c r="O830" s="2" t="str">
        <f aca="false">IF(COUNTIF($A$2:$A$1201,A830)&gt;1,"DUPLICATE","Unique")</f>
        <v>Unique</v>
      </c>
      <c r="P830" s="2" t="str">
        <f aca="false">IF(L830="","MISSING","OK")</f>
        <v>OK</v>
      </c>
      <c r="Q830" s="2" t="str">
        <f aca="false">IF(ISNUMBER(B830),"OK","BAD DATE")</f>
        <v>OK</v>
      </c>
      <c r="R830" s="2" t="str">
        <f aca="false">IF(ROUND(F830,2)=F830,"OK","FIX")</f>
        <v>OK</v>
      </c>
    </row>
    <row r="831" customFormat="false" ht="15" hidden="false" customHeight="false" outlineLevel="0" collapsed="false">
      <c r="A831" s="2" t="s">
        <v>3062</v>
      </c>
      <c r="B831" s="3" t="n">
        <v>44962</v>
      </c>
      <c r="C831" s="2" t="s">
        <v>3063</v>
      </c>
      <c r="D831" s="2" t="s">
        <v>20</v>
      </c>
      <c r="E831" s="2" t="n">
        <v>1</v>
      </c>
      <c r="F831" s="4" t="n">
        <v>76.93</v>
      </c>
      <c r="G831" s="2" t="s">
        <v>3064</v>
      </c>
      <c r="H831" s="2" t="s">
        <v>22</v>
      </c>
      <c r="I831" s="2" t="s">
        <v>54</v>
      </c>
      <c r="J831" s="2" t="s">
        <v>3065</v>
      </c>
      <c r="K831" s="2" t="n">
        <v>6</v>
      </c>
      <c r="L831" s="2" t="s">
        <v>85</v>
      </c>
      <c r="M831" s="2" t="s">
        <v>26</v>
      </c>
      <c r="N831" s="4" t="n">
        <v>76.93</v>
      </c>
      <c r="O831" s="2" t="str">
        <f aca="false">IF(COUNTIF($A$2:$A$1201,A831)&gt;1,"DUPLICATE","Unique")</f>
        <v>Unique</v>
      </c>
      <c r="P831" s="2" t="str">
        <f aca="false">IF(L831="","MISSING","OK")</f>
        <v>OK</v>
      </c>
      <c r="Q831" s="2" t="str">
        <f aca="false">IF(ISNUMBER(B831),"OK","BAD DATE")</f>
        <v>OK</v>
      </c>
      <c r="R831" s="2" t="str">
        <f aca="false">IF(ROUND(F831,2)=F831,"OK","FIX")</f>
        <v>OK</v>
      </c>
    </row>
    <row r="832" customFormat="false" ht="15" hidden="false" customHeight="false" outlineLevel="0" collapsed="false">
      <c r="A832" s="2" t="s">
        <v>3066</v>
      </c>
      <c r="B832" s="3" t="n">
        <v>45637</v>
      </c>
      <c r="C832" s="2" t="s">
        <v>3067</v>
      </c>
      <c r="D832" s="2" t="s">
        <v>36</v>
      </c>
      <c r="E832" s="2" t="n">
        <v>4</v>
      </c>
      <c r="F832" s="4" t="n">
        <v>190.64</v>
      </c>
      <c r="G832" s="2" t="s">
        <v>3068</v>
      </c>
      <c r="H832" s="2" t="s">
        <v>69</v>
      </c>
      <c r="I832" s="2" t="s">
        <v>54</v>
      </c>
      <c r="J832" s="2" t="s">
        <v>3069</v>
      </c>
      <c r="K832" s="2" t="n">
        <v>5</v>
      </c>
      <c r="L832" s="2" t="s">
        <v>25</v>
      </c>
      <c r="M832" s="2" t="s">
        <v>42</v>
      </c>
      <c r="N832" s="4" t="n">
        <v>762.56</v>
      </c>
      <c r="O832" s="2" t="str">
        <f aca="false">IF(COUNTIF($A$2:$A$1201,A832)&gt;1,"DUPLICATE","Unique")</f>
        <v>Unique</v>
      </c>
      <c r="P832" s="2" t="str">
        <f aca="false">IF(L832="","MISSING","OK")</f>
        <v>OK</v>
      </c>
      <c r="Q832" s="2" t="str">
        <f aca="false">IF(ISNUMBER(B832),"OK","BAD DATE")</f>
        <v>OK</v>
      </c>
      <c r="R832" s="2" t="str">
        <f aca="false">IF(ROUND(F832,2)=F832,"OK","FIX")</f>
        <v>OK</v>
      </c>
    </row>
    <row r="833" customFormat="false" ht="15" hidden="false" customHeight="false" outlineLevel="0" collapsed="false">
      <c r="A833" s="2" t="s">
        <v>3070</v>
      </c>
      <c r="B833" s="3" t="n">
        <v>45278</v>
      </c>
      <c r="C833" s="2" t="s">
        <v>3071</v>
      </c>
      <c r="D833" s="2" t="s">
        <v>52</v>
      </c>
      <c r="E833" s="2" t="n">
        <v>2</v>
      </c>
      <c r="F833" s="4" t="n">
        <v>88.73</v>
      </c>
      <c r="G833" s="2" t="s">
        <v>2375</v>
      </c>
      <c r="H833" s="2" t="s">
        <v>31</v>
      </c>
      <c r="I833" s="2" t="s">
        <v>93</v>
      </c>
      <c r="J833" s="2" t="s">
        <v>3072</v>
      </c>
      <c r="K833" s="2" t="n">
        <v>5</v>
      </c>
      <c r="L833" s="2"/>
      <c r="M833" s="2" t="s">
        <v>80</v>
      </c>
      <c r="N833" s="4" t="n">
        <v>177.46</v>
      </c>
      <c r="O833" s="2" t="str">
        <f aca="false">IF(COUNTIF($A$2:$A$1201,A833)&gt;1,"DUPLICATE","Unique")</f>
        <v>Unique</v>
      </c>
      <c r="P833" s="2" t="str">
        <f aca="false">IF(L833="","MISSING","OK")</f>
        <v>MISSING</v>
      </c>
      <c r="Q833" s="2" t="str">
        <f aca="false">IF(ISNUMBER(B833),"OK","BAD DATE")</f>
        <v>OK</v>
      </c>
      <c r="R833" s="2" t="str">
        <f aca="false">IF(ROUND(F833,2)=F833,"OK","FIX")</f>
        <v>OK</v>
      </c>
    </row>
    <row r="834" customFormat="false" ht="15" hidden="false" customHeight="false" outlineLevel="0" collapsed="false">
      <c r="A834" s="2" t="s">
        <v>3073</v>
      </c>
      <c r="B834" s="3" t="n">
        <v>45363</v>
      </c>
      <c r="C834" s="2" t="s">
        <v>3074</v>
      </c>
      <c r="D834" s="2" t="s">
        <v>45</v>
      </c>
      <c r="E834" s="2" t="n">
        <v>5</v>
      </c>
      <c r="F834" s="4" t="n">
        <v>485.71</v>
      </c>
      <c r="G834" s="2" t="s">
        <v>97</v>
      </c>
      <c r="H834" s="2" t="s">
        <v>31</v>
      </c>
      <c r="I834" s="2" t="s">
        <v>93</v>
      </c>
      <c r="J834" s="2" t="s">
        <v>3075</v>
      </c>
      <c r="K834" s="2" t="n">
        <v>10</v>
      </c>
      <c r="L834" s="2" t="s">
        <v>25</v>
      </c>
      <c r="M834" s="2" t="s">
        <v>33</v>
      </c>
      <c r="N834" s="4" t="n">
        <v>2428.55</v>
      </c>
      <c r="O834" s="2" t="str">
        <f aca="false">IF(COUNTIF($A$2:$A$1201,A834)&gt;1,"DUPLICATE","Unique")</f>
        <v>Unique</v>
      </c>
      <c r="P834" s="2" t="str">
        <f aca="false">IF(L834="","MISSING","OK")</f>
        <v>OK</v>
      </c>
      <c r="Q834" s="2" t="str">
        <f aca="false">IF(ISNUMBER(B834),"OK","BAD DATE")</f>
        <v>OK</v>
      </c>
      <c r="R834" s="2" t="str">
        <f aca="false">IF(ROUND(F834,2)=F834,"OK","FIX")</f>
        <v>OK</v>
      </c>
    </row>
    <row r="835" customFormat="false" ht="15" hidden="false" customHeight="false" outlineLevel="0" collapsed="false">
      <c r="A835" s="2" t="s">
        <v>3076</v>
      </c>
      <c r="B835" s="3" t="n">
        <v>45730</v>
      </c>
      <c r="C835" s="2" t="s">
        <v>3077</v>
      </c>
      <c r="D835" s="2" t="s">
        <v>29</v>
      </c>
      <c r="E835" s="2" t="n">
        <v>5</v>
      </c>
      <c r="F835" s="4" t="n">
        <v>78.29</v>
      </c>
      <c r="G835" s="2" t="s">
        <v>3078</v>
      </c>
      <c r="H835" s="2" t="s">
        <v>38</v>
      </c>
      <c r="I835" s="2" t="s">
        <v>23</v>
      </c>
      <c r="J835" s="2" t="s">
        <v>3079</v>
      </c>
      <c r="K835" s="2" t="n">
        <v>5</v>
      </c>
      <c r="L835" s="2" t="s">
        <v>85</v>
      </c>
      <c r="M835" s="2" t="s">
        <v>33</v>
      </c>
      <c r="N835" s="4" t="n">
        <v>391.45</v>
      </c>
      <c r="O835" s="2" t="str">
        <f aca="false">IF(COUNTIF($A$2:$A$1201,A835)&gt;1,"DUPLICATE","Unique")</f>
        <v>Unique</v>
      </c>
      <c r="P835" s="2" t="str">
        <f aca="false">IF(L835="","MISSING","OK")</f>
        <v>OK</v>
      </c>
      <c r="Q835" s="2" t="str">
        <f aca="false">IF(ISNUMBER(B835),"OK","BAD DATE")</f>
        <v>OK</v>
      </c>
      <c r="R835" s="2" t="str">
        <f aca="false">IF(ROUND(F835,2)=F835,"OK","FIX")</f>
        <v>OK</v>
      </c>
    </row>
    <row r="836" customFormat="false" ht="15" hidden="false" customHeight="false" outlineLevel="0" collapsed="false">
      <c r="A836" s="2" t="s">
        <v>3080</v>
      </c>
      <c r="B836" s="3" t="n">
        <v>45393</v>
      </c>
      <c r="C836" s="2" t="s">
        <v>3081</v>
      </c>
      <c r="D836" s="2" t="s">
        <v>52</v>
      </c>
      <c r="E836" s="2" t="n">
        <v>5</v>
      </c>
      <c r="F836" s="4" t="n">
        <v>22.14</v>
      </c>
      <c r="G836" s="2" t="s">
        <v>968</v>
      </c>
      <c r="H836" s="2" t="s">
        <v>69</v>
      </c>
      <c r="I836" s="2" t="s">
        <v>47</v>
      </c>
      <c r="J836" s="2" t="s">
        <v>3082</v>
      </c>
      <c r="K836" s="2" t="n">
        <v>10</v>
      </c>
      <c r="L836" s="2"/>
      <c r="M836" s="2" t="s">
        <v>26</v>
      </c>
      <c r="N836" s="4" t="n">
        <v>110.7</v>
      </c>
      <c r="O836" s="2" t="str">
        <f aca="false">IF(COUNTIF($A$2:$A$1201,A836)&gt;1,"DUPLICATE","Unique")</f>
        <v>Unique</v>
      </c>
      <c r="P836" s="2" t="str">
        <f aca="false">IF(L836="","MISSING","OK")</f>
        <v>MISSING</v>
      </c>
      <c r="Q836" s="2" t="str">
        <f aca="false">IF(ISNUMBER(B836),"OK","BAD DATE")</f>
        <v>OK</v>
      </c>
      <c r="R836" s="2" t="str">
        <f aca="false">IF(ROUND(F836,2)=F836,"OK","FIX")</f>
        <v>OK</v>
      </c>
    </row>
    <row r="837" customFormat="false" ht="15" hidden="false" customHeight="false" outlineLevel="0" collapsed="false">
      <c r="A837" s="2" t="s">
        <v>3083</v>
      </c>
      <c r="B837" s="3" t="n">
        <v>45377</v>
      </c>
      <c r="C837" s="2" t="s">
        <v>3084</v>
      </c>
      <c r="D837" s="2" t="s">
        <v>77</v>
      </c>
      <c r="E837" s="2" t="n">
        <v>1</v>
      </c>
      <c r="F837" s="4" t="n">
        <v>679.65</v>
      </c>
      <c r="G837" s="2" t="s">
        <v>3085</v>
      </c>
      <c r="H837" s="2" t="s">
        <v>22</v>
      </c>
      <c r="I837" s="2" t="s">
        <v>23</v>
      </c>
      <c r="J837" s="2" t="s">
        <v>3086</v>
      </c>
      <c r="K837" s="2" t="n">
        <v>6</v>
      </c>
      <c r="L837" s="2" t="s">
        <v>41</v>
      </c>
      <c r="M837" s="2" t="s">
        <v>80</v>
      </c>
      <c r="N837" s="4" t="n">
        <v>679.65</v>
      </c>
      <c r="O837" s="2" t="str">
        <f aca="false">IF(COUNTIF($A$2:$A$1201,A837)&gt;1,"DUPLICATE","Unique")</f>
        <v>Unique</v>
      </c>
      <c r="P837" s="2" t="str">
        <f aca="false">IF(L837="","MISSING","OK")</f>
        <v>OK</v>
      </c>
      <c r="Q837" s="2" t="str">
        <f aca="false">IF(ISNUMBER(B837),"OK","BAD DATE")</f>
        <v>OK</v>
      </c>
      <c r="R837" s="2" t="str">
        <f aca="false">IF(ROUND(F837,2)=F837,"OK","FIX")</f>
        <v>OK</v>
      </c>
    </row>
    <row r="838" customFormat="false" ht="15" hidden="false" customHeight="false" outlineLevel="0" collapsed="false">
      <c r="A838" s="2" t="s">
        <v>3087</v>
      </c>
      <c r="B838" s="3" t="n">
        <v>44959</v>
      </c>
      <c r="C838" s="2" t="s">
        <v>3088</v>
      </c>
      <c r="D838" s="2" t="s">
        <v>29</v>
      </c>
      <c r="E838" s="2" t="n">
        <v>1</v>
      </c>
      <c r="F838" s="4" t="n">
        <v>178.44</v>
      </c>
      <c r="G838" s="2" t="s">
        <v>2450</v>
      </c>
      <c r="H838" s="2" t="s">
        <v>38</v>
      </c>
      <c r="I838" s="2" t="s">
        <v>39</v>
      </c>
      <c r="J838" s="2" t="s">
        <v>3089</v>
      </c>
      <c r="K838" s="2" t="n">
        <v>2</v>
      </c>
      <c r="L838" s="2" t="s">
        <v>41</v>
      </c>
      <c r="M838" s="2" t="s">
        <v>80</v>
      </c>
      <c r="N838" s="4" t="n">
        <v>178.44</v>
      </c>
      <c r="O838" s="2" t="str">
        <f aca="false">IF(COUNTIF($A$2:$A$1201,A838)&gt;1,"DUPLICATE","Unique")</f>
        <v>Unique</v>
      </c>
      <c r="P838" s="2" t="str">
        <f aca="false">IF(L838="","MISSING","OK")</f>
        <v>OK</v>
      </c>
      <c r="Q838" s="2" t="str">
        <f aca="false">IF(ISNUMBER(B838),"OK","BAD DATE")</f>
        <v>OK</v>
      </c>
      <c r="R838" s="2" t="str">
        <f aca="false">IF(ROUND(F838,2)=F838,"OK","FIX")</f>
        <v>OK</v>
      </c>
    </row>
    <row r="839" customFormat="false" ht="15" hidden="false" customHeight="false" outlineLevel="0" collapsed="false">
      <c r="A839" s="2" t="s">
        <v>3090</v>
      </c>
      <c r="B839" s="3" t="n">
        <v>45822</v>
      </c>
      <c r="C839" s="2" t="s">
        <v>3091</v>
      </c>
      <c r="D839" s="2" t="s">
        <v>45</v>
      </c>
      <c r="E839" s="2" t="n">
        <v>5</v>
      </c>
      <c r="F839" s="4" t="n">
        <v>655.55</v>
      </c>
      <c r="G839" s="2" t="s">
        <v>2294</v>
      </c>
      <c r="H839" s="2" t="s">
        <v>31</v>
      </c>
      <c r="I839" s="2" t="s">
        <v>54</v>
      </c>
      <c r="J839" s="2" t="s">
        <v>3092</v>
      </c>
      <c r="K839" s="2" t="n">
        <v>5</v>
      </c>
      <c r="L839" s="2"/>
      <c r="M839" s="2" t="s">
        <v>42</v>
      </c>
      <c r="N839" s="4" t="n">
        <v>3277.75</v>
      </c>
      <c r="O839" s="2" t="str">
        <f aca="false">IF(COUNTIF($A$2:$A$1201,A839)&gt;1,"DUPLICATE","Unique")</f>
        <v>Unique</v>
      </c>
      <c r="P839" s="2" t="str">
        <f aca="false">IF(L839="","MISSING","OK")</f>
        <v>MISSING</v>
      </c>
      <c r="Q839" s="2" t="str">
        <f aca="false">IF(ISNUMBER(B839),"OK","BAD DATE")</f>
        <v>OK</v>
      </c>
      <c r="R839" s="2" t="str">
        <f aca="false">IF(ROUND(F839,2)=F839,"OK","FIX")</f>
        <v>OK</v>
      </c>
    </row>
    <row r="840" customFormat="false" ht="15" hidden="false" customHeight="false" outlineLevel="0" collapsed="false">
      <c r="A840" s="2" t="s">
        <v>3093</v>
      </c>
      <c r="B840" s="3" t="n">
        <v>45393</v>
      </c>
      <c r="C840" s="2" t="s">
        <v>3094</v>
      </c>
      <c r="D840" s="2" t="s">
        <v>77</v>
      </c>
      <c r="E840" s="2" t="n">
        <v>4</v>
      </c>
      <c r="F840" s="4" t="n">
        <v>577.08</v>
      </c>
      <c r="G840" s="2" t="s">
        <v>320</v>
      </c>
      <c r="H840" s="2" t="s">
        <v>31</v>
      </c>
      <c r="I840" s="2" t="s">
        <v>93</v>
      </c>
      <c r="J840" s="2" t="s">
        <v>3095</v>
      </c>
      <c r="K840" s="2" t="n">
        <v>8</v>
      </c>
      <c r="L840" s="2"/>
      <c r="M840" s="2" t="s">
        <v>49</v>
      </c>
      <c r="N840" s="4" t="n">
        <v>2308.32</v>
      </c>
      <c r="O840" s="2" t="str">
        <f aca="false">IF(COUNTIF($A$2:$A$1201,A840)&gt;1,"DUPLICATE","Unique")</f>
        <v>Unique</v>
      </c>
      <c r="P840" s="2" t="str">
        <f aca="false">IF(L840="","MISSING","OK")</f>
        <v>MISSING</v>
      </c>
      <c r="Q840" s="2" t="str">
        <f aca="false">IF(ISNUMBER(B840),"OK","BAD DATE")</f>
        <v>OK</v>
      </c>
      <c r="R840" s="2" t="str">
        <f aca="false">IF(ROUND(F840,2)=F840,"OK","FIX")</f>
        <v>OK</v>
      </c>
    </row>
    <row r="841" customFormat="false" ht="15" hidden="false" customHeight="false" outlineLevel="0" collapsed="false">
      <c r="A841" s="2" t="s">
        <v>3096</v>
      </c>
      <c r="B841" s="3" t="n">
        <v>45162</v>
      </c>
      <c r="C841" s="2" t="s">
        <v>3097</v>
      </c>
      <c r="D841" s="2" t="s">
        <v>45</v>
      </c>
      <c r="E841" s="2" t="n">
        <v>3</v>
      </c>
      <c r="F841" s="4" t="n">
        <v>197.97</v>
      </c>
      <c r="G841" s="2" t="s">
        <v>2772</v>
      </c>
      <c r="H841" s="2" t="s">
        <v>31</v>
      </c>
      <c r="I841" s="2" t="s">
        <v>39</v>
      </c>
      <c r="J841" s="2" t="s">
        <v>3098</v>
      </c>
      <c r="K841" s="2" t="n">
        <v>5</v>
      </c>
      <c r="L841" s="2"/>
      <c r="M841" s="2" t="s">
        <v>80</v>
      </c>
      <c r="N841" s="4" t="n">
        <v>593.91</v>
      </c>
      <c r="O841" s="2" t="str">
        <f aca="false">IF(COUNTIF($A$2:$A$1201,A841)&gt;1,"DUPLICATE","Unique")</f>
        <v>Unique</v>
      </c>
      <c r="P841" s="2" t="str">
        <f aca="false">IF(L841="","MISSING","OK")</f>
        <v>MISSING</v>
      </c>
      <c r="Q841" s="2" t="str">
        <f aca="false">IF(ISNUMBER(B841),"OK","BAD DATE")</f>
        <v>OK</v>
      </c>
      <c r="R841" s="2" t="str">
        <f aca="false">IF(ROUND(F841,2)=F841,"OK","FIX")</f>
        <v>OK</v>
      </c>
    </row>
    <row r="842" customFormat="false" ht="15" hidden="false" customHeight="false" outlineLevel="0" collapsed="false">
      <c r="A842" s="2" t="s">
        <v>3099</v>
      </c>
      <c r="B842" s="3" t="n">
        <v>45305</v>
      </c>
      <c r="C842" s="2" t="s">
        <v>3100</v>
      </c>
      <c r="D842" s="2" t="s">
        <v>45</v>
      </c>
      <c r="E842" s="2" t="n">
        <v>3</v>
      </c>
      <c r="F842" s="4" t="n">
        <v>411.95</v>
      </c>
      <c r="G842" s="2" t="s">
        <v>1819</v>
      </c>
      <c r="H842" s="2" t="s">
        <v>38</v>
      </c>
      <c r="I842" s="2" t="s">
        <v>54</v>
      </c>
      <c r="J842" s="2" t="s">
        <v>3101</v>
      </c>
      <c r="K842" s="2" t="n">
        <v>7</v>
      </c>
      <c r="L842" s="2" t="s">
        <v>41</v>
      </c>
      <c r="M842" s="2" t="s">
        <v>33</v>
      </c>
      <c r="N842" s="4" t="n">
        <v>1235.85</v>
      </c>
      <c r="O842" s="2" t="str">
        <f aca="false">IF(COUNTIF($A$2:$A$1201,A842)&gt;1,"DUPLICATE","Unique")</f>
        <v>Unique</v>
      </c>
      <c r="P842" s="2" t="str">
        <f aca="false">IF(L842="","MISSING","OK")</f>
        <v>OK</v>
      </c>
      <c r="Q842" s="2" t="str">
        <f aca="false">IF(ISNUMBER(B842),"OK","BAD DATE")</f>
        <v>OK</v>
      </c>
      <c r="R842" s="2" t="str">
        <f aca="false">IF(ROUND(F842,2)=F842,"OK","FIX")</f>
        <v>OK</v>
      </c>
    </row>
    <row r="843" customFormat="false" ht="15" hidden="false" customHeight="false" outlineLevel="0" collapsed="false">
      <c r="A843" s="2" t="s">
        <v>3102</v>
      </c>
      <c r="B843" s="3" t="n">
        <v>45554</v>
      </c>
      <c r="C843" s="2" t="s">
        <v>3103</v>
      </c>
      <c r="D843" s="2" t="s">
        <v>52</v>
      </c>
      <c r="E843" s="2" t="n">
        <v>2</v>
      </c>
      <c r="F843" s="4" t="n">
        <v>443.22</v>
      </c>
      <c r="G843" s="2" t="s">
        <v>3104</v>
      </c>
      <c r="H843" s="2" t="s">
        <v>38</v>
      </c>
      <c r="I843" s="2" t="s">
        <v>54</v>
      </c>
      <c r="J843" s="2" t="s">
        <v>3105</v>
      </c>
      <c r="K843" s="2" t="n">
        <v>5</v>
      </c>
      <c r="L843" s="2"/>
      <c r="M843" s="2" t="s">
        <v>49</v>
      </c>
      <c r="N843" s="4" t="n">
        <v>886.44</v>
      </c>
      <c r="O843" s="2" t="str">
        <f aca="false">IF(COUNTIF($A$2:$A$1201,A843)&gt;1,"DUPLICATE","Unique")</f>
        <v>Unique</v>
      </c>
      <c r="P843" s="2" t="str">
        <f aca="false">IF(L843="","MISSING","OK")</f>
        <v>MISSING</v>
      </c>
      <c r="Q843" s="2" t="str">
        <f aca="false">IF(ISNUMBER(B843),"OK","BAD DATE")</f>
        <v>OK</v>
      </c>
      <c r="R843" s="2" t="str">
        <f aca="false">IF(ROUND(F843,2)=F843,"OK","FIX")</f>
        <v>OK</v>
      </c>
    </row>
    <row r="844" customFormat="false" ht="15" hidden="false" customHeight="false" outlineLevel="0" collapsed="false">
      <c r="A844" s="2" t="s">
        <v>3106</v>
      </c>
      <c r="B844" s="3" t="n">
        <v>45784</v>
      </c>
      <c r="C844" s="2" t="s">
        <v>3107</v>
      </c>
      <c r="D844" s="2" t="s">
        <v>62</v>
      </c>
      <c r="E844" s="2" t="n">
        <v>3</v>
      </c>
      <c r="F844" s="4" t="n">
        <v>364.14</v>
      </c>
      <c r="G844" s="2" t="s">
        <v>2583</v>
      </c>
      <c r="H844" s="2" t="s">
        <v>31</v>
      </c>
      <c r="I844" s="2" t="s">
        <v>93</v>
      </c>
      <c r="J844" s="2" t="s">
        <v>3108</v>
      </c>
      <c r="K844" s="2" t="n">
        <v>7</v>
      </c>
      <c r="L844" s="2" t="s">
        <v>85</v>
      </c>
      <c r="M844" s="2" t="s">
        <v>33</v>
      </c>
      <c r="N844" s="4" t="n">
        <v>1092.42</v>
      </c>
      <c r="O844" s="2" t="str">
        <f aca="false">IF(COUNTIF($A$2:$A$1201,A844)&gt;1,"DUPLICATE","Unique")</f>
        <v>Unique</v>
      </c>
      <c r="P844" s="2" t="str">
        <f aca="false">IF(L844="","MISSING","OK")</f>
        <v>OK</v>
      </c>
      <c r="Q844" s="2" t="str">
        <f aca="false">IF(ISNUMBER(B844),"OK","BAD DATE")</f>
        <v>OK</v>
      </c>
      <c r="R844" s="2" t="str">
        <f aca="false">IF(ROUND(F844,2)=F844,"OK","FIX")</f>
        <v>OK</v>
      </c>
    </row>
    <row r="845" customFormat="false" ht="15" hidden="false" customHeight="false" outlineLevel="0" collapsed="false">
      <c r="A845" s="2" t="s">
        <v>3109</v>
      </c>
      <c r="B845" s="3" t="n">
        <v>45790</v>
      </c>
      <c r="C845" s="2" t="s">
        <v>3110</v>
      </c>
      <c r="D845" s="2" t="s">
        <v>77</v>
      </c>
      <c r="E845" s="2" t="n">
        <v>3</v>
      </c>
      <c r="F845" s="4" t="n">
        <v>430.06</v>
      </c>
      <c r="G845" s="2" t="s">
        <v>3111</v>
      </c>
      <c r="H845" s="2" t="s">
        <v>64</v>
      </c>
      <c r="I845" s="2" t="s">
        <v>39</v>
      </c>
      <c r="J845" s="2" t="s">
        <v>3112</v>
      </c>
      <c r="K845" s="2" t="n">
        <v>8</v>
      </c>
      <c r="L845" s="2" t="s">
        <v>41</v>
      </c>
      <c r="M845" s="2" t="s">
        <v>26</v>
      </c>
      <c r="N845" s="4" t="n">
        <v>1290.18</v>
      </c>
      <c r="O845" s="2" t="str">
        <f aca="false">IF(COUNTIF($A$2:$A$1201,A845)&gt;1,"DUPLICATE","Unique")</f>
        <v>Unique</v>
      </c>
      <c r="P845" s="2" t="str">
        <f aca="false">IF(L845="","MISSING","OK")</f>
        <v>OK</v>
      </c>
      <c r="Q845" s="2" t="str">
        <f aca="false">IF(ISNUMBER(B845),"OK","BAD DATE")</f>
        <v>OK</v>
      </c>
      <c r="R845" s="2" t="str">
        <f aca="false">IF(ROUND(F845,2)=F845,"OK","FIX")</f>
        <v>OK</v>
      </c>
    </row>
    <row r="846" customFormat="false" ht="15" hidden="false" customHeight="false" outlineLevel="0" collapsed="false">
      <c r="A846" s="2" t="s">
        <v>3113</v>
      </c>
      <c r="B846" s="3" t="n">
        <v>45630</v>
      </c>
      <c r="C846" s="2" t="s">
        <v>3114</v>
      </c>
      <c r="D846" s="2" t="s">
        <v>45</v>
      </c>
      <c r="E846" s="2" t="n">
        <v>1</v>
      </c>
      <c r="F846" s="4" t="n">
        <v>320.92</v>
      </c>
      <c r="G846" s="2" t="s">
        <v>3115</v>
      </c>
      <c r="H846" s="2" t="s">
        <v>31</v>
      </c>
      <c r="I846" s="2" t="s">
        <v>47</v>
      </c>
      <c r="J846" s="2" t="s">
        <v>3116</v>
      </c>
      <c r="K846" s="2" t="n">
        <v>5</v>
      </c>
      <c r="L846" s="2" t="s">
        <v>41</v>
      </c>
      <c r="M846" s="2" t="s">
        <v>49</v>
      </c>
      <c r="N846" s="4" t="n">
        <v>320.92</v>
      </c>
      <c r="O846" s="2" t="str">
        <f aca="false">IF(COUNTIF($A$2:$A$1201,A846)&gt;1,"DUPLICATE","Unique")</f>
        <v>Unique</v>
      </c>
      <c r="P846" s="2" t="str">
        <f aca="false">IF(L846="","MISSING","OK")</f>
        <v>OK</v>
      </c>
      <c r="Q846" s="2" t="str">
        <f aca="false">IF(ISNUMBER(B846),"OK","BAD DATE")</f>
        <v>OK</v>
      </c>
      <c r="R846" s="2" t="str">
        <f aca="false">IF(ROUND(F846,2)=F846,"OK","FIX")</f>
        <v>OK</v>
      </c>
    </row>
    <row r="847" customFormat="false" ht="15" hidden="false" customHeight="false" outlineLevel="0" collapsed="false">
      <c r="A847" s="2" t="s">
        <v>3117</v>
      </c>
      <c r="B847" s="3" t="n">
        <v>45207</v>
      </c>
      <c r="C847" s="2" t="s">
        <v>3118</v>
      </c>
      <c r="D847" s="2" t="s">
        <v>29</v>
      </c>
      <c r="E847" s="2" t="n">
        <v>3</v>
      </c>
      <c r="F847" s="4" t="n">
        <v>107.36</v>
      </c>
      <c r="G847" s="2" t="s">
        <v>3119</v>
      </c>
      <c r="H847" s="2" t="s">
        <v>64</v>
      </c>
      <c r="I847" s="2" t="s">
        <v>54</v>
      </c>
      <c r="J847" s="2" t="s">
        <v>3120</v>
      </c>
      <c r="K847" s="2" t="n">
        <v>5</v>
      </c>
      <c r="L847" s="2" t="s">
        <v>41</v>
      </c>
      <c r="M847" s="2" t="s">
        <v>80</v>
      </c>
      <c r="N847" s="4" t="n">
        <v>322.08</v>
      </c>
      <c r="O847" s="2" t="str">
        <f aca="false">IF(COUNTIF($A$2:$A$1201,A847)&gt;1,"DUPLICATE","Unique")</f>
        <v>Unique</v>
      </c>
      <c r="P847" s="2" t="str">
        <f aca="false">IF(L847="","MISSING","OK")</f>
        <v>OK</v>
      </c>
      <c r="Q847" s="2" t="str">
        <f aca="false">IF(ISNUMBER(B847),"OK","BAD DATE")</f>
        <v>OK</v>
      </c>
      <c r="R847" s="2" t="str">
        <f aca="false">IF(ROUND(F847,2)=F847,"OK","FIX")</f>
        <v>OK</v>
      </c>
    </row>
    <row r="848" customFormat="false" ht="15" hidden="false" customHeight="false" outlineLevel="0" collapsed="false">
      <c r="A848" s="2" t="s">
        <v>3121</v>
      </c>
      <c r="B848" s="3" t="n">
        <v>45477</v>
      </c>
      <c r="C848" s="2" t="s">
        <v>3122</v>
      </c>
      <c r="D848" s="2" t="s">
        <v>77</v>
      </c>
      <c r="E848" s="2" t="n">
        <v>2</v>
      </c>
      <c r="F848" s="4" t="n">
        <v>359.86</v>
      </c>
      <c r="G848" s="2" t="s">
        <v>3123</v>
      </c>
      <c r="H848" s="2" t="s">
        <v>22</v>
      </c>
      <c r="I848" s="2" t="s">
        <v>39</v>
      </c>
      <c r="J848" s="2" t="s">
        <v>3124</v>
      </c>
      <c r="K848" s="2" t="n">
        <v>4</v>
      </c>
      <c r="L848" s="2"/>
      <c r="M848" s="2" t="s">
        <v>33</v>
      </c>
      <c r="N848" s="4" t="n">
        <v>719.72</v>
      </c>
      <c r="O848" s="2" t="str">
        <f aca="false">IF(COUNTIF($A$2:$A$1201,A848)&gt;1,"DUPLICATE","Unique")</f>
        <v>Unique</v>
      </c>
      <c r="P848" s="2" t="str">
        <f aca="false">IF(L848="","MISSING","OK")</f>
        <v>MISSING</v>
      </c>
      <c r="Q848" s="2" t="str">
        <f aca="false">IF(ISNUMBER(B848),"OK","BAD DATE")</f>
        <v>OK</v>
      </c>
      <c r="R848" s="2" t="str">
        <f aca="false">IF(ROUND(F848,2)=F848,"OK","FIX")</f>
        <v>OK</v>
      </c>
    </row>
    <row r="849" customFormat="false" ht="15" hidden="false" customHeight="false" outlineLevel="0" collapsed="false">
      <c r="A849" s="2" t="s">
        <v>3125</v>
      </c>
      <c r="B849" s="3" t="n">
        <v>45614</v>
      </c>
      <c r="C849" s="2" t="s">
        <v>3126</v>
      </c>
      <c r="D849" s="2" t="s">
        <v>52</v>
      </c>
      <c r="E849" s="2" t="n">
        <v>4</v>
      </c>
      <c r="F849" s="4" t="n">
        <v>434.23</v>
      </c>
      <c r="G849" s="2" t="s">
        <v>1165</v>
      </c>
      <c r="H849" s="2" t="s">
        <v>31</v>
      </c>
      <c r="I849" s="2" t="s">
        <v>23</v>
      </c>
      <c r="J849" s="2" t="s">
        <v>3127</v>
      </c>
      <c r="K849" s="2" t="n">
        <v>8</v>
      </c>
      <c r="L849" s="2" t="s">
        <v>41</v>
      </c>
      <c r="M849" s="2" t="s">
        <v>42</v>
      </c>
      <c r="N849" s="4" t="n">
        <v>1736.92</v>
      </c>
      <c r="O849" s="2" t="str">
        <f aca="false">IF(COUNTIF($A$2:$A$1201,A849)&gt;1,"DUPLICATE","Unique")</f>
        <v>Unique</v>
      </c>
      <c r="P849" s="2" t="str">
        <f aca="false">IF(L849="","MISSING","OK")</f>
        <v>OK</v>
      </c>
      <c r="Q849" s="2" t="str">
        <f aca="false">IF(ISNUMBER(B849),"OK","BAD DATE")</f>
        <v>OK</v>
      </c>
      <c r="R849" s="2" t="str">
        <f aca="false">IF(ROUND(F849,2)=F849,"OK","FIX")</f>
        <v>OK</v>
      </c>
    </row>
    <row r="850" customFormat="false" ht="15" hidden="false" customHeight="false" outlineLevel="0" collapsed="false">
      <c r="A850" s="2" t="s">
        <v>3128</v>
      </c>
      <c r="B850" s="3" t="n">
        <v>44927</v>
      </c>
      <c r="C850" s="2" t="s">
        <v>3129</v>
      </c>
      <c r="D850" s="2" t="s">
        <v>45</v>
      </c>
      <c r="E850" s="2" t="n">
        <v>2</v>
      </c>
      <c r="F850" s="4" t="n">
        <v>645.85</v>
      </c>
      <c r="G850" s="2" t="s">
        <v>281</v>
      </c>
      <c r="H850" s="2" t="s">
        <v>31</v>
      </c>
      <c r="I850" s="2" t="s">
        <v>23</v>
      </c>
      <c r="J850" s="2" t="s">
        <v>3130</v>
      </c>
      <c r="K850" s="2" t="n">
        <v>5</v>
      </c>
      <c r="L850" s="2"/>
      <c r="M850" s="2" t="s">
        <v>33</v>
      </c>
      <c r="N850" s="4" t="n">
        <v>1291.7</v>
      </c>
      <c r="O850" s="2" t="str">
        <f aca="false">IF(COUNTIF($A$2:$A$1201,A850)&gt;1,"DUPLICATE","Unique")</f>
        <v>Unique</v>
      </c>
      <c r="P850" s="2" t="str">
        <f aca="false">IF(L850="","MISSING","OK")</f>
        <v>MISSING</v>
      </c>
      <c r="Q850" s="2" t="str">
        <f aca="false">IF(ISNUMBER(B850),"OK","BAD DATE")</f>
        <v>OK</v>
      </c>
      <c r="R850" s="2" t="str">
        <f aca="false">IF(ROUND(F850,2)=F850,"OK","FIX")</f>
        <v>OK</v>
      </c>
    </row>
    <row r="851" customFormat="false" ht="15" hidden="false" customHeight="false" outlineLevel="0" collapsed="false">
      <c r="A851" s="2" t="s">
        <v>3131</v>
      </c>
      <c r="B851" s="3" t="n">
        <v>45817</v>
      </c>
      <c r="C851" s="2" t="s">
        <v>3132</v>
      </c>
      <c r="D851" s="2" t="s">
        <v>52</v>
      </c>
      <c r="E851" s="2" t="n">
        <v>4</v>
      </c>
      <c r="F851" s="4" t="n">
        <v>214.35</v>
      </c>
      <c r="G851" s="2" t="s">
        <v>3046</v>
      </c>
      <c r="H851" s="2" t="s">
        <v>22</v>
      </c>
      <c r="I851" s="2" t="s">
        <v>39</v>
      </c>
      <c r="J851" s="2" t="s">
        <v>3133</v>
      </c>
      <c r="K851" s="2" t="n">
        <v>7</v>
      </c>
      <c r="L851" s="2" t="s">
        <v>85</v>
      </c>
      <c r="M851" s="2" t="s">
        <v>33</v>
      </c>
      <c r="N851" s="4" t="n">
        <v>857.4</v>
      </c>
      <c r="O851" s="2" t="str">
        <f aca="false">IF(COUNTIF($A$2:$A$1201,A851)&gt;1,"DUPLICATE","Unique")</f>
        <v>Unique</v>
      </c>
      <c r="P851" s="2" t="str">
        <f aca="false">IF(L851="","MISSING","OK")</f>
        <v>OK</v>
      </c>
      <c r="Q851" s="2" t="str">
        <f aca="false">IF(ISNUMBER(B851),"OK","BAD DATE")</f>
        <v>OK</v>
      </c>
      <c r="R851" s="2" t="str">
        <f aca="false">IF(ROUND(F851,2)=F851,"OK","FIX")</f>
        <v>OK</v>
      </c>
    </row>
    <row r="852" customFormat="false" ht="15" hidden="false" customHeight="false" outlineLevel="0" collapsed="false">
      <c r="A852" s="2" t="s">
        <v>3134</v>
      </c>
      <c r="B852" s="3" t="n">
        <v>45774</v>
      </c>
      <c r="C852" s="2" t="s">
        <v>3135</v>
      </c>
      <c r="D852" s="2" t="s">
        <v>20</v>
      </c>
      <c r="E852" s="2" t="n">
        <v>3</v>
      </c>
      <c r="F852" s="4" t="n">
        <v>638.5</v>
      </c>
      <c r="G852" s="2" t="s">
        <v>2688</v>
      </c>
      <c r="H852" s="2" t="s">
        <v>22</v>
      </c>
      <c r="I852" s="2" t="s">
        <v>39</v>
      </c>
      <c r="J852" s="2" t="s">
        <v>3136</v>
      </c>
      <c r="K852" s="2" t="n">
        <v>4</v>
      </c>
      <c r="L852" s="2" t="s">
        <v>41</v>
      </c>
      <c r="M852" s="2" t="s">
        <v>26</v>
      </c>
      <c r="N852" s="4" t="n">
        <v>1915.5</v>
      </c>
      <c r="O852" s="2" t="str">
        <f aca="false">IF(COUNTIF($A$2:$A$1201,A852)&gt;1,"DUPLICATE","Unique")</f>
        <v>Unique</v>
      </c>
      <c r="P852" s="2" t="str">
        <f aca="false">IF(L852="","MISSING","OK")</f>
        <v>OK</v>
      </c>
      <c r="Q852" s="2" t="str">
        <f aca="false">IF(ISNUMBER(B852),"OK","BAD DATE")</f>
        <v>OK</v>
      </c>
      <c r="R852" s="2" t="str">
        <f aca="false">IF(ROUND(F852,2)=F852,"OK","FIX")</f>
        <v>OK</v>
      </c>
    </row>
    <row r="853" customFormat="false" ht="15" hidden="false" customHeight="false" outlineLevel="0" collapsed="false">
      <c r="A853" s="2" t="s">
        <v>3137</v>
      </c>
      <c r="B853" s="3" t="n">
        <v>45272</v>
      </c>
      <c r="C853" s="2" t="s">
        <v>3138</v>
      </c>
      <c r="D853" s="2" t="s">
        <v>62</v>
      </c>
      <c r="E853" s="2" t="n">
        <v>1</v>
      </c>
      <c r="F853" s="4" t="n">
        <v>365.57</v>
      </c>
      <c r="G853" s="2" t="s">
        <v>351</v>
      </c>
      <c r="H853" s="2" t="s">
        <v>31</v>
      </c>
      <c r="I853" s="2" t="s">
        <v>39</v>
      </c>
      <c r="J853" s="2" t="s">
        <v>3139</v>
      </c>
      <c r="K853" s="2" t="n">
        <v>5</v>
      </c>
      <c r="L853" s="2" t="s">
        <v>25</v>
      </c>
      <c r="M853" s="2" t="s">
        <v>42</v>
      </c>
      <c r="N853" s="4" t="n">
        <v>365.57</v>
      </c>
      <c r="O853" s="2" t="str">
        <f aca="false">IF(COUNTIF($A$2:$A$1201,A853)&gt;1,"DUPLICATE","Unique")</f>
        <v>Unique</v>
      </c>
      <c r="P853" s="2" t="str">
        <f aca="false">IF(L853="","MISSING","OK")</f>
        <v>OK</v>
      </c>
      <c r="Q853" s="2" t="str">
        <f aca="false">IF(ISNUMBER(B853),"OK","BAD DATE")</f>
        <v>OK</v>
      </c>
      <c r="R853" s="2" t="str">
        <f aca="false">IF(ROUND(F853,2)=F853,"OK","FIX")</f>
        <v>OK</v>
      </c>
    </row>
    <row r="854" customFormat="false" ht="15" hidden="false" customHeight="false" outlineLevel="0" collapsed="false">
      <c r="A854" s="2" t="s">
        <v>3140</v>
      </c>
      <c r="B854" s="3" t="n">
        <v>45589</v>
      </c>
      <c r="C854" s="2" t="s">
        <v>3141</v>
      </c>
      <c r="D854" s="2" t="s">
        <v>77</v>
      </c>
      <c r="E854" s="2" t="n">
        <v>3</v>
      </c>
      <c r="F854" s="4" t="n">
        <v>568.05</v>
      </c>
      <c r="G854" s="2" t="s">
        <v>3142</v>
      </c>
      <c r="H854" s="2" t="s">
        <v>64</v>
      </c>
      <c r="I854" s="2" t="s">
        <v>93</v>
      </c>
      <c r="J854" s="2" t="s">
        <v>3143</v>
      </c>
      <c r="K854" s="2" t="n">
        <v>6</v>
      </c>
      <c r="L854" s="2" t="s">
        <v>25</v>
      </c>
      <c r="M854" s="2" t="s">
        <v>80</v>
      </c>
      <c r="N854" s="4" t="n">
        <v>1704.15</v>
      </c>
      <c r="O854" s="2" t="str">
        <f aca="false">IF(COUNTIF($A$2:$A$1201,A854)&gt;1,"DUPLICATE","Unique")</f>
        <v>Unique</v>
      </c>
      <c r="P854" s="2" t="str">
        <f aca="false">IF(L854="","MISSING","OK")</f>
        <v>OK</v>
      </c>
      <c r="Q854" s="2" t="str">
        <f aca="false">IF(ISNUMBER(B854),"OK","BAD DATE")</f>
        <v>OK</v>
      </c>
      <c r="R854" s="2" t="str">
        <f aca="false">IF(ROUND(F854,2)=F854,"OK","FIX")</f>
        <v>OK</v>
      </c>
    </row>
    <row r="855" customFormat="false" ht="15" hidden="false" customHeight="false" outlineLevel="0" collapsed="false">
      <c r="A855" s="2" t="s">
        <v>3144</v>
      </c>
      <c r="B855" s="3" t="n">
        <v>45215</v>
      </c>
      <c r="C855" s="2" t="s">
        <v>3145</v>
      </c>
      <c r="D855" s="2" t="s">
        <v>52</v>
      </c>
      <c r="E855" s="2" t="n">
        <v>3</v>
      </c>
      <c r="F855" s="4" t="n">
        <v>490.01</v>
      </c>
      <c r="G855" s="2" t="s">
        <v>1198</v>
      </c>
      <c r="H855" s="2" t="s">
        <v>69</v>
      </c>
      <c r="I855" s="2" t="s">
        <v>47</v>
      </c>
      <c r="J855" s="2" t="s">
        <v>3146</v>
      </c>
      <c r="K855" s="2" t="n">
        <v>4</v>
      </c>
      <c r="L855" s="2" t="s">
        <v>25</v>
      </c>
      <c r="M855" s="2" t="s">
        <v>49</v>
      </c>
      <c r="N855" s="4" t="n">
        <v>1470.03</v>
      </c>
      <c r="O855" s="2" t="str">
        <f aca="false">IF(COUNTIF($A$2:$A$1201,A855)&gt;1,"DUPLICATE","Unique")</f>
        <v>Unique</v>
      </c>
      <c r="P855" s="2" t="str">
        <f aca="false">IF(L855="","MISSING","OK")</f>
        <v>OK</v>
      </c>
      <c r="Q855" s="2" t="str">
        <f aca="false">IF(ISNUMBER(B855),"OK","BAD DATE")</f>
        <v>OK</v>
      </c>
      <c r="R855" s="2" t="str">
        <f aca="false">IF(ROUND(F855,2)=F855,"OK","FIX")</f>
        <v>OK</v>
      </c>
    </row>
    <row r="856" customFormat="false" ht="15" hidden="false" customHeight="false" outlineLevel="0" collapsed="false">
      <c r="A856" s="2" t="s">
        <v>3147</v>
      </c>
      <c r="B856" s="3" t="n">
        <v>45821</v>
      </c>
      <c r="C856" s="2" t="s">
        <v>3148</v>
      </c>
      <c r="D856" s="2" t="s">
        <v>62</v>
      </c>
      <c r="E856" s="2" t="n">
        <v>3</v>
      </c>
      <c r="F856" s="4" t="n">
        <v>372.6</v>
      </c>
      <c r="G856" s="2" t="s">
        <v>1735</v>
      </c>
      <c r="H856" s="2" t="s">
        <v>38</v>
      </c>
      <c r="I856" s="2" t="s">
        <v>54</v>
      </c>
      <c r="J856" s="2" t="s">
        <v>3149</v>
      </c>
      <c r="K856" s="2" t="n">
        <v>7</v>
      </c>
      <c r="L856" s="2" t="s">
        <v>85</v>
      </c>
      <c r="M856" s="2" t="s">
        <v>33</v>
      </c>
      <c r="N856" s="4" t="n">
        <v>1117.8</v>
      </c>
      <c r="O856" s="2" t="str">
        <f aca="false">IF(COUNTIF($A$2:$A$1201,A856)&gt;1,"DUPLICATE","Unique")</f>
        <v>Unique</v>
      </c>
      <c r="P856" s="2" t="str">
        <f aca="false">IF(L856="","MISSING","OK")</f>
        <v>OK</v>
      </c>
      <c r="Q856" s="2" t="str">
        <f aca="false">IF(ISNUMBER(B856),"OK","BAD DATE")</f>
        <v>OK</v>
      </c>
      <c r="R856" s="2" t="str">
        <f aca="false">IF(ROUND(F856,2)=F856,"OK","FIX")</f>
        <v>OK</v>
      </c>
    </row>
    <row r="857" customFormat="false" ht="15" hidden="false" customHeight="false" outlineLevel="0" collapsed="false">
      <c r="A857" s="2" t="s">
        <v>3150</v>
      </c>
      <c r="B857" s="3" t="n">
        <v>45071</v>
      </c>
      <c r="C857" s="2" t="s">
        <v>3151</v>
      </c>
      <c r="D857" s="2" t="s">
        <v>20</v>
      </c>
      <c r="E857" s="2" t="n">
        <v>5</v>
      </c>
      <c r="F857" s="4" t="n">
        <v>240.61</v>
      </c>
      <c r="G857" s="2" t="s">
        <v>1000</v>
      </c>
      <c r="H857" s="2" t="s">
        <v>38</v>
      </c>
      <c r="I857" s="2" t="s">
        <v>23</v>
      </c>
      <c r="J857" s="2" t="s">
        <v>3152</v>
      </c>
      <c r="K857" s="2" t="n">
        <v>10</v>
      </c>
      <c r="L857" s="2" t="s">
        <v>41</v>
      </c>
      <c r="M857" s="2" t="s">
        <v>42</v>
      </c>
      <c r="N857" s="4" t="n">
        <v>1203.05</v>
      </c>
      <c r="O857" s="2" t="str">
        <f aca="false">IF(COUNTIF($A$2:$A$1201,A857)&gt;1,"DUPLICATE","Unique")</f>
        <v>Unique</v>
      </c>
      <c r="P857" s="2" t="str">
        <f aca="false">IF(L857="","MISSING","OK")</f>
        <v>OK</v>
      </c>
      <c r="Q857" s="2" t="str">
        <f aca="false">IF(ISNUMBER(B857),"OK","BAD DATE")</f>
        <v>OK</v>
      </c>
      <c r="R857" s="2" t="str">
        <f aca="false">IF(ROUND(F857,2)=F857,"OK","FIX")</f>
        <v>OK</v>
      </c>
    </row>
    <row r="858" customFormat="false" ht="15" hidden="false" customHeight="false" outlineLevel="0" collapsed="false">
      <c r="A858" s="2" t="s">
        <v>3153</v>
      </c>
      <c r="B858" s="3" t="n">
        <v>45446</v>
      </c>
      <c r="C858" s="2" t="s">
        <v>3154</v>
      </c>
      <c r="D858" s="2" t="s">
        <v>29</v>
      </c>
      <c r="E858" s="2" t="n">
        <v>1</v>
      </c>
      <c r="F858" s="4" t="n">
        <v>586.62</v>
      </c>
      <c r="G858" s="2" t="s">
        <v>216</v>
      </c>
      <c r="H858" s="2" t="s">
        <v>22</v>
      </c>
      <c r="I858" s="2" t="s">
        <v>23</v>
      </c>
      <c r="J858" s="2" t="s">
        <v>3155</v>
      </c>
      <c r="K858" s="2" t="n">
        <v>5</v>
      </c>
      <c r="L858" s="2"/>
      <c r="M858" s="2" t="s">
        <v>49</v>
      </c>
      <c r="N858" s="4" t="n">
        <v>586.62</v>
      </c>
      <c r="O858" s="2" t="str">
        <f aca="false">IF(COUNTIF($A$2:$A$1201,A858)&gt;1,"DUPLICATE","Unique")</f>
        <v>Unique</v>
      </c>
      <c r="P858" s="2" t="str">
        <f aca="false">IF(L858="","MISSING","OK")</f>
        <v>MISSING</v>
      </c>
      <c r="Q858" s="2" t="str">
        <f aca="false">IF(ISNUMBER(B858),"OK","BAD DATE")</f>
        <v>OK</v>
      </c>
      <c r="R858" s="2" t="str">
        <f aca="false">IF(ROUND(F858,2)=F858,"OK","FIX")</f>
        <v>OK</v>
      </c>
    </row>
    <row r="859" customFormat="false" ht="15" hidden="false" customHeight="false" outlineLevel="0" collapsed="false">
      <c r="A859" s="2" t="s">
        <v>3156</v>
      </c>
      <c r="B859" s="3" t="n">
        <v>45361</v>
      </c>
      <c r="C859" s="2" t="s">
        <v>3157</v>
      </c>
      <c r="D859" s="2" t="s">
        <v>29</v>
      </c>
      <c r="E859" s="2" t="n">
        <v>3</v>
      </c>
      <c r="F859" s="4" t="n">
        <v>257.84</v>
      </c>
      <c r="G859" s="2" t="s">
        <v>862</v>
      </c>
      <c r="H859" s="2" t="s">
        <v>31</v>
      </c>
      <c r="I859" s="2" t="s">
        <v>54</v>
      </c>
      <c r="J859" s="2" t="s">
        <v>3158</v>
      </c>
      <c r="K859" s="2" t="n">
        <v>4</v>
      </c>
      <c r="L859" s="2"/>
      <c r="M859" s="2" t="s">
        <v>26</v>
      </c>
      <c r="N859" s="4" t="n">
        <v>773.52</v>
      </c>
      <c r="O859" s="2" t="str">
        <f aca="false">IF(COUNTIF($A$2:$A$1201,A859)&gt;1,"DUPLICATE","Unique")</f>
        <v>Unique</v>
      </c>
      <c r="P859" s="2" t="str">
        <f aca="false">IF(L859="","MISSING","OK")</f>
        <v>MISSING</v>
      </c>
      <c r="Q859" s="2" t="str">
        <f aca="false">IF(ISNUMBER(B859),"OK","BAD DATE")</f>
        <v>OK</v>
      </c>
      <c r="R859" s="2" t="str">
        <f aca="false">IF(ROUND(F859,2)=F859,"OK","FIX")</f>
        <v>OK</v>
      </c>
    </row>
    <row r="860" customFormat="false" ht="15" hidden="false" customHeight="false" outlineLevel="0" collapsed="false">
      <c r="A860" s="2" t="s">
        <v>3159</v>
      </c>
      <c r="B860" s="3" t="n">
        <v>45158</v>
      </c>
      <c r="C860" s="2" t="s">
        <v>3160</v>
      </c>
      <c r="D860" s="2" t="s">
        <v>36</v>
      </c>
      <c r="E860" s="2" t="n">
        <v>5</v>
      </c>
      <c r="F860" s="4" t="n">
        <v>435.66</v>
      </c>
      <c r="G860" s="2" t="s">
        <v>117</v>
      </c>
      <c r="H860" s="2" t="s">
        <v>31</v>
      </c>
      <c r="I860" s="2" t="s">
        <v>93</v>
      </c>
      <c r="J860" s="2" t="s">
        <v>3161</v>
      </c>
      <c r="K860" s="2" t="n">
        <v>9</v>
      </c>
      <c r="L860" s="2"/>
      <c r="M860" s="2" t="s">
        <v>49</v>
      </c>
      <c r="N860" s="4" t="n">
        <v>2178.3</v>
      </c>
      <c r="O860" s="2" t="str">
        <f aca="false">IF(COUNTIF($A$2:$A$1201,A860)&gt;1,"DUPLICATE","Unique")</f>
        <v>Unique</v>
      </c>
      <c r="P860" s="2" t="str">
        <f aca="false">IF(L860="","MISSING","OK")</f>
        <v>MISSING</v>
      </c>
      <c r="Q860" s="2" t="str">
        <f aca="false">IF(ISNUMBER(B860),"OK","BAD DATE")</f>
        <v>OK</v>
      </c>
      <c r="R860" s="2" t="str">
        <f aca="false">IF(ROUND(F860,2)=F860,"OK","FIX")</f>
        <v>OK</v>
      </c>
    </row>
    <row r="861" customFormat="false" ht="15" hidden="false" customHeight="false" outlineLevel="0" collapsed="false">
      <c r="A861" s="2" t="s">
        <v>3162</v>
      </c>
      <c r="B861" s="3" t="n">
        <v>45532</v>
      </c>
      <c r="C861" s="2" t="s">
        <v>3163</v>
      </c>
      <c r="D861" s="2" t="s">
        <v>45</v>
      </c>
      <c r="E861" s="2" t="n">
        <v>5</v>
      </c>
      <c r="F861" s="4" t="n">
        <v>261.33</v>
      </c>
      <c r="G861" s="2" t="s">
        <v>2315</v>
      </c>
      <c r="H861" s="2" t="s">
        <v>38</v>
      </c>
      <c r="I861" s="2" t="s">
        <v>47</v>
      </c>
      <c r="J861" s="2" t="s">
        <v>3164</v>
      </c>
      <c r="K861" s="2" t="n">
        <v>5</v>
      </c>
      <c r="L861" s="2" t="s">
        <v>25</v>
      </c>
      <c r="M861" s="2" t="s">
        <v>33</v>
      </c>
      <c r="N861" s="4" t="n">
        <v>1306.65</v>
      </c>
      <c r="O861" s="2" t="str">
        <f aca="false">IF(COUNTIF($A$2:$A$1201,A861)&gt;1,"DUPLICATE","Unique")</f>
        <v>Unique</v>
      </c>
      <c r="P861" s="2" t="str">
        <f aca="false">IF(L861="","MISSING","OK")</f>
        <v>OK</v>
      </c>
      <c r="Q861" s="2" t="str">
        <f aca="false">IF(ISNUMBER(B861),"OK","BAD DATE")</f>
        <v>OK</v>
      </c>
      <c r="R861" s="2" t="str">
        <f aca="false">IF(ROUND(F861,2)=F861,"OK","FIX")</f>
        <v>OK</v>
      </c>
    </row>
    <row r="862" customFormat="false" ht="15" hidden="false" customHeight="false" outlineLevel="0" collapsed="false">
      <c r="A862" s="2" t="s">
        <v>3165</v>
      </c>
      <c r="B862" s="3" t="n">
        <v>45314</v>
      </c>
      <c r="C862" s="2" t="s">
        <v>3166</v>
      </c>
      <c r="D862" s="2" t="s">
        <v>52</v>
      </c>
      <c r="E862" s="2" t="n">
        <v>1</v>
      </c>
      <c r="F862" s="4" t="n">
        <v>422.54</v>
      </c>
      <c r="G862" s="2" t="s">
        <v>1372</v>
      </c>
      <c r="H862" s="2" t="s">
        <v>69</v>
      </c>
      <c r="I862" s="2" t="s">
        <v>54</v>
      </c>
      <c r="J862" s="2" t="s">
        <v>3167</v>
      </c>
      <c r="K862" s="2" t="n">
        <v>1</v>
      </c>
      <c r="L862" s="2" t="s">
        <v>25</v>
      </c>
      <c r="M862" s="2" t="s">
        <v>80</v>
      </c>
      <c r="N862" s="4" t="n">
        <v>422.54</v>
      </c>
      <c r="O862" s="2" t="str">
        <f aca="false">IF(COUNTIF($A$2:$A$1201,A862)&gt;1,"DUPLICATE","Unique")</f>
        <v>Unique</v>
      </c>
      <c r="P862" s="2" t="str">
        <f aca="false">IF(L862="","MISSING","OK")</f>
        <v>OK</v>
      </c>
      <c r="Q862" s="2" t="str">
        <f aca="false">IF(ISNUMBER(B862),"OK","BAD DATE")</f>
        <v>OK</v>
      </c>
      <c r="R862" s="2" t="str">
        <f aca="false">IF(ROUND(F862,2)=F862,"OK","FIX")</f>
        <v>OK</v>
      </c>
    </row>
    <row r="863" customFormat="false" ht="15" hidden="false" customHeight="false" outlineLevel="0" collapsed="false">
      <c r="A863" s="2" t="s">
        <v>3168</v>
      </c>
      <c r="B863" s="3" t="n">
        <v>45004</v>
      </c>
      <c r="C863" s="2" t="s">
        <v>3169</v>
      </c>
      <c r="D863" s="2" t="s">
        <v>77</v>
      </c>
      <c r="E863" s="2" t="n">
        <v>5</v>
      </c>
      <c r="F863" s="4" t="n">
        <v>330.45</v>
      </c>
      <c r="G863" s="2" t="s">
        <v>3170</v>
      </c>
      <c r="H863" s="2" t="s">
        <v>64</v>
      </c>
      <c r="I863" s="2" t="s">
        <v>23</v>
      </c>
      <c r="J863" s="2" t="s">
        <v>3171</v>
      </c>
      <c r="K863" s="2" t="n">
        <v>10</v>
      </c>
      <c r="L863" s="2" t="s">
        <v>41</v>
      </c>
      <c r="M863" s="2" t="s">
        <v>80</v>
      </c>
      <c r="N863" s="4" t="n">
        <v>1652.25</v>
      </c>
      <c r="O863" s="2" t="str">
        <f aca="false">IF(COUNTIF($A$2:$A$1201,A863)&gt;1,"DUPLICATE","Unique")</f>
        <v>Unique</v>
      </c>
      <c r="P863" s="2" t="str">
        <f aca="false">IF(L863="","MISSING","OK")</f>
        <v>OK</v>
      </c>
      <c r="Q863" s="2" t="str">
        <f aca="false">IF(ISNUMBER(B863),"OK","BAD DATE")</f>
        <v>OK</v>
      </c>
      <c r="R863" s="2" t="str">
        <f aca="false">IF(ROUND(F863,2)=F863,"OK","FIX")</f>
        <v>OK</v>
      </c>
    </row>
    <row r="864" customFormat="false" ht="15" hidden="false" customHeight="false" outlineLevel="0" collapsed="false">
      <c r="A864" s="2" t="s">
        <v>3172</v>
      </c>
      <c r="B864" s="3" t="n">
        <v>45262</v>
      </c>
      <c r="C864" s="2" t="s">
        <v>3173</v>
      </c>
      <c r="D864" s="2" t="s">
        <v>77</v>
      </c>
      <c r="E864" s="2" t="n">
        <v>3</v>
      </c>
      <c r="F864" s="4" t="n">
        <v>120.82</v>
      </c>
      <c r="G864" s="2" t="s">
        <v>2624</v>
      </c>
      <c r="H864" s="2" t="s">
        <v>38</v>
      </c>
      <c r="I864" s="2" t="s">
        <v>23</v>
      </c>
      <c r="J864" s="2" t="s">
        <v>3174</v>
      </c>
      <c r="K864" s="2" t="n">
        <v>5</v>
      </c>
      <c r="L864" s="2" t="s">
        <v>25</v>
      </c>
      <c r="M864" s="2" t="s">
        <v>33</v>
      </c>
      <c r="N864" s="4" t="n">
        <v>362.46</v>
      </c>
      <c r="O864" s="2" t="str">
        <f aca="false">IF(COUNTIF($A$2:$A$1201,A864)&gt;1,"DUPLICATE","Unique")</f>
        <v>Unique</v>
      </c>
      <c r="P864" s="2" t="str">
        <f aca="false">IF(L864="","MISSING","OK")</f>
        <v>OK</v>
      </c>
      <c r="Q864" s="2" t="str">
        <f aca="false">IF(ISNUMBER(B864),"OK","BAD DATE")</f>
        <v>OK</v>
      </c>
      <c r="R864" s="2" t="str">
        <f aca="false">IF(ROUND(F864,2)=F864,"OK","FIX")</f>
        <v>OK</v>
      </c>
    </row>
    <row r="865" customFormat="false" ht="15" hidden="false" customHeight="false" outlineLevel="0" collapsed="false">
      <c r="A865" s="2" t="s">
        <v>3175</v>
      </c>
      <c r="B865" s="3" t="n">
        <v>45432</v>
      </c>
      <c r="C865" s="2" t="s">
        <v>3176</v>
      </c>
      <c r="D865" s="2" t="s">
        <v>29</v>
      </c>
      <c r="E865" s="2" t="n">
        <v>1</v>
      </c>
      <c r="F865" s="4" t="n">
        <v>14.06</v>
      </c>
      <c r="G865" s="2" t="s">
        <v>1004</v>
      </c>
      <c r="H865" s="2" t="s">
        <v>38</v>
      </c>
      <c r="I865" s="2" t="s">
        <v>93</v>
      </c>
      <c r="J865" s="2" t="s">
        <v>3177</v>
      </c>
      <c r="K865" s="2" t="n">
        <v>5</v>
      </c>
      <c r="L865" s="2" t="s">
        <v>25</v>
      </c>
      <c r="M865" s="2" t="s">
        <v>33</v>
      </c>
      <c r="N865" s="4" t="n">
        <v>14.06</v>
      </c>
      <c r="O865" s="2" t="str">
        <f aca="false">IF(COUNTIF($A$2:$A$1201,A865)&gt;1,"DUPLICATE","Unique")</f>
        <v>Unique</v>
      </c>
      <c r="P865" s="2" t="str">
        <f aca="false">IF(L865="","MISSING","OK")</f>
        <v>OK</v>
      </c>
      <c r="Q865" s="2" t="str">
        <f aca="false">IF(ISNUMBER(B865),"OK","BAD DATE")</f>
        <v>OK</v>
      </c>
      <c r="R865" s="2" t="str">
        <f aca="false">IF(ROUND(F865,2)=F865,"OK","FIX")</f>
        <v>OK</v>
      </c>
    </row>
    <row r="866" customFormat="false" ht="15" hidden="false" customHeight="false" outlineLevel="0" collapsed="false">
      <c r="A866" s="2" t="s">
        <v>3178</v>
      </c>
      <c r="B866" s="3" t="n">
        <v>45049</v>
      </c>
      <c r="C866" s="2" t="s">
        <v>3179</v>
      </c>
      <c r="D866" s="2" t="s">
        <v>77</v>
      </c>
      <c r="E866" s="2" t="n">
        <v>1</v>
      </c>
      <c r="F866" s="4" t="n">
        <v>491.11</v>
      </c>
      <c r="G866" s="2" t="s">
        <v>3180</v>
      </c>
      <c r="H866" s="2" t="s">
        <v>38</v>
      </c>
      <c r="I866" s="2" t="s">
        <v>54</v>
      </c>
      <c r="J866" s="2" t="s">
        <v>3181</v>
      </c>
      <c r="K866" s="2" t="n">
        <v>4</v>
      </c>
      <c r="L866" s="2" t="s">
        <v>25</v>
      </c>
      <c r="M866" s="2" t="s">
        <v>49</v>
      </c>
      <c r="N866" s="4" t="n">
        <v>491.11</v>
      </c>
      <c r="O866" s="2" t="str">
        <f aca="false">IF(COUNTIF($A$2:$A$1201,A866)&gt;1,"DUPLICATE","Unique")</f>
        <v>Unique</v>
      </c>
      <c r="P866" s="2" t="str">
        <f aca="false">IF(L866="","MISSING","OK")</f>
        <v>OK</v>
      </c>
      <c r="Q866" s="2" t="str">
        <f aca="false">IF(ISNUMBER(B866),"OK","BAD DATE")</f>
        <v>OK</v>
      </c>
      <c r="R866" s="2" t="str">
        <f aca="false">IF(ROUND(F866,2)=F866,"OK","FIX")</f>
        <v>OK</v>
      </c>
    </row>
    <row r="867" customFormat="false" ht="15" hidden="false" customHeight="false" outlineLevel="0" collapsed="false">
      <c r="A867" s="2" t="s">
        <v>3182</v>
      </c>
      <c r="B867" s="3" t="n">
        <v>45046</v>
      </c>
      <c r="C867" s="2" t="s">
        <v>3183</v>
      </c>
      <c r="D867" s="2" t="s">
        <v>20</v>
      </c>
      <c r="E867" s="2" t="n">
        <v>4</v>
      </c>
      <c r="F867" s="4" t="n">
        <v>677.37</v>
      </c>
      <c r="G867" s="2" t="s">
        <v>3184</v>
      </c>
      <c r="H867" s="2" t="s">
        <v>69</v>
      </c>
      <c r="I867" s="2" t="s">
        <v>93</v>
      </c>
      <c r="J867" s="2" t="s">
        <v>3185</v>
      </c>
      <c r="K867" s="2" t="n">
        <v>8</v>
      </c>
      <c r="L867" s="2" t="s">
        <v>25</v>
      </c>
      <c r="M867" s="2" t="s">
        <v>80</v>
      </c>
      <c r="N867" s="4" t="n">
        <v>2709.48</v>
      </c>
      <c r="O867" s="2" t="str">
        <f aca="false">IF(COUNTIF($A$2:$A$1201,A867)&gt;1,"DUPLICATE","Unique")</f>
        <v>Unique</v>
      </c>
      <c r="P867" s="2" t="str">
        <f aca="false">IF(L867="","MISSING","OK")</f>
        <v>OK</v>
      </c>
      <c r="Q867" s="2" t="str">
        <f aca="false">IF(ISNUMBER(B867),"OK","BAD DATE")</f>
        <v>OK</v>
      </c>
      <c r="R867" s="2" t="str">
        <f aca="false">IF(ROUND(F867,2)=F867,"OK","FIX")</f>
        <v>OK</v>
      </c>
    </row>
    <row r="868" customFormat="false" ht="15" hidden="false" customHeight="false" outlineLevel="0" collapsed="false">
      <c r="A868" s="2" t="s">
        <v>3186</v>
      </c>
      <c r="B868" s="3" t="n">
        <v>45499</v>
      </c>
      <c r="C868" s="2" t="s">
        <v>3187</v>
      </c>
      <c r="D868" s="2" t="s">
        <v>77</v>
      </c>
      <c r="E868" s="2" t="n">
        <v>5</v>
      </c>
      <c r="F868" s="4" t="n">
        <v>189.25</v>
      </c>
      <c r="G868" s="2" t="s">
        <v>3188</v>
      </c>
      <c r="H868" s="2" t="s">
        <v>22</v>
      </c>
      <c r="I868" s="2" t="s">
        <v>39</v>
      </c>
      <c r="J868" s="2" t="s">
        <v>3189</v>
      </c>
      <c r="K868" s="2" t="n">
        <v>10</v>
      </c>
      <c r="L868" s="2" t="s">
        <v>85</v>
      </c>
      <c r="M868" s="2" t="s">
        <v>42</v>
      </c>
      <c r="N868" s="4" t="n">
        <v>946.25</v>
      </c>
      <c r="O868" s="2" t="str">
        <f aca="false">IF(COUNTIF($A$2:$A$1201,A868)&gt;1,"DUPLICATE","Unique")</f>
        <v>Unique</v>
      </c>
      <c r="P868" s="2" t="str">
        <f aca="false">IF(L868="","MISSING","OK")</f>
        <v>OK</v>
      </c>
      <c r="Q868" s="2" t="str">
        <f aca="false">IF(ISNUMBER(B868),"OK","BAD DATE")</f>
        <v>OK</v>
      </c>
      <c r="R868" s="2" t="str">
        <f aca="false">IF(ROUND(F868,2)=F868,"OK","FIX")</f>
        <v>OK</v>
      </c>
    </row>
    <row r="869" customFormat="false" ht="15" hidden="false" customHeight="false" outlineLevel="0" collapsed="false">
      <c r="A869" s="2" t="s">
        <v>3190</v>
      </c>
      <c r="B869" s="3" t="n">
        <v>45438</v>
      </c>
      <c r="C869" s="2" t="s">
        <v>3191</v>
      </c>
      <c r="D869" s="2" t="s">
        <v>52</v>
      </c>
      <c r="E869" s="2" t="n">
        <v>4</v>
      </c>
      <c r="F869" s="4" t="n">
        <v>142.58</v>
      </c>
      <c r="G869" s="2" t="s">
        <v>3192</v>
      </c>
      <c r="H869" s="2" t="s">
        <v>69</v>
      </c>
      <c r="I869" s="2" t="s">
        <v>54</v>
      </c>
      <c r="J869" s="2" t="s">
        <v>3193</v>
      </c>
      <c r="K869" s="2" t="n">
        <v>4</v>
      </c>
      <c r="L869" s="2" t="s">
        <v>41</v>
      </c>
      <c r="M869" s="2" t="s">
        <v>49</v>
      </c>
      <c r="N869" s="4" t="n">
        <v>570.32</v>
      </c>
      <c r="O869" s="2" t="str">
        <f aca="false">IF(COUNTIF($A$2:$A$1201,A869)&gt;1,"DUPLICATE","Unique")</f>
        <v>Unique</v>
      </c>
      <c r="P869" s="2" t="str">
        <f aca="false">IF(L869="","MISSING","OK")</f>
        <v>OK</v>
      </c>
      <c r="Q869" s="2" t="str">
        <f aca="false">IF(ISNUMBER(B869),"OK","BAD DATE")</f>
        <v>OK</v>
      </c>
      <c r="R869" s="2" t="str">
        <f aca="false">IF(ROUND(F869,2)=F869,"OK","FIX")</f>
        <v>OK</v>
      </c>
    </row>
    <row r="870" customFormat="false" ht="15" hidden="false" customHeight="false" outlineLevel="0" collapsed="false">
      <c r="A870" s="2" t="s">
        <v>3194</v>
      </c>
      <c r="B870" s="3" t="n">
        <v>45472</v>
      </c>
      <c r="C870" s="2" t="s">
        <v>3195</v>
      </c>
      <c r="D870" s="2" t="s">
        <v>20</v>
      </c>
      <c r="E870" s="2" t="n">
        <v>4</v>
      </c>
      <c r="F870" s="4" t="n">
        <v>316.32</v>
      </c>
      <c r="G870" s="2" t="s">
        <v>3196</v>
      </c>
      <c r="H870" s="2" t="s">
        <v>22</v>
      </c>
      <c r="I870" s="2" t="s">
        <v>54</v>
      </c>
      <c r="J870" s="2" t="s">
        <v>3197</v>
      </c>
      <c r="K870" s="2" t="n">
        <v>7</v>
      </c>
      <c r="L870" s="2"/>
      <c r="M870" s="2" t="s">
        <v>49</v>
      </c>
      <c r="N870" s="4" t="n">
        <v>1265.28</v>
      </c>
      <c r="O870" s="2" t="str">
        <f aca="false">IF(COUNTIF($A$2:$A$1201,A870)&gt;1,"DUPLICATE","Unique")</f>
        <v>Unique</v>
      </c>
      <c r="P870" s="2" t="str">
        <f aca="false">IF(L870="","MISSING","OK")</f>
        <v>MISSING</v>
      </c>
      <c r="Q870" s="2" t="str">
        <f aca="false">IF(ISNUMBER(B870),"OK","BAD DATE")</f>
        <v>OK</v>
      </c>
      <c r="R870" s="2" t="str">
        <f aca="false">IF(ROUND(F870,2)=F870,"OK","FIX")</f>
        <v>OK</v>
      </c>
    </row>
    <row r="871" customFormat="false" ht="15" hidden="false" customHeight="false" outlineLevel="0" collapsed="false">
      <c r="A871" s="2" t="s">
        <v>3198</v>
      </c>
      <c r="B871" s="3" t="n">
        <v>45368</v>
      </c>
      <c r="C871" s="2" t="s">
        <v>3199</v>
      </c>
      <c r="D871" s="2" t="s">
        <v>77</v>
      </c>
      <c r="E871" s="2" t="n">
        <v>2</v>
      </c>
      <c r="F871" s="4" t="n">
        <v>533.95</v>
      </c>
      <c r="G871" s="2" t="s">
        <v>723</v>
      </c>
      <c r="H871" s="2" t="s">
        <v>31</v>
      </c>
      <c r="I871" s="2" t="s">
        <v>54</v>
      </c>
      <c r="J871" s="2" t="s">
        <v>3200</v>
      </c>
      <c r="K871" s="2" t="n">
        <v>5</v>
      </c>
      <c r="L871" s="2" t="s">
        <v>85</v>
      </c>
      <c r="M871" s="2" t="s">
        <v>80</v>
      </c>
      <c r="N871" s="4" t="n">
        <v>1067.9</v>
      </c>
      <c r="O871" s="2" t="str">
        <f aca="false">IF(COUNTIF($A$2:$A$1201,A871)&gt;1,"DUPLICATE","Unique")</f>
        <v>Unique</v>
      </c>
      <c r="P871" s="2" t="str">
        <f aca="false">IF(L871="","MISSING","OK")</f>
        <v>OK</v>
      </c>
      <c r="Q871" s="2" t="str">
        <f aca="false">IF(ISNUMBER(B871),"OK","BAD DATE")</f>
        <v>OK</v>
      </c>
      <c r="R871" s="2" t="str">
        <f aca="false">IF(ROUND(F871,2)=F871,"OK","FIX")</f>
        <v>OK</v>
      </c>
    </row>
    <row r="872" customFormat="false" ht="15" hidden="false" customHeight="false" outlineLevel="0" collapsed="false">
      <c r="A872" s="2" t="s">
        <v>3201</v>
      </c>
      <c r="B872" s="3" t="n">
        <v>45809</v>
      </c>
      <c r="C872" s="2" t="s">
        <v>3202</v>
      </c>
      <c r="D872" s="2" t="s">
        <v>29</v>
      </c>
      <c r="E872" s="2" t="n">
        <v>4</v>
      </c>
      <c r="F872" s="4" t="n">
        <v>470.09</v>
      </c>
      <c r="G872" s="2" t="s">
        <v>3203</v>
      </c>
      <c r="H872" s="2" t="s">
        <v>22</v>
      </c>
      <c r="I872" s="2" t="s">
        <v>54</v>
      </c>
      <c r="J872" s="2" t="s">
        <v>3204</v>
      </c>
      <c r="K872" s="2" t="n">
        <v>4</v>
      </c>
      <c r="L872" s="2" t="s">
        <v>41</v>
      </c>
      <c r="M872" s="2" t="s">
        <v>80</v>
      </c>
      <c r="N872" s="4" t="n">
        <v>1880.36</v>
      </c>
      <c r="O872" s="2" t="str">
        <f aca="false">IF(COUNTIF($A$2:$A$1201,A872)&gt;1,"DUPLICATE","Unique")</f>
        <v>Unique</v>
      </c>
      <c r="P872" s="2" t="str">
        <f aca="false">IF(L872="","MISSING","OK")</f>
        <v>OK</v>
      </c>
      <c r="Q872" s="2" t="str">
        <f aca="false">IF(ISNUMBER(B872),"OK","BAD DATE")</f>
        <v>OK</v>
      </c>
      <c r="R872" s="2" t="str">
        <f aca="false">IF(ROUND(F872,2)=F872,"OK","FIX")</f>
        <v>OK</v>
      </c>
    </row>
    <row r="873" customFormat="false" ht="15" hidden="false" customHeight="false" outlineLevel="0" collapsed="false">
      <c r="A873" s="2" t="s">
        <v>3205</v>
      </c>
      <c r="B873" s="3" t="n">
        <v>45428</v>
      </c>
      <c r="C873" s="2" t="s">
        <v>3206</v>
      </c>
      <c r="D873" s="2" t="s">
        <v>36</v>
      </c>
      <c r="E873" s="2" t="n">
        <v>3</v>
      </c>
      <c r="F873" s="4" t="n">
        <v>324.3</v>
      </c>
      <c r="G873" s="2" t="s">
        <v>3207</v>
      </c>
      <c r="H873" s="2" t="s">
        <v>22</v>
      </c>
      <c r="I873" s="2" t="s">
        <v>93</v>
      </c>
      <c r="J873" s="2" t="s">
        <v>3208</v>
      </c>
      <c r="K873" s="2" t="n">
        <v>8</v>
      </c>
      <c r="L873" s="2" t="s">
        <v>41</v>
      </c>
      <c r="M873" s="2" t="s">
        <v>42</v>
      </c>
      <c r="N873" s="4" t="n">
        <v>972.9</v>
      </c>
      <c r="O873" s="2" t="str">
        <f aca="false">IF(COUNTIF($A$2:$A$1201,A873)&gt;1,"DUPLICATE","Unique")</f>
        <v>Unique</v>
      </c>
      <c r="P873" s="2" t="str">
        <f aca="false">IF(L873="","MISSING","OK")</f>
        <v>OK</v>
      </c>
      <c r="Q873" s="2" t="str">
        <f aca="false">IF(ISNUMBER(B873),"OK","BAD DATE")</f>
        <v>OK</v>
      </c>
      <c r="R873" s="2" t="str">
        <f aca="false">IF(ROUND(F873,2)=F873,"OK","FIX")</f>
        <v>OK</v>
      </c>
    </row>
    <row r="874" customFormat="false" ht="15" hidden="false" customHeight="false" outlineLevel="0" collapsed="false">
      <c r="A874" s="2" t="s">
        <v>3209</v>
      </c>
      <c r="B874" s="3" t="n">
        <v>45117</v>
      </c>
      <c r="C874" s="2" t="s">
        <v>3210</v>
      </c>
      <c r="D874" s="2" t="s">
        <v>45</v>
      </c>
      <c r="E874" s="2" t="n">
        <v>4</v>
      </c>
      <c r="F874" s="4" t="n">
        <v>629.34</v>
      </c>
      <c r="G874" s="2" t="s">
        <v>834</v>
      </c>
      <c r="H874" s="2" t="s">
        <v>69</v>
      </c>
      <c r="I874" s="2" t="s">
        <v>23</v>
      </c>
      <c r="J874" s="2" t="s">
        <v>3211</v>
      </c>
      <c r="K874" s="2" t="n">
        <v>7</v>
      </c>
      <c r="L874" s="2"/>
      <c r="M874" s="2" t="s">
        <v>42</v>
      </c>
      <c r="N874" s="4" t="n">
        <v>2517.36</v>
      </c>
      <c r="O874" s="2" t="str">
        <f aca="false">IF(COUNTIF($A$2:$A$1201,A874)&gt;1,"DUPLICATE","Unique")</f>
        <v>Unique</v>
      </c>
      <c r="P874" s="2" t="str">
        <f aca="false">IF(L874="","MISSING","OK")</f>
        <v>MISSING</v>
      </c>
      <c r="Q874" s="2" t="str">
        <f aca="false">IF(ISNUMBER(B874),"OK","BAD DATE")</f>
        <v>OK</v>
      </c>
      <c r="R874" s="2" t="str">
        <f aca="false">IF(ROUND(F874,2)=F874,"OK","FIX")</f>
        <v>OK</v>
      </c>
    </row>
    <row r="875" customFormat="false" ht="15" hidden="false" customHeight="false" outlineLevel="0" collapsed="false">
      <c r="A875" s="2" t="s">
        <v>3212</v>
      </c>
      <c r="B875" s="3" t="n">
        <v>45424</v>
      </c>
      <c r="C875" s="2" t="s">
        <v>3213</v>
      </c>
      <c r="D875" s="2" t="s">
        <v>77</v>
      </c>
      <c r="E875" s="2" t="n">
        <v>3</v>
      </c>
      <c r="F875" s="4" t="n">
        <v>136.84</v>
      </c>
      <c r="G875" s="2" t="s">
        <v>3214</v>
      </c>
      <c r="H875" s="2" t="s">
        <v>69</v>
      </c>
      <c r="I875" s="2" t="s">
        <v>54</v>
      </c>
      <c r="J875" s="2" t="s">
        <v>3215</v>
      </c>
      <c r="K875" s="2" t="n">
        <v>3</v>
      </c>
      <c r="L875" s="2" t="s">
        <v>25</v>
      </c>
      <c r="M875" s="2" t="s">
        <v>49</v>
      </c>
      <c r="N875" s="4" t="n">
        <v>410.52</v>
      </c>
      <c r="O875" s="2" t="str">
        <f aca="false">IF(COUNTIF($A$2:$A$1201,A875)&gt;1,"DUPLICATE","Unique")</f>
        <v>Unique</v>
      </c>
      <c r="P875" s="2" t="str">
        <f aca="false">IF(L875="","MISSING","OK")</f>
        <v>OK</v>
      </c>
      <c r="Q875" s="2" t="str">
        <f aca="false">IF(ISNUMBER(B875),"OK","BAD DATE")</f>
        <v>OK</v>
      </c>
      <c r="R875" s="2" t="str">
        <f aca="false">IF(ROUND(F875,2)=F875,"OK","FIX")</f>
        <v>OK</v>
      </c>
    </row>
    <row r="876" customFormat="false" ht="15" hidden="false" customHeight="false" outlineLevel="0" collapsed="false">
      <c r="A876" s="2" t="s">
        <v>3216</v>
      </c>
      <c r="B876" s="3" t="n">
        <v>45230</v>
      </c>
      <c r="C876" s="2" t="s">
        <v>3217</v>
      </c>
      <c r="D876" s="2" t="s">
        <v>45</v>
      </c>
      <c r="E876" s="2" t="n">
        <v>2</v>
      </c>
      <c r="F876" s="4" t="n">
        <v>488.9</v>
      </c>
      <c r="G876" s="2" t="s">
        <v>2652</v>
      </c>
      <c r="H876" s="2" t="s">
        <v>69</v>
      </c>
      <c r="I876" s="2" t="s">
        <v>54</v>
      </c>
      <c r="J876" s="2" t="s">
        <v>3218</v>
      </c>
      <c r="K876" s="2" t="n">
        <v>7</v>
      </c>
      <c r="L876" s="2" t="s">
        <v>41</v>
      </c>
      <c r="M876" s="2" t="s">
        <v>49</v>
      </c>
      <c r="N876" s="4" t="n">
        <v>977.8</v>
      </c>
      <c r="O876" s="2" t="str">
        <f aca="false">IF(COUNTIF($A$2:$A$1201,A876)&gt;1,"DUPLICATE","Unique")</f>
        <v>Unique</v>
      </c>
      <c r="P876" s="2" t="str">
        <f aca="false">IF(L876="","MISSING","OK")</f>
        <v>OK</v>
      </c>
      <c r="Q876" s="2" t="str">
        <f aca="false">IF(ISNUMBER(B876),"OK","BAD DATE")</f>
        <v>OK</v>
      </c>
      <c r="R876" s="2" t="str">
        <f aca="false">IF(ROUND(F876,2)=F876,"OK","FIX")</f>
        <v>OK</v>
      </c>
    </row>
    <row r="877" customFormat="false" ht="15" hidden="false" customHeight="false" outlineLevel="0" collapsed="false">
      <c r="A877" s="2" t="s">
        <v>3219</v>
      </c>
      <c r="B877" s="3" t="n">
        <v>45141</v>
      </c>
      <c r="C877" s="2" t="s">
        <v>3220</v>
      </c>
      <c r="D877" s="2" t="s">
        <v>62</v>
      </c>
      <c r="E877" s="2" t="n">
        <v>5</v>
      </c>
      <c r="F877" s="4" t="n">
        <v>133.39</v>
      </c>
      <c r="G877" s="2" t="s">
        <v>407</v>
      </c>
      <c r="H877" s="2" t="s">
        <v>38</v>
      </c>
      <c r="I877" s="2" t="s">
        <v>54</v>
      </c>
      <c r="J877" s="2" t="s">
        <v>3221</v>
      </c>
      <c r="K877" s="2" t="n">
        <v>6</v>
      </c>
      <c r="L877" s="2" t="s">
        <v>41</v>
      </c>
      <c r="M877" s="2" t="s">
        <v>33</v>
      </c>
      <c r="N877" s="4" t="n">
        <v>666.95</v>
      </c>
      <c r="O877" s="2" t="str">
        <f aca="false">IF(COUNTIF($A$2:$A$1201,A877)&gt;1,"DUPLICATE","Unique")</f>
        <v>Unique</v>
      </c>
      <c r="P877" s="2" t="str">
        <f aca="false">IF(L877="","MISSING","OK")</f>
        <v>OK</v>
      </c>
      <c r="Q877" s="2" t="str">
        <f aca="false">IF(ISNUMBER(B877),"OK","BAD DATE")</f>
        <v>OK</v>
      </c>
      <c r="R877" s="2" t="str">
        <f aca="false">IF(ROUND(F877,2)=F877,"OK","FIX")</f>
        <v>OK</v>
      </c>
    </row>
    <row r="878" customFormat="false" ht="15" hidden="false" customHeight="false" outlineLevel="0" collapsed="false">
      <c r="A878" s="2" t="s">
        <v>3222</v>
      </c>
      <c r="B878" s="3" t="n">
        <v>45452</v>
      </c>
      <c r="C878" s="2" t="s">
        <v>3223</v>
      </c>
      <c r="D878" s="2" t="s">
        <v>45</v>
      </c>
      <c r="E878" s="2" t="n">
        <v>5</v>
      </c>
      <c r="F878" s="4" t="n">
        <v>608.91</v>
      </c>
      <c r="G878" s="2" t="s">
        <v>2764</v>
      </c>
      <c r="H878" s="2" t="s">
        <v>64</v>
      </c>
      <c r="I878" s="2" t="s">
        <v>93</v>
      </c>
      <c r="J878" s="2" t="s">
        <v>3224</v>
      </c>
      <c r="K878" s="2" t="n">
        <v>6</v>
      </c>
      <c r="L878" s="2" t="s">
        <v>25</v>
      </c>
      <c r="M878" s="2" t="s">
        <v>80</v>
      </c>
      <c r="N878" s="4" t="n">
        <v>3044.55</v>
      </c>
      <c r="O878" s="2" t="str">
        <f aca="false">IF(COUNTIF($A$2:$A$1201,A878)&gt;1,"DUPLICATE","Unique")</f>
        <v>Unique</v>
      </c>
      <c r="P878" s="2" t="str">
        <f aca="false">IF(L878="","MISSING","OK")</f>
        <v>OK</v>
      </c>
      <c r="Q878" s="2" t="str">
        <f aca="false">IF(ISNUMBER(B878),"OK","BAD DATE")</f>
        <v>OK</v>
      </c>
      <c r="R878" s="2" t="str">
        <f aca="false">IF(ROUND(F878,2)=F878,"OK","FIX")</f>
        <v>OK</v>
      </c>
    </row>
    <row r="879" customFormat="false" ht="15" hidden="false" customHeight="false" outlineLevel="0" collapsed="false">
      <c r="A879" s="2" t="s">
        <v>3225</v>
      </c>
      <c r="B879" s="3" t="n">
        <v>45498</v>
      </c>
      <c r="C879" s="2" t="s">
        <v>3226</v>
      </c>
      <c r="D879" s="2" t="s">
        <v>36</v>
      </c>
      <c r="E879" s="2" t="n">
        <v>1</v>
      </c>
      <c r="F879" s="4" t="n">
        <v>524.06</v>
      </c>
      <c r="G879" s="2" t="s">
        <v>2350</v>
      </c>
      <c r="H879" s="2" t="s">
        <v>22</v>
      </c>
      <c r="I879" s="2" t="s">
        <v>93</v>
      </c>
      <c r="J879" s="2" t="s">
        <v>3227</v>
      </c>
      <c r="K879" s="2" t="n">
        <v>3</v>
      </c>
      <c r="L879" s="2" t="s">
        <v>41</v>
      </c>
      <c r="M879" s="2" t="s">
        <v>42</v>
      </c>
      <c r="N879" s="4" t="n">
        <v>524.06</v>
      </c>
      <c r="O879" s="2" t="str">
        <f aca="false">IF(COUNTIF($A$2:$A$1201,A879)&gt;1,"DUPLICATE","Unique")</f>
        <v>Unique</v>
      </c>
      <c r="P879" s="2" t="str">
        <f aca="false">IF(L879="","MISSING","OK")</f>
        <v>OK</v>
      </c>
      <c r="Q879" s="2" t="str">
        <f aca="false">IF(ISNUMBER(B879),"OK","BAD DATE")</f>
        <v>OK</v>
      </c>
      <c r="R879" s="2" t="str">
        <f aca="false">IF(ROUND(F879,2)=F879,"OK","FIX")</f>
        <v>OK</v>
      </c>
    </row>
    <row r="880" customFormat="false" ht="15" hidden="false" customHeight="false" outlineLevel="0" collapsed="false">
      <c r="A880" s="2" t="s">
        <v>3228</v>
      </c>
      <c r="B880" s="3" t="n">
        <v>45078</v>
      </c>
      <c r="C880" s="2" t="s">
        <v>3229</v>
      </c>
      <c r="D880" s="2" t="s">
        <v>77</v>
      </c>
      <c r="E880" s="2" t="n">
        <v>2</v>
      </c>
      <c r="F880" s="4" t="n">
        <v>330.69</v>
      </c>
      <c r="G880" s="2" t="s">
        <v>3230</v>
      </c>
      <c r="H880" s="2" t="s">
        <v>31</v>
      </c>
      <c r="I880" s="2" t="s">
        <v>39</v>
      </c>
      <c r="J880" s="2" t="s">
        <v>3231</v>
      </c>
      <c r="K880" s="2" t="n">
        <v>5</v>
      </c>
      <c r="L880" s="2" t="s">
        <v>25</v>
      </c>
      <c r="M880" s="2" t="s">
        <v>80</v>
      </c>
      <c r="N880" s="4" t="n">
        <v>661.38</v>
      </c>
      <c r="O880" s="2" t="str">
        <f aca="false">IF(COUNTIF($A$2:$A$1201,A880)&gt;1,"DUPLICATE","Unique")</f>
        <v>Unique</v>
      </c>
      <c r="P880" s="2" t="str">
        <f aca="false">IF(L880="","MISSING","OK")</f>
        <v>OK</v>
      </c>
      <c r="Q880" s="2" t="str">
        <f aca="false">IF(ISNUMBER(B880),"OK","BAD DATE")</f>
        <v>OK</v>
      </c>
      <c r="R880" s="2" t="str">
        <f aca="false">IF(ROUND(F880,2)=F880,"OK","FIX")</f>
        <v>OK</v>
      </c>
    </row>
    <row r="881" customFormat="false" ht="15" hidden="false" customHeight="false" outlineLevel="0" collapsed="false">
      <c r="A881" s="2" t="s">
        <v>3232</v>
      </c>
      <c r="B881" s="3" t="n">
        <v>45755</v>
      </c>
      <c r="C881" s="2" t="s">
        <v>3233</v>
      </c>
      <c r="D881" s="2" t="s">
        <v>29</v>
      </c>
      <c r="E881" s="2" t="n">
        <v>2</v>
      </c>
      <c r="F881" s="4" t="n">
        <v>547.67</v>
      </c>
      <c r="G881" s="2" t="s">
        <v>2120</v>
      </c>
      <c r="H881" s="2" t="s">
        <v>64</v>
      </c>
      <c r="I881" s="2" t="s">
        <v>23</v>
      </c>
      <c r="J881" s="2" t="s">
        <v>3234</v>
      </c>
      <c r="K881" s="2" t="n">
        <v>3</v>
      </c>
      <c r="L881" s="2"/>
      <c r="M881" s="2" t="s">
        <v>26</v>
      </c>
      <c r="N881" s="4" t="n">
        <v>1095.34</v>
      </c>
      <c r="O881" s="2" t="str">
        <f aca="false">IF(COUNTIF($A$2:$A$1201,A881)&gt;1,"DUPLICATE","Unique")</f>
        <v>Unique</v>
      </c>
      <c r="P881" s="2" t="str">
        <f aca="false">IF(L881="","MISSING","OK")</f>
        <v>MISSING</v>
      </c>
      <c r="Q881" s="2" t="str">
        <f aca="false">IF(ISNUMBER(B881),"OK","BAD DATE")</f>
        <v>OK</v>
      </c>
      <c r="R881" s="2" t="str">
        <f aca="false">IF(ROUND(F881,2)=F881,"OK","FIX")</f>
        <v>OK</v>
      </c>
    </row>
    <row r="882" customFormat="false" ht="15" hidden="false" customHeight="false" outlineLevel="0" collapsed="false">
      <c r="A882" s="2" t="s">
        <v>3235</v>
      </c>
      <c r="B882" s="3" t="n">
        <v>45728</v>
      </c>
      <c r="C882" s="2" t="s">
        <v>3236</v>
      </c>
      <c r="D882" s="2" t="s">
        <v>62</v>
      </c>
      <c r="E882" s="2" t="n">
        <v>4</v>
      </c>
      <c r="F882" s="4" t="n">
        <v>233.7</v>
      </c>
      <c r="G882" s="2" t="s">
        <v>984</v>
      </c>
      <c r="H882" s="2" t="s">
        <v>31</v>
      </c>
      <c r="I882" s="2" t="s">
        <v>23</v>
      </c>
      <c r="J882" s="2" t="s">
        <v>3237</v>
      </c>
      <c r="K882" s="2" t="n">
        <v>8</v>
      </c>
      <c r="L882" s="2" t="s">
        <v>25</v>
      </c>
      <c r="M882" s="2" t="s">
        <v>49</v>
      </c>
      <c r="N882" s="4" t="n">
        <v>934.8</v>
      </c>
      <c r="O882" s="2" t="str">
        <f aca="false">IF(COUNTIF($A$2:$A$1201,A882)&gt;1,"DUPLICATE","Unique")</f>
        <v>Unique</v>
      </c>
      <c r="P882" s="2" t="str">
        <f aca="false">IF(L882="","MISSING","OK")</f>
        <v>OK</v>
      </c>
      <c r="Q882" s="2" t="str">
        <f aca="false">IF(ISNUMBER(B882),"OK","BAD DATE")</f>
        <v>OK</v>
      </c>
      <c r="R882" s="2" t="str">
        <f aca="false">IF(ROUND(F882,2)=F882,"OK","FIX")</f>
        <v>OK</v>
      </c>
    </row>
    <row r="883" customFormat="false" ht="15" hidden="false" customHeight="false" outlineLevel="0" collapsed="false">
      <c r="A883" s="2" t="s">
        <v>3238</v>
      </c>
      <c r="B883" s="3" t="n">
        <v>44929</v>
      </c>
      <c r="C883" s="2" t="s">
        <v>3239</v>
      </c>
      <c r="D883" s="2" t="s">
        <v>36</v>
      </c>
      <c r="E883" s="2" t="n">
        <v>2</v>
      </c>
      <c r="F883" s="4" t="n">
        <v>448.85</v>
      </c>
      <c r="G883" s="2" t="s">
        <v>3240</v>
      </c>
      <c r="H883" s="2" t="s">
        <v>38</v>
      </c>
      <c r="I883" s="2" t="s">
        <v>93</v>
      </c>
      <c r="J883" s="2" t="s">
        <v>3241</v>
      </c>
      <c r="K883" s="2" t="n">
        <v>6</v>
      </c>
      <c r="L883" s="2"/>
      <c r="M883" s="2" t="s">
        <v>26</v>
      </c>
      <c r="N883" s="4" t="n">
        <v>897.7</v>
      </c>
      <c r="O883" s="2" t="str">
        <f aca="false">IF(COUNTIF($A$2:$A$1201,A883)&gt;1,"DUPLICATE","Unique")</f>
        <v>Unique</v>
      </c>
      <c r="P883" s="2" t="str">
        <f aca="false">IF(L883="","MISSING","OK")</f>
        <v>MISSING</v>
      </c>
      <c r="Q883" s="2" t="str">
        <f aca="false">IF(ISNUMBER(B883),"OK","BAD DATE")</f>
        <v>OK</v>
      </c>
      <c r="R883" s="2" t="str">
        <f aca="false">IF(ROUND(F883,2)=F883,"OK","FIX")</f>
        <v>OK</v>
      </c>
    </row>
    <row r="884" customFormat="false" ht="15" hidden="false" customHeight="false" outlineLevel="0" collapsed="false">
      <c r="A884" s="2" t="s">
        <v>3242</v>
      </c>
      <c r="B884" s="3" t="n">
        <v>45836</v>
      </c>
      <c r="C884" s="2" t="s">
        <v>3243</v>
      </c>
      <c r="D884" s="2" t="s">
        <v>29</v>
      </c>
      <c r="E884" s="2" t="n">
        <v>2</v>
      </c>
      <c r="F884" s="4" t="n">
        <v>274.12</v>
      </c>
      <c r="G884" s="2" t="s">
        <v>430</v>
      </c>
      <c r="H884" s="2" t="s">
        <v>69</v>
      </c>
      <c r="I884" s="2" t="s">
        <v>54</v>
      </c>
      <c r="J884" s="2" t="s">
        <v>3244</v>
      </c>
      <c r="K884" s="2" t="n">
        <v>6</v>
      </c>
      <c r="L884" s="2" t="s">
        <v>41</v>
      </c>
      <c r="M884" s="2" t="s">
        <v>33</v>
      </c>
      <c r="N884" s="4" t="n">
        <v>548.24</v>
      </c>
      <c r="O884" s="2" t="str">
        <f aca="false">IF(COUNTIF($A$2:$A$1201,A884)&gt;1,"DUPLICATE","Unique")</f>
        <v>Unique</v>
      </c>
      <c r="P884" s="2" t="str">
        <f aca="false">IF(L884="","MISSING","OK")</f>
        <v>OK</v>
      </c>
      <c r="Q884" s="2" t="str">
        <f aca="false">IF(ISNUMBER(B884),"OK","BAD DATE")</f>
        <v>OK</v>
      </c>
      <c r="R884" s="2" t="str">
        <f aca="false">IF(ROUND(F884,2)=F884,"OK","FIX")</f>
        <v>OK</v>
      </c>
    </row>
    <row r="885" customFormat="false" ht="15" hidden="false" customHeight="false" outlineLevel="0" collapsed="false">
      <c r="A885" s="2" t="s">
        <v>3245</v>
      </c>
      <c r="B885" s="3" t="n">
        <v>45790</v>
      </c>
      <c r="C885" s="2" t="s">
        <v>3246</v>
      </c>
      <c r="D885" s="2" t="s">
        <v>52</v>
      </c>
      <c r="E885" s="2" t="n">
        <v>5</v>
      </c>
      <c r="F885" s="4" t="n">
        <v>561.48</v>
      </c>
      <c r="G885" s="2" t="s">
        <v>3247</v>
      </c>
      <c r="H885" s="2" t="s">
        <v>31</v>
      </c>
      <c r="I885" s="2" t="s">
        <v>54</v>
      </c>
      <c r="J885" s="2" t="s">
        <v>3248</v>
      </c>
      <c r="K885" s="2" t="n">
        <v>9</v>
      </c>
      <c r="L885" s="2" t="s">
        <v>41</v>
      </c>
      <c r="M885" s="2" t="s">
        <v>49</v>
      </c>
      <c r="N885" s="4" t="n">
        <v>2807.4</v>
      </c>
      <c r="O885" s="2" t="str">
        <f aca="false">IF(COUNTIF($A$2:$A$1201,A885)&gt;1,"DUPLICATE","Unique")</f>
        <v>Unique</v>
      </c>
      <c r="P885" s="2" t="str">
        <f aca="false">IF(L885="","MISSING","OK")</f>
        <v>OK</v>
      </c>
      <c r="Q885" s="2" t="str">
        <f aca="false">IF(ISNUMBER(B885),"OK","BAD DATE")</f>
        <v>OK</v>
      </c>
      <c r="R885" s="2" t="str">
        <f aca="false">IF(ROUND(F885,2)=F885,"OK","FIX")</f>
        <v>OK</v>
      </c>
    </row>
    <row r="886" customFormat="false" ht="15" hidden="false" customHeight="false" outlineLevel="0" collapsed="false">
      <c r="A886" s="2" t="s">
        <v>3249</v>
      </c>
      <c r="B886" s="3" t="n">
        <v>45427</v>
      </c>
      <c r="C886" s="2" t="s">
        <v>3250</v>
      </c>
      <c r="D886" s="2" t="s">
        <v>45</v>
      </c>
      <c r="E886" s="2" t="n">
        <v>1</v>
      </c>
      <c r="F886" s="4" t="n">
        <v>595.54</v>
      </c>
      <c r="G886" s="2" t="s">
        <v>3251</v>
      </c>
      <c r="H886" s="2" t="s">
        <v>64</v>
      </c>
      <c r="I886" s="2" t="s">
        <v>23</v>
      </c>
      <c r="J886" s="2" t="s">
        <v>3252</v>
      </c>
      <c r="K886" s="2" t="n">
        <v>4</v>
      </c>
      <c r="L886" s="2"/>
      <c r="M886" s="2" t="s">
        <v>26</v>
      </c>
      <c r="N886" s="4" t="n">
        <v>595.54</v>
      </c>
      <c r="O886" s="2" t="str">
        <f aca="false">IF(COUNTIF($A$2:$A$1201,A886)&gt;1,"DUPLICATE","Unique")</f>
        <v>Unique</v>
      </c>
      <c r="P886" s="2" t="str">
        <f aca="false">IF(L886="","MISSING","OK")</f>
        <v>MISSING</v>
      </c>
      <c r="Q886" s="2" t="str">
        <f aca="false">IF(ISNUMBER(B886),"OK","BAD DATE")</f>
        <v>OK</v>
      </c>
      <c r="R886" s="2" t="str">
        <f aca="false">IF(ROUND(F886,2)=F886,"OK","FIX")</f>
        <v>OK</v>
      </c>
    </row>
    <row r="887" customFormat="false" ht="15" hidden="false" customHeight="false" outlineLevel="0" collapsed="false">
      <c r="A887" s="2" t="s">
        <v>3253</v>
      </c>
      <c r="B887" s="3" t="n">
        <v>45389</v>
      </c>
      <c r="C887" s="2" t="s">
        <v>3254</v>
      </c>
      <c r="D887" s="2" t="s">
        <v>62</v>
      </c>
      <c r="E887" s="2" t="n">
        <v>4</v>
      </c>
      <c r="F887" s="4" t="n">
        <v>515.59</v>
      </c>
      <c r="G887" s="2" t="s">
        <v>3255</v>
      </c>
      <c r="H887" s="2" t="s">
        <v>38</v>
      </c>
      <c r="I887" s="2" t="s">
        <v>23</v>
      </c>
      <c r="J887" s="2" t="s">
        <v>3256</v>
      </c>
      <c r="K887" s="2" t="n">
        <v>7</v>
      </c>
      <c r="L887" s="2" t="s">
        <v>41</v>
      </c>
      <c r="M887" s="2" t="s">
        <v>80</v>
      </c>
      <c r="N887" s="4" t="n">
        <v>2062.36</v>
      </c>
      <c r="O887" s="2" t="str">
        <f aca="false">IF(COUNTIF($A$2:$A$1201,A887)&gt;1,"DUPLICATE","Unique")</f>
        <v>Unique</v>
      </c>
      <c r="P887" s="2" t="str">
        <f aca="false">IF(L887="","MISSING","OK")</f>
        <v>OK</v>
      </c>
      <c r="Q887" s="2" t="str">
        <f aca="false">IF(ISNUMBER(B887),"OK","BAD DATE")</f>
        <v>OK</v>
      </c>
      <c r="R887" s="2" t="str">
        <f aca="false">IF(ROUND(F887,2)=F887,"OK","FIX")</f>
        <v>OK</v>
      </c>
    </row>
    <row r="888" customFormat="false" ht="15" hidden="false" customHeight="false" outlineLevel="0" collapsed="false">
      <c r="A888" s="2" t="s">
        <v>3257</v>
      </c>
      <c r="B888" s="3" t="n">
        <v>45224</v>
      </c>
      <c r="C888" s="2" t="s">
        <v>3258</v>
      </c>
      <c r="D888" s="2" t="s">
        <v>29</v>
      </c>
      <c r="E888" s="2" t="n">
        <v>1</v>
      </c>
      <c r="F888" s="4" t="n">
        <v>460.13</v>
      </c>
      <c r="G888" s="2" t="s">
        <v>3259</v>
      </c>
      <c r="H888" s="2" t="s">
        <v>38</v>
      </c>
      <c r="I888" s="2" t="s">
        <v>47</v>
      </c>
      <c r="J888" s="2" t="s">
        <v>3260</v>
      </c>
      <c r="K888" s="2" t="n">
        <v>1</v>
      </c>
      <c r="L888" s="2"/>
      <c r="M888" s="2" t="s">
        <v>80</v>
      </c>
      <c r="N888" s="4" t="n">
        <v>460.13</v>
      </c>
      <c r="O888" s="2" t="str">
        <f aca="false">IF(COUNTIF($A$2:$A$1201,A888)&gt;1,"DUPLICATE","Unique")</f>
        <v>Unique</v>
      </c>
      <c r="P888" s="2" t="str">
        <f aca="false">IF(L888="","MISSING","OK")</f>
        <v>MISSING</v>
      </c>
      <c r="Q888" s="2" t="str">
        <f aca="false">IF(ISNUMBER(B888),"OK","BAD DATE")</f>
        <v>OK</v>
      </c>
      <c r="R888" s="2" t="str">
        <f aca="false">IF(ROUND(F888,2)=F888,"OK","FIX")</f>
        <v>OK</v>
      </c>
    </row>
    <row r="889" customFormat="false" ht="15" hidden="false" customHeight="false" outlineLevel="0" collapsed="false">
      <c r="A889" s="2" t="s">
        <v>3261</v>
      </c>
      <c r="B889" s="3" t="n">
        <v>45645</v>
      </c>
      <c r="C889" s="2" t="s">
        <v>3262</v>
      </c>
      <c r="D889" s="2" t="s">
        <v>45</v>
      </c>
      <c r="E889" s="2" t="n">
        <v>3</v>
      </c>
      <c r="F889" s="4" t="n">
        <v>171.66</v>
      </c>
      <c r="G889" s="2" t="s">
        <v>3263</v>
      </c>
      <c r="H889" s="2" t="s">
        <v>22</v>
      </c>
      <c r="I889" s="2" t="s">
        <v>54</v>
      </c>
      <c r="J889" s="2" t="s">
        <v>3264</v>
      </c>
      <c r="K889" s="2" t="n">
        <v>7</v>
      </c>
      <c r="L889" s="2"/>
      <c r="M889" s="2" t="s">
        <v>80</v>
      </c>
      <c r="N889" s="4" t="n">
        <v>514.98</v>
      </c>
      <c r="O889" s="2" t="str">
        <f aca="false">IF(COUNTIF($A$2:$A$1201,A889)&gt;1,"DUPLICATE","Unique")</f>
        <v>Unique</v>
      </c>
      <c r="P889" s="2" t="str">
        <f aca="false">IF(L889="","MISSING","OK")</f>
        <v>MISSING</v>
      </c>
      <c r="Q889" s="2" t="str">
        <f aca="false">IF(ISNUMBER(B889),"OK","BAD DATE")</f>
        <v>OK</v>
      </c>
      <c r="R889" s="2" t="str">
        <f aca="false">IF(ROUND(F889,2)=F889,"OK","FIX")</f>
        <v>OK</v>
      </c>
    </row>
    <row r="890" customFormat="false" ht="15" hidden="false" customHeight="false" outlineLevel="0" collapsed="false">
      <c r="A890" s="2" t="s">
        <v>3265</v>
      </c>
      <c r="B890" s="3" t="n">
        <v>45496</v>
      </c>
      <c r="C890" s="2" t="s">
        <v>3266</v>
      </c>
      <c r="D890" s="2" t="s">
        <v>62</v>
      </c>
      <c r="E890" s="2" t="n">
        <v>2</v>
      </c>
      <c r="F890" s="4" t="n">
        <v>266.95</v>
      </c>
      <c r="G890" s="2" t="s">
        <v>3267</v>
      </c>
      <c r="H890" s="2" t="s">
        <v>38</v>
      </c>
      <c r="I890" s="2" t="s">
        <v>93</v>
      </c>
      <c r="J890" s="2" t="s">
        <v>3268</v>
      </c>
      <c r="K890" s="2" t="n">
        <v>3</v>
      </c>
      <c r="L890" s="2"/>
      <c r="M890" s="2" t="s">
        <v>26</v>
      </c>
      <c r="N890" s="4" t="n">
        <v>533.9</v>
      </c>
      <c r="O890" s="2" t="str">
        <f aca="false">IF(COUNTIF($A$2:$A$1201,A890)&gt;1,"DUPLICATE","Unique")</f>
        <v>Unique</v>
      </c>
      <c r="P890" s="2" t="str">
        <f aca="false">IF(L890="","MISSING","OK")</f>
        <v>MISSING</v>
      </c>
      <c r="Q890" s="2" t="str">
        <f aca="false">IF(ISNUMBER(B890),"OK","BAD DATE")</f>
        <v>OK</v>
      </c>
      <c r="R890" s="2" t="str">
        <f aca="false">IF(ROUND(F890,2)=F890,"OK","FIX")</f>
        <v>OK</v>
      </c>
    </row>
    <row r="891" customFormat="false" ht="15" hidden="false" customHeight="false" outlineLevel="0" collapsed="false">
      <c r="A891" s="2" t="s">
        <v>3269</v>
      </c>
      <c r="B891" s="3" t="n">
        <v>45592</v>
      </c>
      <c r="C891" s="2" t="s">
        <v>3270</v>
      </c>
      <c r="D891" s="2" t="s">
        <v>20</v>
      </c>
      <c r="E891" s="2" t="n">
        <v>5</v>
      </c>
      <c r="F891" s="4" t="n">
        <v>650.72</v>
      </c>
      <c r="G891" s="2" t="s">
        <v>3271</v>
      </c>
      <c r="H891" s="2" t="s">
        <v>38</v>
      </c>
      <c r="I891" s="2" t="s">
        <v>39</v>
      </c>
      <c r="J891" s="2" t="s">
        <v>3272</v>
      </c>
      <c r="K891" s="2" t="n">
        <v>8</v>
      </c>
      <c r="L891" s="2" t="s">
        <v>85</v>
      </c>
      <c r="M891" s="2" t="s">
        <v>42</v>
      </c>
      <c r="N891" s="4" t="n">
        <v>3253.6</v>
      </c>
      <c r="O891" s="2" t="str">
        <f aca="false">IF(COUNTIF($A$2:$A$1201,A891)&gt;1,"DUPLICATE","Unique")</f>
        <v>Unique</v>
      </c>
      <c r="P891" s="2" t="str">
        <f aca="false">IF(L891="","MISSING","OK")</f>
        <v>OK</v>
      </c>
      <c r="Q891" s="2" t="str">
        <f aca="false">IF(ISNUMBER(B891),"OK","BAD DATE")</f>
        <v>OK</v>
      </c>
      <c r="R891" s="2" t="str">
        <f aca="false">IF(ROUND(F891,2)=F891,"OK","FIX")</f>
        <v>OK</v>
      </c>
    </row>
    <row r="892" customFormat="false" ht="15" hidden="false" customHeight="false" outlineLevel="0" collapsed="false">
      <c r="A892" s="2" t="s">
        <v>3273</v>
      </c>
      <c r="B892" s="3" t="n">
        <v>45149</v>
      </c>
      <c r="C892" s="2" t="s">
        <v>3274</v>
      </c>
      <c r="D892" s="2" t="s">
        <v>62</v>
      </c>
      <c r="E892" s="2" t="n">
        <v>3</v>
      </c>
      <c r="F892" s="4" t="n">
        <v>439.53</v>
      </c>
      <c r="G892" s="2" t="s">
        <v>1853</v>
      </c>
      <c r="H892" s="2" t="s">
        <v>22</v>
      </c>
      <c r="I892" s="2" t="s">
        <v>93</v>
      </c>
      <c r="J892" s="2" t="s">
        <v>3275</v>
      </c>
      <c r="K892" s="2" t="n">
        <v>5</v>
      </c>
      <c r="L892" s="2"/>
      <c r="M892" s="2" t="s">
        <v>80</v>
      </c>
      <c r="N892" s="4" t="n">
        <v>1318.59</v>
      </c>
      <c r="O892" s="2" t="str">
        <f aca="false">IF(COUNTIF($A$2:$A$1201,A892)&gt;1,"DUPLICATE","Unique")</f>
        <v>Unique</v>
      </c>
      <c r="P892" s="2" t="str">
        <f aca="false">IF(L892="","MISSING","OK")</f>
        <v>MISSING</v>
      </c>
      <c r="Q892" s="2" t="str">
        <f aca="false">IF(ISNUMBER(B892),"OK","BAD DATE")</f>
        <v>OK</v>
      </c>
      <c r="R892" s="2" t="str">
        <f aca="false">IF(ROUND(F892,2)=F892,"OK","FIX")</f>
        <v>OK</v>
      </c>
    </row>
    <row r="893" customFormat="false" ht="15" hidden="false" customHeight="false" outlineLevel="0" collapsed="false">
      <c r="A893" s="2" t="s">
        <v>3276</v>
      </c>
      <c r="B893" s="3" t="n">
        <v>45241</v>
      </c>
      <c r="C893" s="2" t="s">
        <v>3277</v>
      </c>
      <c r="D893" s="2" t="s">
        <v>20</v>
      </c>
      <c r="E893" s="2" t="n">
        <v>3</v>
      </c>
      <c r="F893" s="4" t="n">
        <v>654.54</v>
      </c>
      <c r="G893" s="2" t="s">
        <v>3278</v>
      </c>
      <c r="H893" s="2" t="s">
        <v>69</v>
      </c>
      <c r="I893" s="2" t="s">
        <v>47</v>
      </c>
      <c r="J893" s="2" t="s">
        <v>3279</v>
      </c>
      <c r="K893" s="2" t="n">
        <v>7</v>
      </c>
      <c r="L893" s="2" t="s">
        <v>25</v>
      </c>
      <c r="M893" s="2" t="s">
        <v>33</v>
      </c>
      <c r="N893" s="4" t="n">
        <v>1963.62</v>
      </c>
      <c r="O893" s="2" t="str">
        <f aca="false">IF(COUNTIF($A$2:$A$1201,A893)&gt;1,"DUPLICATE","Unique")</f>
        <v>Unique</v>
      </c>
      <c r="P893" s="2" t="str">
        <f aca="false">IF(L893="","MISSING","OK")</f>
        <v>OK</v>
      </c>
      <c r="Q893" s="2" t="str">
        <f aca="false">IF(ISNUMBER(B893),"OK","BAD DATE")</f>
        <v>OK</v>
      </c>
      <c r="R893" s="2" t="str">
        <f aca="false">IF(ROUND(F893,2)=F893,"OK","FIX")</f>
        <v>OK</v>
      </c>
    </row>
    <row r="894" customFormat="false" ht="15" hidden="false" customHeight="false" outlineLevel="0" collapsed="false">
      <c r="A894" s="2" t="s">
        <v>3280</v>
      </c>
      <c r="B894" s="3" t="n">
        <v>45447</v>
      </c>
      <c r="C894" s="2" t="s">
        <v>3281</v>
      </c>
      <c r="D894" s="2" t="s">
        <v>77</v>
      </c>
      <c r="E894" s="2" t="n">
        <v>1</v>
      </c>
      <c r="F894" s="4" t="n">
        <v>394.53</v>
      </c>
      <c r="G894" s="2" t="s">
        <v>3282</v>
      </c>
      <c r="H894" s="2" t="s">
        <v>69</v>
      </c>
      <c r="I894" s="2" t="s">
        <v>23</v>
      </c>
      <c r="J894" s="2" t="s">
        <v>3283</v>
      </c>
      <c r="K894" s="2" t="n">
        <v>2</v>
      </c>
      <c r="L894" s="2" t="s">
        <v>41</v>
      </c>
      <c r="M894" s="2" t="s">
        <v>33</v>
      </c>
      <c r="N894" s="4" t="n">
        <v>394.53</v>
      </c>
      <c r="O894" s="2" t="str">
        <f aca="false">IF(COUNTIF($A$2:$A$1201,A894)&gt;1,"DUPLICATE","Unique")</f>
        <v>Unique</v>
      </c>
      <c r="P894" s="2" t="str">
        <f aca="false">IF(L894="","MISSING","OK")</f>
        <v>OK</v>
      </c>
      <c r="Q894" s="2" t="str">
        <f aca="false">IF(ISNUMBER(B894),"OK","BAD DATE")</f>
        <v>OK</v>
      </c>
      <c r="R894" s="2" t="str">
        <f aca="false">IF(ROUND(F894,2)=F894,"OK","FIX")</f>
        <v>OK</v>
      </c>
    </row>
    <row r="895" customFormat="false" ht="15" hidden="false" customHeight="false" outlineLevel="0" collapsed="false">
      <c r="A895" s="2" t="s">
        <v>3284</v>
      </c>
      <c r="B895" s="3" t="n">
        <v>45006</v>
      </c>
      <c r="C895" s="2" t="s">
        <v>3285</v>
      </c>
      <c r="D895" s="2" t="s">
        <v>20</v>
      </c>
      <c r="E895" s="2" t="n">
        <v>1</v>
      </c>
      <c r="F895" s="4" t="n">
        <v>678.01</v>
      </c>
      <c r="G895" s="2" t="s">
        <v>1949</v>
      </c>
      <c r="H895" s="2" t="s">
        <v>69</v>
      </c>
      <c r="I895" s="2" t="s">
        <v>93</v>
      </c>
      <c r="J895" s="2" t="s">
        <v>3286</v>
      </c>
      <c r="K895" s="2" t="n">
        <v>4</v>
      </c>
      <c r="L895" s="2" t="s">
        <v>41</v>
      </c>
      <c r="M895" s="2" t="s">
        <v>33</v>
      </c>
      <c r="N895" s="4" t="n">
        <v>678.01</v>
      </c>
      <c r="O895" s="2" t="str">
        <f aca="false">IF(COUNTIF($A$2:$A$1201,A895)&gt;1,"DUPLICATE","Unique")</f>
        <v>Unique</v>
      </c>
      <c r="P895" s="2" t="str">
        <f aca="false">IF(L895="","MISSING","OK")</f>
        <v>OK</v>
      </c>
      <c r="Q895" s="2" t="str">
        <f aca="false">IF(ISNUMBER(B895),"OK","BAD DATE")</f>
        <v>OK</v>
      </c>
      <c r="R895" s="2" t="str">
        <f aca="false">IF(ROUND(F895,2)=F895,"OK","FIX")</f>
        <v>OK</v>
      </c>
    </row>
    <row r="896" customFormat="false" ht="15" hidden="false" customHeight="false" outlineLevel="0" collapsed="false">
      <c r="A896" s="2" t="s">
        <v>3287</v>
      </c>
      <c r="B896" s="3" t="n">
        <v>45069</v>
      </c>
      <c r="C896" s="2" t="s">
        <v>3288</v>
      </c>
      <c r="D896" s="2" t="s">
        <v>36</v>
      </c>
      <c r="E896" s="2" t="n">
        <v>3</v>
      </c>
      <c r="F896" s="4" t="n">
        <v>575.01</v>
      </c>
      <c r="G896" s="2" t="s">
        <v>2066</v>
      </c>
      <c r="H896" s="2" t="s">
        <v>31</v>
      </c>
      <c r="I896" s="2" t="s">
        <v>39</v>
      </c>
      <c r="J896" s="2" t="s">
        <v>3289</v>
      </c>
      <c r="K896" s="2" t="n">
        <v>8</v>
      </c>
      <c r="L896" s="2" t="s">
        <v>85</v>
      </c>
      <c r="M896" s="2" t="s">
        <v>26</v>
      </c>
      <c r="N896" s="4" t="n">
        <v>1725.03</v>
      </c>
      <c r="O896" s="2" t="str">
        <f aca="false">IF(COUNTIF($A$2:$A$1201,A896)&gt;1,"DUPLICATE","Unique")</f>
        <v>Unique</v>
      </c>
      <c r="P896" s="2" t="str">
        <f aca="false">IF(L896="","MISSING","OK")</f>
        <v>OK</v>
      </c>
      <c r="Q896" s="2" t="str">
        <f aca="false">IF(ISNUMBER(B896),"OK","BAD DATE")</f>
        <v>OK</v>
      </c>
      <c r="R896" s="2" t="str">
        <f aca="false">IF(ROUND(F896,2)=F896,"OK","FIX")</f>
        <v>OK</v>
      </c>
    </row>
    <row r="897" customFormat="false" ht="15" hidden="false" customHeight="false" outlineLevel="0" collapsed="false">
      <c r="A897" s="2" t="s">
        <v>3290</v>
      </c>
      <c r="B897" s="3" t="n">
        <v>45239</v>
      </c>
      <c r="C897" s="2" t="s">
        <v>3291</v>
      </c>
      <c r="D897" s="2" t="s">
        <v>45</v>
      </c>
      <c r="E897" s="2" t="n">
        <v>3</v>
      </c>
      <c r="F897" s="4" t="n">
        <v>154.64</v>
      </c>
      <c r="G897" s="2" t="s">
        <v>3292</v>
      </c>
      <c r="H897" s="2" t="s">
        <v>22</v>
      </c>
      <c r="I897" s="2" t="s">
        <v>93</v>
      </c>
      <c r="J897" s="2" t="s">
        <v>3293</v>
      </c>
      <c r="K897" s="2" t="n">
        <v>6</v>
      </c>
      <c r="L897" s="2" t="s">
        <v>85</v>
      </c>
      <c r="M897" s="2" t="s">
        <v>49</v>
      </c>
      <c r="N897" s="4" t="n">
        <v>463.92</v>
      </c>
      <c r="O897" s="2" t="str">
        <f aca="false">IF(COUNTIF($A$2:$A$1201,A897)&gt;1,"DUPLICATE","Unique")</f>
        <v>Unique</v>
      </c>
      <c r="P897" s="2" t="str">
        <f aca="false">IF(L897="","MISSING","OK")</f>
        <v>OK</v>
      </c>
      <c r="Q897" s="2" t="str">
        <f aca="false">IF(ISNUMBER(B897),"OK","BAD DATE")</f>
        <v>OK</v>
      </c>
      <c r="R897" s="2" t="str">
        <f aca="false">IF(ROUND(F897,2)=F897,"OK","FIX")</f>
        <v>OK</v>
      </c>
    </row>
    <row r="898" customFormat="false" ht="15" hidden="false" customHeight="false" outlineLevel="0" collapsed="false">
      <c r="A898" s="2" t="s">
        <v>3294</v>
      </c>
      <c r="B898" s="3" t="n">
        <v>45583</v>
      </c>
      <c r="C898" s="2" t="s">
        <v>3295</v>
      </c>
      <c r="D898" s="2" t="s">
        <v>77</v>
      </c>
      <c r="E898" s="2" t="n">
        <v>3</v>
      </c>
      <c r="F898" s="4" t="n">
        <v>147.29</v>
      </c>
      <c r="G898" s="2" t="s">
        <v>78</v>
      </c>
      <c r="H898" s="2" t="s">
        <v>64</v>
      </c>
      <c r="I898" s="2" t="s">
        <v>23</v>
      </c>
      <c r="J898" s="2" t="s">
        <v>3296</v>
      </c>
      <c r="K898" s="2" t="n">
        <v>3</v>
      </c>
      <c r="L898" s="2" t="s">
        <v>41</v>
      </c>
      <c r="M898" s="2" t="s">
        <v>80</v>
      </c>
      <c r="N898" s="4" t="n">
        <v>441.87</v>
      </c>
      <c r="O898" s="2" t="str">
        <f aca="false">IF(COUNTIF($A$2:$A$1201,A898)&gt;1,"DUPLICATE","Unique")</f>
        <v>Unique</v>
      </c>
      <c r="P898" s="2" t="str">
        <f aca="false">IF(L898="","MISSING","OK")</f>
        <v>OK</v>
      </c>
      <c r="Q898" s="2" t="str">
        <f aca="false">IF(ISNUMBER(B898),"OK","BAD DATE")</f>
        <v>OK</v>
      </c>
      <c r="R898" s="2" t="str">
        <f aca="false">IF(ROUND(F898,2)=F898,"OK","FIX")</f>
        <v>OK</v>
      </c>
    </row>
    <row r="899" customFormat="false" ht="15" hidden="false" customHeight="false" outlineLevel="0" collapsed="false">
      <c r="A899" s="2" t="s">
        <v>3297</v>
      </c>
      <c r="B899" s="3" t="n">
        <v>45538</v>
      </c>
      <c r="C899" s="2" t="s">
        <v>3298</v>
      </c>
      <c r="D899" s="2" t="s">
        <v>62</v>
      </c>
      <c r="E899" s="2" t="n">
        <v>4</v>
      </c>
      <c r="F899" s="4" t="n">
        <v>481.48</v>
      </c>
      <c r="G899" s="2" t="s">
        <v>821</v>
      </c>
      <c r="H899" s="2" t="s">
        <v>64</v>
      </c>
      <c r="I899" s="2" t="s">
        <v>54</v>
      </c>
      <c r="J899" s="2" t="s">
        <v>3299</v>
      </c>
      <c r="K899" s="2" t="n">
        <v>5</v>
      </c>
      <c r="L899" s="2" t="s">
        <v>25</v>
      </c>
      <c r="M899" s="2" t="s">
        <v>26</v>
      </c>
      <c r="N899" s="4" t="n">
        <v>1925.92</v>
      </c>
      <c r="O899" s="2" t="str">
        <f aca="false">IF(COUNTIF($A$2:$A$1201,A899)&gt;1,"DUPLICATE","Unique")</f>
        <v>Unique</v>
      </c>
      <c r="P899" s="2" t="str">
        <f aca="false">IF(L899="","MISSING","OK")</f>
        <v>OK</v>
      </c>
      <c r="Q899" s="2" t="str">
        <f aca="false">IF(ISNUMBER(B899),"OK","BAD DATE")</f>
        <v>OK</v>
      </c>
      <c r="R899" s="2" t="str">
        <f aca="false">IF(ROUND(F899,2)=F899,"OK","FIX")</f>
        <v>OK</v>
      </c>
    </row>
    <row r="900" customFormat="false" ht="15" hidden="false" customHeight="false" outlineLevel="0" collapsed="false">
      <c r="A900" s="2" t="s">
        <v>3300</v>
      </c>
      <c r="B900" s="3" t="n">
        <v>45721</v>
      </c>
      <c r="C900" s="2" t="s">
        <v>3301</v>
      </c>
      <c r="D900" s="2" t="s">
        <v>20</v>
      </c>
      <c r="E900" s="2" t="n">
        <v>3</v>
      </c>
      <c r="F900" s="4" t="n">
        <v>158.37</v>
      </c>
      <c r="G900" s="2" t="s">
        <v>3104</v>
      </c>
      <c r="H900" s="2" t="s">
        <v>69</v>
      </c>
      <c r="I900" s="2" t="s">
        <v>23</v>
      </c>
      <c r="J900" s="2" t="s">
        <v>3302</v>
      </c>
      <c r="K900" s="2" t="n">
        <v>6</v>
      </c>
      <c r="L900" s="2"/>
      <c r="M900" s="2" t="s">
        <v>33</v>
      </c>
      <c r="N900" s="4" t="n">
        <v>475.11</v>
      </c>
      <c r="O900" s="2" t="str">
        <f aca="false">IF(COUNTIF($A$2:$A$1201,A900)&gt;1,"DUPLICATE","Unique")</f>
        <v>Unique</v>
      </c>
      <c r="P900" s="2" t="str">
        <f aca="false">IF(L900="","MISSING","OK")</f>
        <v>MISSING</v>
      </c>
      <c r="Q900" s="2" t="str">
        <f aca="false">IF(ISNUMBER(B900),"OK","BAD DATE")</f>
        <v>OK</v>
      </c>
      <c r="R900" s="2" t="str">
        <f aca="false">IF(ROUND(F900,2)=F900,"OK","FIX")</f>
        <v>OK</v>
      </c>
    </row>
    <row r="901" customFormat="false" ht="15" hidden="false" customHeight="false" outlineLevel="0" collapsed="false">
      <c r="A901" s="2" t="s">
        <v>3303</v>
      </c>
      <c r="B901" s="3" t="n">
        <v>45770</v>
      </c>
      <c r="C901" s="2" t="s">
        <v>3304</v>
      </c>
      <c r="D901" s="2" t="s">
        <v>52</v>
      </c>
      <c r="E901" s="2" t="n">
        <v>2</v>
      </c>
      <c r="F901" s="4" t="n">
        <v>323.37</v>
      </c>
      <c r="G901" s="2" t="s">
        <v>316</v>
      </c>
      <c r="H901" s="2" t="s">
        <v>31</v>
      </c>
      <c r="I901" s="2" t="s">
        <v>93</v>
      </c>
      <c r="J901" s="2" t="s">
        <v>3305</v>
      </c>
      <c r="K901" s="2" t="n">
        <v>3</v>
      </c>
      <c r="L901" s="2" t="s">
        <v>25</v>
      </c>
      <c r="M901" s="2" t="s">
        <v>26</v>
      </c>
      <c r="N901" s="4" t="n">
        <v>646.74</v>
      </c>
      <c r="O901" s="2" t="str">
        <f aca="false">IF(COUNTIF($A$2:$A$1201,A901)&gt;1,"DUPLICATE","Unique")</f>
        <v>Unique</v>
      </c>
      <c r="P901" s="2" t="str">
        <f aca="false">IF(L901="","MISSING","OK")</f>
        <v>OK</v>
      </c>
      <c r="Q901" s="2" t="str">
        <f aca="false">IF(ISNUMBER(B901),"OK","BAD DATE")</f>
        <v>OK</v>
      </c>
      <c r="R901" s="2" t="str">
        <f aca="false">IF(ROUND(F901,2)=F901,"OK","FIX")</f>
        <v>OK</v>
      </c>
    </row>
    <row r="902" customFormat="false" ht="15" hidden="false" customHeight="false" outlineLevel="0" collapsed="false">
      <c r="A902" s="2" t="s">
        <v>3306</v>
      </c>
      <c r="B902" s="3" t="n">
        <v>45695</v>
      </c>
      <c r="C902" s="2" t="s">
        <v>3307</v>
      </c>
      <c r="D902" s="2" t="s">
        <v>62</v>
      </c>
      <c r="E902" s="2" t="n">
        <v>5</v>
      </c>
      <c r="F902" s="4" t="n">
        <v>73.83</v>
      </c>
      <c r="G902" s="2" t="s">
        <v>2000</v>
      </c>
      <c r="H902" s="2" t="s">
        <v>22</v>
      </c>
      <c r="I902" s="2" t="s">
        <v>93</v>
      </c>
      <c r="J902" s="2" t="s">
        <v>3308</v>
      </c>
      <c r="K902" s="2" t="n">
        <v>9</v>
      </c>
      <c r="L902" s="2"/>
      <c r="M902" s="2" t="s">
        <v>26</v>
      </c>
      <c r="N902" s="4" t="n">
        <v>369.15</v>
      </c>
      <c r="O902" s="2" t="str">
        <f aca="false">IF(COUNTIF($A$2:$A$1201,A902)&gt;1,"DUPLICATE","Unique")</f>
        <v>Unique</v>
      </c>
      <c r="P902" s="2" t="str">
        <f aca="false">IF(L902="","MISSING","OK")</f>
        <v>MISSING</v>
      </c>
      <c r="Q902" s="2" t="str">
        <f aca="false">IF(ISNUMBER(B902),"OK","BAD DATE")</f>
        <v>OK</v>
      </c>
      <c r="R902" s="2" t="str">
        <f aca="false">IF(ROUND(F902,2)=F902,"OK","FIX")</f>
        <v>OK</v>
      </c>
    </row>
    <row r="903" customFormat="false" ht="15" hidden="false" customHeight="false" outlineLevel="0" collapsed="false">
      <c r="A903" s="2" t="s">
        <v>3309</v>
      </c>
      <c r="B903" s="3" t="n">
        <v>45410</v>
      </c>
      <c r="C903" s="2" t="s">
        <v>3310</v>
      </c>
      <c r="D903" s="2" t="s">
        <v>36</v>
      </c>
      <c r="E903" s="2" t="n">
        <v>1</v>
      </c>
      <c r="F903" s="4" t="n">
        <v>458.63</v>
      </c>
      <c r="G903" s="2" t="s">
        <v>419</v>
      </c>
      <c r="H903" s="2" t="s">
        <v>22</v>
      </c>
      <c r="I903" s="2" t="s">
        <v>47</v>
      </c>
      <c r="J903" s="2" t="s">
        <v>3311</v>
      </c>
      <c r="K903" s="2" t="n">
        <v>4</v>
      </c>
      <c r="L903" s="2" t="s">
        <v>85</v>
      </c>
      <c r="M903" s="2" t="s">
        <v>33</v>
      </c>
      <c r="N903" s="4" t="n">
        <v>458.63</v>
      </c>
      <c r="O903" s="2" t="str">
        <f aca="false">IF(COUNTIF($A$2:$A$1201,A903)&gt;1,"DUPLICATE","Unique")</f>
        <v>Unique</v>
      </c>
      <c r="P903" s="2" t="str">
        <f aca="false">IF(L903="","MISSING","OK")</f>
        <v>OK</v>
      </c>
      <c r="Q903" s="2" t="str">
        <f aca="false">IF(ISNUMBER(B903),"OK","BAD DATE")</f>
        <v>OK</v>
      </c>
      <c r="R903" s="2" t="str">
        <f aca="false">IF(ROUND(F903,2)=F903,"OK","FIX")</f>
        <v>OK</v>
      </c>
    </row>
    <row r="904" customFormat="false" ht="15" hidden="false" customHeight="false" outlineLevel="0" collapsed="false">
      <c r="A904" s="2" t="s">
        <v>3312</v>
      </c>
      <c r="B904" s="3" t="n">
        <v>45486</v>
      </c>
      <c r="C904" s="2" t="s">
        <v>3313</v>
      </c>
      <c r="D904" s="2" t="s">
        <v>20</v>
      </c>
      <c r="E904" s="2" t="n">
        <v>4</v>
      </c>
      <c r="F904" s="4" t="n">
        <v>180.25</v>
      </c>
      <c r="G904" s="2" t="s">
        <v>293</v>
      </c>
      <c r="H904" s="2" t="s">
        <v>22</v>
      </c>
      <c r="I904" s="2" t="s">
        <v>39</v>
      </c>
      <c r="J904" s="2" t="s">
        <v>3314</v>
      </c>
      <c r="K904" s="2" t="n">
        <v>7</v>
      </c>
      <c r="L904" s="2"/>
      <c r="M904" s="2" t="s">
        <v>49</v>
      </c>
      <c r="N904" s="4" t="n">
        <v>721</v>
      </c>
      <c r="O904" s="2" t="str">
        <f aca="false">IF(COUNTIF($A$2:$A$1201,A904)&gt;1,"DUPLICATE","Unique")</f>
        <v>Unique</v>
      </c>
      <c r="P904" s="2" t="str">
        <f aca="false">IF(L904="","MISSING","OK")</f>
        <v>MISSING</v>
      </c>
      <c r="Q904" s="2" t="str">
        <f aca="false">IF(ISNUMBER(B904),"OK","BAD DATE")</f>
        <v>OK</v>
      </c>
      <c r="R904" s="2" t="str">
        <f aca="false">IF(ROUND(F904,2)=F904,"OK","FIX")</f>
        <v>OK</v>
      </c>
    </row>
    <row r="905" customFormat="false" ht="15" hidden="false" customHeight="false" outlineLevel="0" collapsed="false">
      <c r="A905" s="2" t="s">
        <v>3315</v>
      </c>
      <c r="B905" s="3" t="n">
        <v>45063</v>
      </c>
      <c r="C905" s="2" t="s">
        <v>3316</v>
      </c>
      <c r="D905" s="2" t="s">
        <v>20</v>
      </c>
      <c r="E905" s="2" t="n">
        <v>3</v>
      </c>
      <c r="F905" s="4" t="n">
        <v>473.49</v>
      </c>
      <c r="G905" s="2" t="s">
        <v>2969</v>
      </c>
      <c r="H905" s="2" t="s">
        <v>38</v>
      </c>
      <c r="I905" s="2" t="s">
        <v>93</v>
      </c>
      <c r="J905" s="2" t="s">
        <v>3317</v>
      </c>
      <c r="K905" s="2" t="n">
        <v>7</v>
      </c>
      <c r="L905" s="2"/>
      <c r="M905" s="2" t="s">
        <v>42</v>
      </c>
      <c r="N905" s="4" t="n">
        <v>1420.47</v>
      </c>
      <c r="O905" s="2" t="str">
        <f aca="false">IF(COUNTIF($A$2:$A$1201,A905)&gt;1,"DUPLICATE","Unique")</f>
        <v>Unique</v>
      </c>
      <c r="P905" s="2" t="str">
        <f aca="false">IF(L905="","MISSING","OK")</f>
        <v>MISSING</v>
      </c>
      <c r="Q905" s="2" t="str">
        <f aca="false">IF(ISNUMBER(B905),"OK","BAD DATE")</f>
        <v>OK</v>
      </c>
      <c r="R905" s="2" t="str">
        <f aca="false">IF(ROUND(F905,2)=F905,"OK","FIX")</f>
        <v>OK</v>
      </c>
    </row>
    <row r="906" customFormat="false" ht="15" hidden="false" customHeight="false" outlineLevel="0" collapsed="false">
      <c r="A906" s="2" t="s">
        <v>3318</v>
      </c>
      <c r="B906" s="3" t="n">
        <v>45693</v>
      </c>
      <c r="C906" s="2" t="s">
        <v>3319</v>
      </c>
      <c r="D906" s="2" t="s">
        <v>20</v>
      </c>
      <c r="E906" s="2" t="n">
        <v>4</v>
      </c>
      <c r="F906" s="4" t="n">
        <v>237.43</v>
      </c>
      <c r="G906" s="2" t="s">
        <v>1731</v>
      </c>
      <c r="H906" s="2" t="s">
        <v>69</v>
      </c>
      <c r="I906" s="2" t="s">
        <v>39</v>
      </c>
      <c r="J906" s="2" t="s">
        <v>3320</v>
      </c>
      <c r="K906" s="2" t="n">
        <v>8</v>
      </c>
      <c r="L906" s="2" t="s">
        <v>85</v>
      </c>
      <c r="M906" s="2" t="s">
        <v>33</v>
      </c>
      <c r="N906" s="4" t="n">
        <v>949.72</v>
      </c>
      <c r="O906" s="2" t="str">
        <f aca="false">IF(COUNTIF($A$2:$A$1201,A906)&gt;1,"DUPLICATE","Unique")</f>
        <v>Unique</v>
      </c>
      <c r="P906" s="2" t="str">
        <f aca="false">IF(L906="","MISSING","OK")</f>
        <v>OK</v>
      </c>
      <c r="Q906" s="2" t="str">
        <f aca="false">IF(ISNUMBER(B906),"OK","BAD DATE")</f>
        <v>OK</v>
      </c>
      <c r="R906" s="2" t="str">
        <f aca="false">IF(ROUND(F906,2)=F906,"OK","FIX")</f>
        <v>OK</v>
      </c>
    </row>
    <row r="907" customFormat="false" ht="15" hidden="false" customHeight="false" outlineLevel="0" collapsed="false">
      <c r="A907" s="2" t="s">
        <v>3321</v>
      </c>
      <c r="B907" s="3" t="n">
        <v>45253</v>
      </c>
      <c r="C907" s="2" t="s">
        <v>3322</v>
      </c>
      <c r="D907" s="2" t="s">
        <v>62</v>
      </c>
      <c r="E907" s="2" t="n">
        <v>1</v>
      </c>
      <c r="F907" s="4" t="n">
        <v>442.39</v>
      </c>
      <c r="G907" s="2" t="s">
        <v>1260</v>
      </c>
      <c r="H907" s="2" t="s">
        <v>64</v>
      </c>
      <c r="I907" s="2" t="s">
        <v>93</v>
      </c>
      <c r="J907" s="2" t="s">
        <v>3323</v>
      </c>
      <c r="K907" s="2" t="n">
        <v>6</v>
      </c>
      <c r="L907" s="2" t="s">
        <v>41</v>
      </c>
      <c r="M907" s="2" t="s">
        <v>49</v>
      </c>
      <c r="N907" s="4" t="n">
        <v>442.39</v>
      </c>
      <c r="O907" s="2" t="str">
        <f aca="false">IF(COUNTIF($A$2:$A$1201,A907)&gt;1,"DUPLICATE","Unique")</f>
        <v>Unique</v>
      </c>
      <c r="P907" s="2" t="str">
        <f aca="false">IF(L907="","MISSING","OK")</f>
        <v>OK</v>
      </c>
      <c r="Q907" s="2" t="str">
        <f aca="false">IF(ISNUMBER(B907),"OK","BAD DATE")</f>
        <v>OK</v>
      </c>
      <c r="R907" s="2" t="str">
        <f aca="false">IF(ROUND(F907,2)=F907,"OK","FIX")</f>
        <v>OK</v>
      </c>
    </row>
    <row r="908" customFormat="false" ht="15" hidden="false" customHeight="false" outlineLevel="0" collapsed="false">
      <c r="A908" s="2" t="s">
        <v>3324</v>
      </c>
      <c r="B908" s="3" t="n">
        <v>45538</v>
      </c>
      <c r="C908" s="2" t="s">
        <v>3325</v>
      </c>
      <c r="D908" s="2" t="s">
        <v>20</v>
      </c>
      <c r="E908" s="2" t="n">
        <v>1</v>
      </c>
      <c r="F908" s="4" t="n">
        <v>62.12</v>
      </c>
      <c r="G908" s="2" t="s">
        <v>3326</v>
      </c>
      <c r="H908" s="2" t="s">
        <v>69</v>
      </c>
      <c r="I908" s="2" t="s">
        <v>47</v>
      </c>
      <c r="J908" s="2" t="s">
        <v>3327</v>
      </c>
      <c r="K908" s="2" t="n">
        <v>2</v>
      </c>
      <c r="L908" s="2"/>
      <c r="M908" s="2" t="s">
        <v>42</v>
      </c>
      <c r="N908" s="4" t="n">
        <v>62.12</v>
      </c>
      <c r="O908" s="2" t="str">
        <f aca="false">IF(COUNTIF($A$2:$A$1201,A908)&gt;1,"DUPLICATE","Unique")</f>
        <v>Unique</v>
      </c>
      <c r="P908" s="2" t="str">
        <f aca="false">IF(L908="","MISSING","OK")</f>
        <v>MISSING</v>
      </c>
      <c r="Q908" s="2" t="str">
        <f aca="false">IF(ISNUMBER(B908),"OK","BAD DATE")</f>
        <v>OK</v>
      </c>
      <c r="R908" s="2" t="str">
        <f aca="false">IF(ROUND(F908,2)=F908,"OK","FIX")</f>
        <v>OK</v>
      </c>
    </row>
    <row r="909" customFormat="false" ht="15" hidden="false" customHeight="false" outlineLevel="0" collapsed="false">
      <c r="A909" s="2" t="s">
        <v>3328</v>
      </c>
      <c r="B909" s="3" t="n">
        <v>45508</v>
      </c>
      <c r="C909" s="2" t="s">
        <v>3329</v>
      </c>
      <c r="D909" s="2" t="s">
        <v>77</v>
      </c>
      <c r="E909" s="2" t="n">
        <v>5</v>
      </c>
      <c r="F909" s="4" t="n">
        <v>298.39</v>
      </c>
      <c r="G909" s="2" t="s">
        <v>565</v>
      </c>
      <c r="H909" s="2" t="s">
        <v>64</v>
      </c>
      <c r="I909" s="2" t="s">
        <v>39</v>
      </c>
      <c r="J909" s="2" t="s">
        <v>3330</v>
      </c>
      <c r="K909" s="2" t="n">
        <v>7</v>
      </c>
      <c r="L909" s="2" t="s">
        <v>85</v>
      </c>
      <c r="M909" s="2" t="s">
        <v>33</v>
      </c>
      <c r="N909" s="4" t="n">
        <v>1491.95</v>
      </c>
      <c r="O909" s="2" t="str">
        <f aca="false">IF(COUNTIF($A$2:$A$1201,A909)&gt;1,"DUPLICATE","Unique")</f>
        <v>Unique</v>
      </c>
      <c r="P909" s="2" t="str">
        <f aca="false">IF(L909="","MISSING","OK")</f>
        <v>OK</v>
      </c>
      <c r="Q909" s="2" t="str">
        <f aca="false">IF(ISNUMBER(B909),"OK","BAD DATE")</f>
        <v>OK</v>
      </c>
      <c r="R909" s="2" t="str">
        <f aca="false">IF(ROUND(F909,2)=F909,"OK","FIX")</f>
        <v>OK</v>
      </c>
    </row>
    <row r="910" customFormat="false" ht="15" hidden="false" customHeight="false" outlineLevel="0" collapsed="false">
      <c r="A910" s="2" t="s">
        <v>3331</v>
      </c>
      <c r="B910" s="3" t="n">
        <v>45783</v>
      </c>
      <c r="C910" s="2" t="s">
        <v>3332</v>
      </c>
      <c r="D910" s="2" t="s">
        <v>77</v>
      </c>
      <c r="E910" s="2" t="n">
        <v>2</v>
      </c>
      <c r="F910" s="4" t="n">
        <v>697.93</v>
      </c>
      <c r="G910" s="2" t="s">
        <v>727</v>
      </c>
      <c r="H910" s="2" t="s">
        <v>38</v>
      </c>
      <c r="I910" s="2" t="s">
        <v>39</v>
      </c>
      <c r="J910" s="2" t="s">
        <v>3333</v>
      </c>
      <c r="K910" s="2" t="n">
        <v>2</v>
      </c>
      <c r="L910" s="2" t="s">
        <v>25</v>
      </c>
      <c r="M910" s="2" t="s">
        <v>80</v>
      </c>
      <c r="N910" s="4" t="n">
        <v>1395.86</v>
      </c>
      <c r="O910" s="2" t="str">
        <f aca="false">IF(COUNTIF($A$2:$A$1201,A910)&gt;1,"DUPLICATE","Unique")</f>
        <v>Unique</v>
      </c>
      <c r="P910" s="2" t="str">
        <f aca="false">IF(L910="","MISSING","OK")</f>
        <v>OK</v>
      </c>
      <c r="Q910" s="2" t="str">
        <f aca="false">IF(ISNUMBER(B910),"OK","BAD DATE")</f>
        <v>OK</v>
      </c>
      <c r="R910" s="2" t="str">
        <f aca="false">IF(ROUND(F910,2)=F910,"OK","FIX")</f>
        <v>OK</v>
      </c>
    </row>
    <row r="911" customFormat="false" ht="15" hidden="false" customHeight="false" outlineLevel="0" collapsed="false">
      <c r="A911" s="2" t="s">
        <v>3334</v>
      </c>
      <c r="B911" s="3" t="n">
        <v>45439</v>
      </c>
      <c r="C911" s="2" t="s">
        <v>3335</v>
      </c>
      <c r="D911" s="2" t="s">
        <v>36</v>
      </c>
      <c r="E911" s="2" t="n">
        <v>2</v>
      </c>
      <c r="F911" s="4" t="n">
        <v>291.85</v>
      </c>
      <c r="G911" s="2" t="s">
        <v>129</v>
      </c>
      <c r="H911" s="2" t="s">
        <v>69</v>
      </c>
      <c r="I911" s="2" t="s">
        <v>23</v>
      </c>
      <c r="J911" s="2" t="s">
        <v>3336</v>
      </c>
      <c r="K911" s="2" t="n">
        <v>5</v>
      </c>
      <c r="L911" s="2" t="s">
        <v>41</v>
      </c>
      <c r="M911" s="2" t="s">
        <v>26</v>
      </c>
      <c r="N911" s="4" t="n">
        <v>583.7</v>
      </c>
      <c r="O911" s="2" t="str">
        <f aca="false">IF(COUNTIF($A$2:$A$1201,A911)&gt;1,"DUPLICATE","Unique")</f>
        <v>Unique</v>
      </c>
      <c r="P911" s="2" t="str">
        <f aca="false">IF(L911="","MISSING","OK")</f>
        <v>OK</v>
      </c>
      <c r="Q911" s="2" t="str">
        <f aca="false">IF(ISNUMBER(B911),"OK","BAD DATE")</f>
        <v>OK</v>
      </c>
      <c r="R911" s="2" t="str">
        <f aca="false">IF(ROUND(F911,2)=F911,"OK","FIX")</f>
        <v>OK</v>
      </c>
    </row>
    <row r="912" customFormat="false" ht="15" hidden="false" customHeight="false" outlineLevel="0" collapsed="false">
      <c r="A912" s="2" t="s">
        <v>3337</v>
      </c>
      <c r="B912" s="3" t="n">
        <v>45443</v>
      </c>
      <c r="C912" s="2" t="s">
        <v>3338</v>
      </c>
      <c r="D912" s="2" t="s">
        <v>52</v>
      </c>
      <c r="E912" s="2" t="n">
        <v>3</v>
      </c>
      <c r="F912" s="4" t="n">
        <v>308.98</v>
      </c>
      <c r="G912" s="2" t="s">
        <v>347</v>
      </c>
      <c r="H912" s="2" t="s">
        <v>69</v>
      </c>
      <c r="I912" s="2" t="s">
        <v>54</v>
      </c>
      <c r="J912" s="2" t="s">
        <v>3339</v>
      </c>
      <c r="K912" s="2" t="n">
        <v>3</v>
      </c>
      <c r="L912" s="2" t="s">
        <v>25</v>
      </c>
      <c r="M912" s="2" t="s">
        <v>26</v>
      </c>
      <c r="N912" s="4" t="n">
        <v>926.94</v>
      </c>
      <c r="O912" s="2" t="str">
        <f aca="false">IF(COUNTIF($A$2:$A$1201,A912)&gt;1,"DUPLICATE","Unique")</f>
        <v>Unique</v>
      </c>
      <c r="P912" s="2" t="str">
        <f aca="false">IF(L912="","MISSING","OK")</f>
        <v>OK</v>
      </c>
      <c r="Q912" s="2" t="str">
        <f aca="false">IF(ISNUMBER(B912),"OK","BAD DATE")</f>
        <v>OK</v>
      </c>
      <c r="R912" s="2" t="str">
        <f aca="false">IF(ROUND(F912,2)=F912,"OK","FIX")</f>
        <v>OK</v>
      </c>
    </row>
    <row r="913" customFormat="false" ht="15" hidden="false" customHeight="false" outlineLevel="0" collapsed="false">
      <c r="A913" s="2" t="s">
        <v>3340</v>
      </c>
      <c r="B913" s="3" t="n">
        <v>45517</v>
      </c>
      <c r="C913" s="2" t="s">
        <v>3341</v>
      </c>
      <c r="D913" s="2" t="s">
        <v>77</v>
      </c>
      <c r="E913" s="2" t="n">
        <v>5</v>
      </c>
      <c r="F913" s="4" t="n">
        <v>396.86</v>
      </c>
      <c r="G913" s="2" t="s">
        <v>506</v>
      </c>
      <c r="H913" s="2" t="s">
        <v>69</v>
      </c>
      <c r="I913" s="2" t="s">
        <v>39</v>
      </c>
      <c r="J913" s="2" t="s">
        <v>3342</v>
      </c>
      <c r="K913" s="2" t="n">
        <v>9</v>
      </c>
      <c r="L913" s="2" t="s">
        <v>25</v>
      </c>
      <c r="M913" s="2" t="s">
        <v>26</v>
      </c>
      <c r="N913" s="4" t="n">
        <v>1984.3</v>
      </c>
      <c r="O913" s="2" t="str">
        <f aca="false">IF(COUNTIF($A$2:$A$1201,A913)&gt;1,"DUPLICATE","Unique")</f>
        <v>Unique</v>
      </c>
      <c r="P913" s="2" t="str">
        <f aca="false">IF(L913="","MISSING","OK")</f>
        <v>OK</v>
      </c>
      <c r="Q913" s="2" t="str">
        <f aca="false">IF(ISNUMBER(B913),"OK","BAD DATE")</f>
        <v>OK</v>
      </c>
      <c r="R913" s="2" t="str">
        <f aca="false">IF(ROUND(F913,2)=F913,"OK","FIX")</f>
        <v>OK</v>
      </c>
    </row>
    <row r="914" customFormat="false" ht="15" hidden="false" customHeight="false" outlineLevel="0" collapsed="false">
      <c r="A914" s="2" t="s">
        <v>3343</v>
      </c>
      <c r="B914" s="3" t="n">
        <v>45313</v>
      </c>
      <c r="C914" s="2" t="s">
        <v>3344</v>
      </c>
      <c r="D914" s="2" t="s">
        <v>77</v>
      </c>
      <c r="E914" s="2" t="n">
        <v>2</v>
      </c>
      <c r="F914" s="4" t="n">
        <v>139.69</v>
      </c>
      <c r="G914" s="2" t="s">
        <v>391</v>
      </c>
      <c r="H914" s="2" t="s">
        <v>31</v>
      </c>
      <c r="I914" s="2" t="s">
        <v>47</v>
      </c>
      <c r="J914" s="2" t="s">
        <v>3345</v>
      </c>
      <c r="K914" s="2" t="n">
        <v>7</v>
      </c>
      <c r="L914" s="2" t="s">
        <v>41</v>
      </c>
      <c r="M914" s="2" t="s">
        <v>42</v>
      </c>
      <c r="N914" s="4" t="n">
        <v>279.38</v>
      </c>
      <c r="O914" s="2" t="str">
        <f aca="false">IF(COUNTIF($A$2:$A$1201,A914)&gt;1,"DUPLICATE","Unique")</f>
        <v>Unique</v>
      </c>
      <c r="P914" s="2" t="str">
        <f aca="false">IF(L914="","MISSING","OK")</f>
        <v>OK</v>
      </c>
      <c r="Q914" s="2" t="str">
        <f aca="false">IF(ISNUMBER(B914),"OK","BAD DATE")</f>
        <v>OK</v>
      </c>
      <c r="R914" s="2" t="str">
        <f aca="false">IF(ROUND(F914,2)=F914,"OK","FIX")</f>
        <v>OK</v>
      </c>
    </row>
    <row r="915" customFormat="false" ht="15" hidden="false" customHeight="false" outlineLevel="0" collapsed="false">
      <c r="A915" s="2" t="s">
        <v>3346</v>
      </c>
      <c r="B915" s="3" t="n">
        <v>44973</v>
      </c>
      <c r="C915" s="2" t="s">
        <v>3347</v>
      </c>
      <c r="D915" s="2" t="s">
        <v>52</v>
      </c>
      <c r="E915" s="2" t="n">
        <v>5</v>
      </c>
      <c r="F915" s="4" t="n">
        <v>475.95</v>
      </c>
      <c r="G915" s="2" t="s">
        <v>791</v>
      </c>
      <c r="H915" s="2" t="s">
        <v>38</v>
      </c>
      <c r="I915" s="2" t="s">
        <v>47</v>
      </c>
      <c r="J915" s="2" t="s">
        <v>3348</v>
      </c>
      <c r="K915" s="2" t="n">
        <v>8</v>
      </c>
      <c r="L915" s="2" t="s">
        <v>85</v>
      </c>
      <c r="M915" s="2" t="s">
        <v>49</v>
      </c>
      <c r="N915" s="4" t="n">
        <v>2379.75</v>
      </c>
      <c r="O915" s="2" t="str">
        <f aca="false">IF(COUNTIF($A$2:$A$1201,A915)&gt;1,"DUPLICATE","Unique")</f>
        <v>Unique</v>
      </c>
      <c r="P915" s="2" t="str">
        <f aca="false">IF(L915="","MISSING","OK")</f>
        <v>OK</v>
      </c>
      <c r="Q915" s="2" t="str">
        <f aca="false">IF(ISNUMBER(B915),"OK","BAD DATE")</f>
        <v>OK</v>
      </c>
      <c r="R915" s="2" t="str">
        <f aca="false">IF(ROUND(F915,2)=F915,"OK","FIX")</f>
        <v>OK</v>
      </c>
    </row>
    <row r="916" customFormat="false" ht="15" hidden="false" customHeight="false" outlineLevel="0" collapsed="false">
      <c r="A916" s="2" t="s">
        <v>3349</v>
      </c>
      <c r="B916" s="3" t="n">
        <v>45698</v>
      </c>
      <c r="C916" s="2" t="s">
        <v>3350</v>
      </c>
      <c r="D916" s="2" t="s">
        <v>77</v>
      </c>
      <c r="E916" s="2" t="n">
        <v>1</v>
      </c>
      <c r="F916" s="4" t="n">
        <v>626.6</v>
      </c>
      <c r="G916" s="2" t="s">
        <v>1697</v>
      </c>
      <c r="H916" s="2" t="s">
        <v>64</v>
      </c>
      <c r="I916" s="2" t="s">
        <v>47</v>
      </c>
      <c r="J916" s="2" t="s">
        <v>3351</v>
      </c>
      <c r="K916" s="2" t="n">
        <v>4</v>
      </c>
      <c r="L916" s="2" t="s">
        <v>85</v>
      </c>
      <c r="M916" s="2" t="s">
        <v>49</v>
      </c>
      <c r="N916" s="4" t="n">
        <v>626.6</v>
      </c>
      <c r="O916" s="2" t="str">
        <f aca="false">IF(COUNTIF($A$2:$A$1201,A916)&gt;1,"DUPLICATE","Unique")</f>
        <v>Unique</v>
      </c>
      <c r="P916" s="2" t="str">
        <f aca="false">IF(L916="","MISSING","OK")</f>
        <v>OK</v>
      </c>
      <c r="Q916" s="2" t="str">
        <f aca="false">IF(ISNUMBER(B916),"OK","BAD DATE")</f>
        <v>OK</v>
      </c>
      <c r="R916" s="2" t="str">
        <f aca="false">IF(ROUND(F916,2)=F916,"OK","FIX")</f>
        <v>OK</v>
      </c>
    </row>
    <row r="917" customFormat="false" ht="15" hidden="false" customHeight="false" outlineLevel="0" collapsed="false">
      <c r="A917" s="2" t="s">
        <v>3352</v>
      </c>
      <c r="B917" s="3" t="n">
        <v>45338</v>
      </c>
      <c r="C917" s="2" t="s">
        <v>3353</v>
      </c>
      <c r="D917" s="2" t="s">
        <v>62</v>
      </c>
      <c r="E917" s="2" t="n">
        <v>4</v>
      </c>
      <c r="F917" s="4" t="n">
        <v>502.99</v>
      </c>
      <c r="G917" s="2" t="s">
        <v>3354</v>
      </c>
      <c r="H917" s="2" t="s">
        <v>22</v>
      </c>
      <c r="I917" s="2" t="s">
        <v>23</v>
      </c>
      <c r="J917" s="2" t="s">
        <v>3355</v>
      </c>
      <c r="K917" s="2" t="n">
        <v>4</v>
      </c>
      <c r="L917" s="2" t="s">
        <v>85</v>
      </c>
      <c r="M917" s="2" t="s">
        <v>33</v>
      </c>
      <c r="N917" s="4" t="n">
        <v>2011.96</v>
      </c>
      <c r="O917" s="2" t="str">
        <f aca="false">IF(COUNTIF($A$2:$A$1201,A917)&gt;1,"DUPLICATE","Unique")</f>
        <v>Unique</v>
      </c>
      <c r="P917" s="2" t="str">
        <f aca="false">IF(L917="","MISSING","OK")</f>
        <v>OK</v>
      </c>
      <c r="Q917" s="2" t="str">
        <f aca="false">IF(ISNUMBER(B917),"OK","BAD DATE")</f>
        <v>OK</v>
      </c>
      <c r="R917" s="2" t="str">
        <f aca="false">IF(ROUND(F917,2)=F917,"OK","FIX")</f>
        <v>OK</v>
      </c>
    </row>
    <row r="918" customFormat="false" ht="15" hidden="false" customHeight="false" outlineLevel="0" collapsed="false">
      <c r="A918" s="2" t="s">
        <v>3356</v>
      </c>
      <c r="B918" s="3" t="n">
        <v>45464</v>
      </c>
      <c r="C918" s="2" t="s">
        <v>3357</v>
      </c>
      <c r="D918" s="2" t="s">
        <v>52</v>
      </c>
      <c r="E918" s="2" t="n">
        <v>5</v>
      </c>
      <c r="F918" s="4" t="n">
        <v>578.83</v>
      </c>
      <c r="G918" s="2" t="s">
        <v>2849</v>
      </c>
      <c r="H918" s="2" t="s">
        <v>69</v>
      </c>
      <c r="I918" s="2" t="s">
        <v>47</v>
      </c>
      <c r="J918" s="2" t="s">
        <v>3358</v>
      </c>
      <c r="K918" s="2" t="n">
        <v>6</v>
      </c>
      <c r="L918" s="2"/>
      <c r="M918" s="2" t="s">
        <v>33</v>
      </c>
      <c r="N918" s="4" t="n">
        <v>2894.15</v>
      </c>
      <c r="O918" s="2" t="str">
        <f aca="false">IF(COUNTIF($A$2:$A$1201,A918)&gt;1,"DUPLICATE","Unique")</f>
        <v>Unique</v>
      </c>
      <c r="P918" s="2" t="str">
        <f aca="false">IF(L918="","MISSING","OK")</f>
        <v>MISSING</v>
      </c>
      <c r="Q918" s="2" t="str">
        <f aca="false">IF(ISNUMBER(B918),"OK","BAD DATE")</f>
        <v>OK</v>
      </c>
      <c r="R918" s="2" t="str">
        <f aca="false">IF(ROUND(F918,2)=F918,"OK","FIX")</f>
        <v>OK</v>
      </c>
    </row>
    <row r="919" customFormat="false" ht="15" hidden="false" customHeight="false" outlineLevel="0" collapsed="false">
      <c r="A919" s="2" t="s">
        <v>3359</v>
      </c>
      <c r="B919" s="3" t="n">
        <v>45677</v>
      </c>
      <c r="C919" s="2" t="s">
        <v>3360</v>
      </c>
      <c r="D919" s="2" t="s">
        <v>62</v>
      </c>
      <c r="E919" s="2" t="n">
        <v>5</v>
      </c>
      <c r="F919" s="4" t="n">
        <v>383.82</v>
      </c>
      <c r="G919" s="2" t="s">
        <v>3361</v>
      </c>
      <c r="H919" s="2" t="s">
        <v>38</v>
      </c>
      <c r="I919" s="2" t="s">
        <v>47</v>
      </c>
      <c r="J919" s="2" t="s">
        <v>3362</v>
      </c>
      <c r="K919" s="2" t="n">
        <v>7</v>
      </c>
      <c r="L919" s="2" t="s">
        <v>41</v>
      </c>
      <c r="M919" s="2" t="s">
        <v>80</v>
      </c>
      <c r="N919" s="4" t="n">
        <v>1919.1</v>
      </c>
      <c r="O919" s="2" t="str">
        <f aca="false">IF(COUNTIF($A$2:$A$1201,A919)&gt;1,"DUPLICATE","Unique")</f>
        <v>Unique</v>
      </c>
      <c r="P919" s="2" t="str">
        <f aca="false">IF(L919="","MISSING","OK")</f>
        <v>OK</v>
      </c>
      <c r="Q919" s="2" t="str">
        <f aca="false">IF(ISNUMBER(B919),"OK","BAD DATE")</f>
        <v>OK</v>
      </c>
      <c r="R919" s="2" t="str">
        <f aca="false">IF(ROUND(F919,2)=F919,"OK","FIX")</f>
        <v>OK</v>
      </c>
    </row>
    <row r="920" customFormat="false" ht="15" hidden="false" customHeight="false" outlineLevel="0" collapsed="false">
      <c r="A920" s="2" t="s">
        <v>3363</v>
      </c>
      <c r="B920" s="3" t="n">
        <v>45832</v>
      </c>
      <c r="C920" s="2" t="s">
        <v>3364</v>
      </c>
      <c r="D920" s="2" t="s">
        <v>62</v>
      </c>
      <c r="E920" s="2" t="n">
        <v>5</v>
      </c>
      <c r="F920" s="4" t="n">
        <v>368.25</v>
      </c>
      <c r="G920" s="2" t="s">
        <v>68</v>
      </c>
      <c r="H920" s="2" t="s">
        <v>31</v>
      </c>
      <c r="I920" s="2" t="s">
        <v>54</v>
      </c>
      <c r="J920" s="2" t="s">
        <v>3365</v>
      </c>
      <c r="K920" s="2" t="n">
        <v>5</v>
      </c>
      <c r="L920" s="2"/>
      <c r="M920" s="2" t="s">
        <v>26</v>
      </c>
      <c r="N920" s="4" t="n">
        <v>1841.25</v>
      </c>
      <c r="O920" s="2" t="str">
        <f aca="false">IF(COUNTIF($A$2:$A$1201,A920)&gt;1,"DUPLICATE","Unique")</f>
        <v>Unique</v>
      </c>
      <c r="P920" s="2" t="str">
        <f aca="false">IF(L920="","MISSING","OK")</f>
        <v>MISSING</v>
      </c>
      <c r="Q920" s="2" t="str">
        <f aca="false">IF(ISNUMBER(B920),"OK","BAD DATE")</f>
        <v>OK</v>
      </c>
      <c r="R920" s="2" t="str">
        <f aca="false">IF(ROUND(F920,2)=F920,"OK","FIX")</f>
        <v>OK</v>
      </c>
    </row>
    <row r="921" customFormat="false" ht="15" hidden="false" customHeight="false" outlineLevel="0" collapsed="false">
      <c r="A921" s="2" t="s">
        <v>3366</v>
      </c>
      <c r="B921" s="3" t="n">
        <v>45695</v>
      </c>
      <c r="C921" s="2" t="s">
        <v>3367</v>
      </c>
      <c r="D921" s="2" t="s">
        <v>52</v>
      </c>
      <c r="E921" s="2" t="n">
        <v>2</v>
      </c>
      <c r="F921" s="4" t="n">
        <v>374.6</v>
      </c>
      <c r="G921" s="2" t="s">
        <v>514</v>
      </c>
      <c r="H921" s="2" t="s">
        <v>31</v>
      </c>
      <c r="I921" s="2" t="s">
        <v>23</v>
      </c>
      <c r="J921" s="2" t="s">
        <v>3368</v>
      </c>
      <c r="K921" s="2" t="n">
        <v>3</v>
      </c>
      <c r="L921" s="2" t="s">
        <v>41</v>
      </c>
      <c r="M921" s="2" t="s">
        <v>33</v>
      </c>
      <c r="N921" s="4" t="n">
        <v>749.2</v>
      </c>
      <c r="O921" s="2" t="str">
        <f aca="false">IF(COUNTIF($A$2:$A$1201,A921)&gt;1,"DUPLICATE","Unique")</f>
        <v>Unique</v>
      </c>
      <c r="P921" s="2" t="str">
        <f aca="false">IF(L921="","MISSING","OK")</f>
        <v>OK</v>
      </c>
      <c r="Q921" s="2" t="str">
        <f aca="false">IF(ISNUMBER(B921),"OK","BAD DATE")</f>
        <v>OK</v>
      </c>
      <c r="R921" s="2" t="str">
        <f aca="false">IF(ROUND(F921,2)=F921,"OK","FIX")</f>
        <v>OK</v>
      </c>
    </row>
    <row r="922" customFormat="false" ht="15" hidden="false" customHeight="false" outlineLevel="0" collapsed="false">
      <c r="A922" s="2" t="s">
        <v>3369</v>
      </c>
      <c r="B922" s="3" t="n">
        <v>45728</v>
      </c>
      <c r="C922" s="2" t="s">
        <v>3370</v>
      </c>
      <c r="D922" s="2" t="s">
        <v>36</v>
      </c>
      <c r="E922" s="2" t="n">
        <v>2</v>
      </c>
      <c r="F922" s="4" t="n">
        <v>428.09</v>
      </c>
      <c r="G922" s="2" t="s">
        <v>1248</v>
      </c>
      <c r="H922" s="2" t="s">
        <v>38</v>
      </c>
      <c r="I922" s="2" t="s">
        <v>47</v>
      </c>
      <c r="J922" s="2" t="s">
        <v>3371</v>
      </c>
      <c r="K922" s="2" t="n">
        <v>6</v>
      </c>
      <c r="L922" s="2"/>
      <c r="M922" s="2" t="s">
        <v>26</v>
      </c>
      <c r="N922" s="4" t="n">
        <v>856.18</v>
      </c>
      <c r="O922" s="2" t="str">
        <f aca="false">IF(COUNTIF($A$2:$A$1201,A922)&gt;1,"DUPLICATE","Unique")</f>
        <v>Unique</v>
      </c>
      <c r="P922" s="2" t="str">
        <f aca="false">IF(L922="","MISSING","OK")</f>
        <v>MISSING</v>
      </c>
      <c r="Q922" s="2" t="str">
        <f aca="false">IF(ISNUMBER(B922),"OK","BAD DATE")</f>
        <v>OK</v>
      </c>
      <c r="R922" s="2" t="str">
        <f aca="false">IF(ROUND(F922,2)=F922,"OK","FIX")</f>
        <v>OK</v>
      </c>
    </row>
    <row r="923" customFormat="false" ht="15" hidden="false" customHeight="false" outlineLevel="0" collapsed="false">
      <c r="A923" s="2" t="s">
        <v>3372</v>
      </c>
      <c r="B923" s="3" t="n">
        <v>45131</v>
      </c>
      <c r="C923" s="2" t="s">
        <v>3373</v>
      </c>
      <c r="D923" s="2" t="s">
        <v>36</v>
      </c>
      <c r="E923" s="2" t="n">
        <v>1</v>
      </c>
      <c r="F923" s="4" t="n">
        <v>438.93</v>
      </c>
      <c r="G923" s="2" t="s">
        <v>3374</v>
      </c>
      <c r="H923" s="2" t="s">
        <v>64</v>
      </c>
      <c r="I923" s="2" t="s">
        <v>39</v>
      </c>
      <c r="J923" s="2" t="s">
        <v>3375</v>
      </c>
      <c r="K923" s="2" t="n">
        <v>3</v>
      </c>
      <c r="L923" s="2" t="s">
        <v>25</v>
      </c>
      <c r="M923" s="2" t="s">
        <v>33</v>
      </c>
      <c r="N923" s="4" t="n">
        <v>438.93</v>
      </c>
      <c r="O923" s="2" t="str">
        <f aca="false">IF(COUNTIF($A$2:$A$1201,A923)&gt;1,"DUPLICATE","Unique")</f>
        <v>Unique</v>
      </c>
      <c r="P923" s="2" t="str">
        <f aca="false">IF(L923="","MISSING","OK")</f>
        <v>OK</v>
      </c>
      <c r="Q923" s="2" t="str">
        <f aca="false">IF(ISNUMBER(B923),"OK","BAD DATE")</f>
        <v>OK</v>
      </c>
      <c r="R923" s="2" t="str">
        <f aca="false">IF(ROUND(F923,2)=F923,"OK","FIX")</f>
        <v>OK</v>
      </c>
    </row>
    <row r="924" customFormat="false" ht="15" hidden="false" customHeight="false" outlineLevel="0" collapsed="false">
      <c r="A924" s="2" t="s">
        <v>3376</v>
      </c>
      <c r="B924" s="3" t="n">
        <v>45460</v>
      </c>
      <c r="C924" s="2" t="s">
        <v>3377</v>
      </c>
      <c r="D924" s="2" t="s">
        <v>77</v>
      </c>
      <c r="E924" s="2" t="n">
        <v>2</v>
      </c>
      <c r="F924" s="4" t="n">
        <v>563.82</v>
      </c>
      <c r="G924" s="2" t="s">
        <v>3378</v>
      </c>
      <c r="H924" s="2" t="s">
        <v>38</v>
      </c>
      <c r="I924" s="2" t="s">
        <v>93</v>
      </c>
      <c r="J924" s="2" t="s">
        <v>3379</v>
      </c>
      <c r="K924" s="2" t="n">
        <v>3</v>
      </c>
      <c r="L924" s="2"/>
      <c r="M924" s="2" t="s">
        <v>26</v>
      </c>
      <c r="N924" s="4" t="n">
        <v>1127.64</v>
      </c>
      <c r="O924" s="2" t="str">
        <f aca="false">IF(COUNTIF($A$2:$A$1201,A924)&gt;1,"DUPLICATE","Unique")</f>
        <v>Unique</v>
      </c>
      <c r="P924" s="2" t="str">
        <f aca="false">IF(L924="","MISSING","OK")</f>
        <v>MISSING</v>
      </c>
      <c r="Q924" s="2" t="str">
        <f aca="false">IF(ISNUMBER(B924),"OK","BAD DATE")</f>
        <v>OK</v>
      </c>
      <c r="R924" s="2" t="str">
        <f aca="false">IF(ROUND(F924,2)=F924,"OK","FIX")</f>
        <v>OK</v>
      </c>
    </row>
    <row r="925" customFormat="false" ht="15" hidden="false" customHeight="false" outlineLevel="0" collapsed="false">
      <c r="A925" s="2" t="s">
        <v>3380</v>
      </c>
      <c r="B925" s="3" t="n">
        <v>44968</v>
      </c>
      <c r="C925" s="2" t="s">
        <v>3381</v>
      </c>
      <c r="D925" s="2" t="s">
        <v>52</v>
      </c>
      <c r="E925" s="2" t="n">
        <v>3</v>
      </c>
      <c r="F925" s="4" t="n">
        <v>649.93</v>
      </c>
      <c r="G925" s="2" t="s">
        <v>3361</v>
      </c>
      <c r="H925" s="2" t="s">
        <v>38</v>
      </c>
      <c r="I925" s="2" t="s">
        <v>93</v>
      </c>
      <c r="J925" s="2" t="s">
        <v>3382</v>
      </c>
      <c r="K925" s="2" t="n">
        <v>7</v>
      </c>
      <c r="L925" s="2" t="s">
        <v>85</v>
      </c>
      <c r="M925" s="2" t="s">
        <v>49</v>
      </c>
      <c r="N925" s="4" t="n">
        <v>1949.79</v>
      </c>
      <c r="O925" s="2" t="str">
        <f aca="false">IF(COUNTIF($A$2:$A$1201,A925)&gt;1,"DUPLICATE","Unique")</f>
        <v>Unique</v>
      </c>
      <c r="P925" s="2" t="str">
        <f aca="false">IF(L925="","MISSING","OK")</f>
        <v>OK</v>
      </c>
      <c r="Q925" s="2" t="str">
        <f aca="false">IF(ISNUMBER(B925),"OK","BAD DATE")</f>
        <v>OK</v>
      </c>
      <c r="R925" s="2" t="str">
        <f aca="false">IF(ROUND(F925,2)=F925,"OK","FIX")</f>
        <v>OK</v>
      </c>
    </row>
    <row r="926" customFormat="false" ht="15" hidden="false" customHeight="false" outlineLevel="0" collapsed="false">
      <c r="A926" s="2" t="s">
        <v>3383</v>
      </c>
      <c r="B926" s="3" t="n">
        <v>45738</v>
      </c>
      <c r="C926" s="2" t="s">
        <v>3384</v>
      </c>
      <c r="D926" s="2" t="s">
        <v>52</v>
      </c>
      <c r="E926" s="2" t="n">
        <v>5</v>
      </c>
      <c r="F926" s="4" t="n">
        <v>268.43</v>
      </c>
      <c r="G926" s="2" t="s">
        <v>2000</v>
      </c>
      <c r="H926" s="2" t="s">
        <v>69</v>
      </c>
      <c r="I926" s="2" t="s">
        <v>47</v>
      </c>
      <c r="J926" s="2" t="s">
        <v>3385</v>
      </c>
      <c r="K926" s="2" t="n">
        <v>5</v>
      </c>
      <c r="L926" s="2" t="s">
        <v>25</v>
      </c>
      <c r="M926" s="2" t="s">
        <v>42</v>
      </c>
      <c r="N926" s="4" t="n">
        <v>1342.15</v>
      </c>
      <c r="O926" s="2" t="str">
        <f aca="false">IF(COUNTIF($A$2:$A$1201,A926)&gt;1,"DUPLICATE","Unique")</f>
        <v>Unique</v>
      </c>
      <c r="P926" s="2" t="str">
        <f aca="false">IF(L926="","MISSING","OK")</f>
        <v>OK</v>
      </c>
      <c r="Q926" s="2" t="str">
        <f aca="false">IF(ISNUMBER(B926),"OK","BAD DATE")</f>
        <v>OK</v>
      </c>
      <c r="R926" s="2" t="str">
        <f aca="false">IF(ROUND(F926,2)=F926,"OK","FIX")</f>
        <v>OK</v>
      </c>
    </row>
    <row r="927" customFormat="false" ht="15" hidden="false" customHeight="false" outlineLevel="0" collapsed="false">
      <c r="A927" s="2" t="s">
        <v>3386</v>
      </c>
      <c r="B927" s="3" t="n">
        <v>45646</v>
      </c>
      <c r="C927" s="2" t="s">
        <v>3387</v>
      </c>
      <c r="D927" s="2" t="s">
        <v>20</v>
      </c>
      <c r="E927" s="2" t="n">
        <v>5</v>
      </c>
      <c r="F927" s="4" t="n">
        <v>502.47</v>
      </c>
      <c r="G927" s="2" t="s">
        <v>1568</v>
      </c>
      <c r="H927" s="2" t="s">
        <v>31</v>
      </c>
      <c r="I927" s="2" t="s">
        <v>23</v>
      </c>
      <c r="J927" s="2" t="s">
        <v>3388</v>
      </c>
      <c r="K927" s="2" t="n">
        <v>10</v>
      </c>
      <c r="L927" s="2" t="s">
        <v>85</v>
      </c>
      <c r="M927" s="2" t="s">
        <v>42</v>
      </c>
      <c r="N927" s="4" t="n">
        <v>2512.35</v>
      </c>
      <c r="O927" s="2" t="str">
        <f aca="false">IF(COUNTIF($A$2:$A$1201,A927)&gt;1,"DUPLICATE","Unique")</f>
        <v>Unique</v>
      </c>
      <c r="P927" s="2" t="str">
        <f aca="false">IF(L927="","MISSING","OK")</f>
        <v>OK</v>
      </c>
      <c r="Q927" s="2" t="str">
        <f aca="false">IF(ISNUMBER(B927),"OK","BAD DATE")</f>
        <v>OK</v>
      </c>
      <c r="R927" s="2" t="str">
        <f aca="false">IF(ROUND(F927,2)=F927,"OK","FIX")</f>
        <v>OK</v>
      </c>
    </row>
    <row r="928" customFormat="false" ht="15" hidden="false" customHeight="false" outlineLevel="0" collapsed="false">
      <c r="A928" s="2" t="s">
        <v>3389</v>
      </c>
      <c r="B928" s="3" t="n">
        <v>45371</v>
      </c>
      <c r="C928" s="2" t="s">
        <v>3390</v>
      </c>
      <c r="D928" s="2" t="s">
        <v>77</v>
      </c>
      <c r="E928" s="2" t="n">
        <v>1</v>
      </c>
      <c r="F928" s="4" t="n">
        <v>26.95</v>
      </c>
      <c r="G928" s="2" t="s">
        <v>1819</v>
      </c>
      <c r="H928" s="2" t="s">
        <v>69</v>
      </c>
      <c r="I928" s="2" t="s">
        <v>54</v>
      </c>
      <c r="J928" s="2" t="s">
        <v>3391</v>
      </c>
      <c r="K928" s="2" t="n">
        <v>1</v>
      </c>
      <c r="L928" s="2" t="s">
        <v>85</v>
      </c>
      <c r="M928" s="2" t="s">
        <v>42</v>
      </c>
      <c r="N928" s="4" t="n">
        <v>26.95</v>
      </c>
      <c r="O928" s="2" t="str">
        <f aca="false">IF(COUNTIF($A$2:$A$1201,A928)&gt;1,"DUPLICATE","Unique")</f>
        <v>Unique</v>
      </c>
      <c r="P928" s="2" t="str">
        <f aca="false">IF(L928="","MISSING","OK")</f>
        <v>OK</v>
      </c>
      <c r="Q928" s="2" t="str">
        <f aca="false">IF(ISNUMBER(B928),"OK","BAD DATE")</f>
        <v>OK</v>
      </c>
      <c r="R928" s="2" t="str">
        <f aca="false">IF(ROUND(F928,2)=F928,"OK","FIX")</f>
        <v>OK</v>
      </c>
    </row>
    <row r="929" customFormat="false" ht="15" hidden="false" customHeight="false" outlineLevel="0" collapsed="false">
      <c r="A929" s="2" t="s">
        <v>3392</v>
      </c>
      <c r="B929" s="3" t="n">
        <v>44971</v>
      </c>
      <c r="C929" s="2" t="s">
        <v>3393</v>
      </c>
      <c r="D929" s="2" t="s">
        <v>62</v>
      </c>
      <c r="E929" s="2" t="n">
        <v>4</v>
      </c>
      <c r="F929" s="4" t="n">
        <v>64.69</v>
      </c>
      <c r="G929" s="2" t="s">
        <v>2561</v>
      </c>
      <c r="H929" s="2" t="s">
        <v>22</v>
      </c>
      <c r="I929" s="2" t="s">
        <v>23</v>
      </c>
      <c r="J929" s="2" t="s">
        <v>3394</v>
      </c>
      <c r="K929" s="2" t="n">
        <v>7</v>
      </c>
      <c r="L929" s="2" t="s">
        <v>85</v>
      </c>
      <c r="M929" s="2" t="s">
        <v>80</v>
      </c>
      <c r="N929" s="4" t="n">
        <v>258.76</v>
      </c>
      <c r="O929" s="2" t="str">
        <f aca="false">IF(COUNTIF($A$2:$A$1201,A929)&gt;1,"DUPLICATE","Unique")</f>
        <v>Unique</v>
      </c>
      <c r="P929" s="2" t="str">
        <f aca="false">IF(L929="","MISSING","OK")</f>
        <v>OK</v>
      </c>
      <c r="Q929" s="2" t="str">
        <f aca="false">IF(ISNUMBER(B929),"OK","BAD DATE")</f>
        <v>OK</v>
      </c>
      <c r="R929" s="2" t="str">
        <f aca="false">IF(ROUND(F929,2)=F929,"OK","FIX")</f>
        <v>OK</v>
      </c>
    </row>
    <row r="930" customFormat="false" ht="15" hidden="false" customHeight="false" outlineLevel="0" collapsed="false">
      <c r="A930" s="2" t="s">
        <v>3395</v>
      </c>
      <c r="B930" s="3" t="n">
        <v>45421</v>
      </c>
      <c r="C930" s="2" t="s">
        <v>3396</v>
      </c>
      <c r="D930" s="2" t="s">
        <v>62</v>
      </c>
      <c r="E930" s="2" t="n">
        <v>3</v>
      </c>
      <c r="F930" s="4" t="n">
        <v>247.11</v>
      </c>
      <c r="G930" s="2" t="s">
        <v>1019</v>
      </c>
      <c r="H930" s="2" t="s">
        <v>22</v>
      </c>
      <c r="I930" s="2" t="s">
        <v>47</v>
      </c>
      <c r="J930" s="2" t="s">
        <v>3397</v>
      </c>
      <c r="K930" s="2" t="n">
        <v>3</v>
      </c>
      <c r="L930" s="2" t="s">
        <v>85</v>
      </c>
      <c r="M930" s="2" t="s">
        <v>33</v>
      </c>
      <c r="N930" s="4" t="n">
        <v>741.33</v>
      </c>
      <c r="O930" s="2" t="str">
        <f aca="false">IF(COUNTIF($A$2:$A$1201,A930)&gt;1,"DUPLICATE","Unique")</f>
        <v>Unique</v>
      </c>
      <c r="P930" s="2" t="str">
        <f aca="false">IF(L930="","MISSING","OK")</f>
        <v>OK</v>
      </c>
      <c r="Q930" s="2" t="str">
        <f aca="false">IF(ISNUMBER(B930),"OK","BAD DATE")</f>
        <v>OK</v>
      </c>
      <c r="R930" s="2" t="str">
        <f aca="false">IF(ROUND(F930,2)=F930,"OK","FIX")</f>
        <v>OK</v>
      </c>
    </row>
    <row r="931" customFormat="false" ht="15" hidden="false" customHeight="false" outlineLevel="0" collapsed="false">
      <c r="A931" s="2" t="s">
        <v>3398</v>
      </c>
      <c r="B931" s="3" t="n">
        <v>45581</v>
      </c>
      <c r="C931" s="2" t="s">
        <v>3399</v>
      </c>
      <c r="D931" s="2" t="s">
        <v>36</v>
      </c>
      <c r="E931" s="2" t="n">
        <v>2</v>
      </c>
      <c r="F931" s="4" t="n">
        <v>536.25</v>
      </c>
      <c r="G931" s="2" t="s">
        <v>731</v>
      </c>
      <c r="H931" s="2" t="s">
        <v>22</v>
      </c>
      <c r="I931" s="2" t="s">
        <v>93</v>
      </c>
      <c r="J931" s="2" t="s">
        <v>3400</v>
      </c>
      <c r="K931" s="2" t="n">
        <v>3</v>
      </c>
      <c r="L931" s="2"/>
      <c r="M931" s="2" t="s">
        <v>42</v>
      </c>
      <c r="N931" s="4" t="n">
        <v>1072.5</v>
      </c>
      <c r="O931" s="2" t="str">
        <f aca="false">IF(COUNTIF($A$2:$A$1201,A931)&gt;1,"DUPLICATE","Unique")</f>
        <v>Unique</v>
      </c>
      <c r="P931" s="2" t="str">
        <f aca="false">IF(L931="","MISSING","OK")</f>
        <v>MISSING</v>
      </c>
      <c r="Q931" s="2" t="str">
        <f aca="false">IF(ISNUMBER(B931),"OK","BAD DATE")</f>
        <v>OK</v>
      </c>
      <c r="R931" s="2" t="str">
        <f aca="false">IF(ROUND(F931,2)=F931,"OK","FIX")</f>
        <v>OK</v>
      </c>
    </row>
    <row r="932" customFormat="false" ht="15" hidden="false" customHeight="false" outlineLevel="0" collapsed="false">
      <c r="A932" s="2" t="s">
        <v>3401</v>
      </c>
      <c r="B932" s="3" t="n">
        <v>45642</v>
      </c>
      <c r="C932" s="2" t="s">
        <v>3402</v>
      </c>
      <c r="D932" s="2" t="s">
        <v>29</v>
      </c>
      <c r="E932" s="2" t="n">
        <v>2</v>
      </c>
      <c r="F932" s="4" t="n">
        <v>456.04</v>
      </c>
      <c r="G932" s="2" t="s">
        <v>113</v>
      </c>
      <c r="H932" s="2" t="s">
        <v>22</v>
      </c>
      <c r="I932" s="2" t="s">
        <v>47</v>
      </c>
      <c r="J932" s="2" t="s">
        <v>3403</v>
      </c>
      <c r="K932" s="2" t="n">
        <v>4</v>
      </c>
      <c r="L932" s="2" t="s">
        <v>41</v>
      </c>
      <c r="M932" s="2" t="s">
        <v>42</v>
      </c>
      <c r="N932" s="4" t="n">
        <v>912.08</v>
      </c>
      <c r="O932" s="2" t="str">
        <f aca="false">IF(COUNTIF($A$2:$A$1201,A932)&gt;1,"DUPLICATE","Unique")</f>
        <v>Unique</v>
      </c>
      <c r="P932" s="2" t="str">
        <f aca="false">IF(L932="","MISSING","OK")</f>
        <v>OK</v>
      </c>
      <c r="Q932" s="2" t="str">
        <f aca="false">IF(ISNUMBER(B932),"OK","BAD DATE")</f>
        <v>OK</v>
      </c>
      <c r="R932" s="2" t="str">
        <f aca="false">IF(ROUND(F932,2)=F932,"OK","FIX")</f>
        <v>OK</v>
      </c>
    </row>
    <row r="933" customFormat="false" ht="15" hidden="false" customHeight="false" outlineLevel="0" collapsed="false">
      <c r="A933" s="2" t="s">
        <v>3404</v>
      </c>
      <c r="B933" s="3" t="n">
        <v>45292</v>
      </c>
      <c r="C933" s="2" t="s">
        <v>3405</v>
      </c>
      <c r="D933" s="2" t="s">
        <v>52</v>
      </c>
      <c r="E933" s="2" t="n">
        <v>2</v>
      </c>
      <c r="F933" s="4" t="n">
        <v>40.23</v>
      </c>
      <c r="G933" s="2" t="s">
        <v>257</v>
      </c>
      <c r="H933" s="2" t="s">
        <v>38</v>
      </c>
      <c r="I933" s="2" t="s">
        <v>39</v>
      </c>
      <c r="J933" s="2" t="s">
        <v>3406</v>
      </c>
      <c r="K933" s="2" t="n">
        <v>4</v>
      </c>
      <c r="L933" s="2" t="s">
        <v>25</v>
      </c>
      <c r="M933" s="2" t="s">
        <v>80</v>
      </c>
      <c r="N933" s="4" t="n">
        <v>80.46</v>
      </c>
      <c r="O933" s="2" t="str">
        <f aca="false">IF(COUNTIF($A$2:$A$1201,A933)&gt;1,"DUPLICATE","Unique")</f>
        <v>Unique</v>
      </c>
      <c r="P933" s="2" t="str">
        <f aca="false">IF(L933="","MISSING","OK")</f>
        <v>OK</v>
      </c>
      <c r="Q933" s="2" t="str">
        <f aca="false">IF(ISNUMBER(B933),"OK","BAD DATE")</f>
        <v>OK</v>
      </c>
      <c r="R933" s="2" t="str">
        <f aca="false">IF(ROUND(F933,2)=F933,"OK","FIX")</f>
        <v>OK</v>
      </c>
    </row>
    <row r="934" customFormat="false" ht="15" hidden="false" customHeight="false" outlineLevel="0" collapsed="false">
      <c r="A934" s="2" t="s">
        <v>3407</v>
      </c>
      <c r="B934" s="3" t="n">
        <v>45011</v>
      </c>
      <c r="C934" s="2" t="s">
        <v>3408</v>
      </c>
      <c r="D934" s="2" t="s">
        <v>62</v>
      </c>
      <c r="E934" s="2" t="n">
        <v>2</v>
      </c>
      <c r="F934" s="4" t="n">
        <v>72.39</v>
      </c>
      <c r="G934" s="2" t="s">
        <v>3409</v>
      </c>
      <c r="H934" s="2" t="s">
        <v>31</v>
      </c>
      <c r="I934" s="2" t="s">
        <v>54</v>
      </c>
      <c r="J934" s="2" t="s">
        <v>3410</v>
      </c>
      <c r="K934" s="2" t="n">
        <v>7</v>
      </c>
      <c r="L934" s="2" t="s">
        <v>85</v>
      </c>
      <c r="M934" s="2" t="s">
        <v>26</v>
      </c>
      <c r="N934" s="4" t="n">
        <v>144.78</v>
      </c>
      <c r="O934" s="2" t="str">
        <f aca="false">IF(COUNTIF($A$2:$A$1201,A934)&gt;1,"DUPLICATE","Unique")</f>
        <v>Unique</v>
      </c>
      <c r="P934" s="2" t="str">
        <f aca="false">IF(L934="","MISSING","OK")</f>
        <v>OK</v>
      </c>
      <c r="Q934" s="2" t="str">
        <f aca="false">IF(ISNUMBER(B934),"OK","BAD DATE")</f>
        <v>OK</v>
      </c>
      <c r="R934" s="2" t="str">
        <f aca="false">IF(ROUND(F934,2)=F934,"OK","FIX")</f>
        <v>OK</v>
      </c>
    </row>
    <row r="935" customFormat="false" ht="15" hidden="false" customHeight="false" outlineLevel="0" collapsed="false">
      <c r="A935" s="2" t="s">
        <v>3411</v>
      </c>
      <c r="B935" s="3" t="n">
        <v>44952</v>
      </c>
      <c r="C935" s="2" t="s">
        <v>3412</v>
      </c>
      <c r="D935" s="2" t="s">
        <v>20</v>
      </c>
      <c r="E935" s="2" t="n">
        <v>2</v>
      </c>
      <c r="F935" s="4" t="n">
        <v>394.16</v>
      </c>
      <c r="G935" s="2" t="s">
        <v>972</v>
      </c>
      <c r="H935" s="2" t="s">
        <v>31</v>
      </c>
      <c r="I935" s="2" t="s">
        <v>23</v>
      </c>
      <c r="J935" s="2" t="s">
        <v>3413</v>
      </c>
      <c r="K935" s="2" t="n">
        <v>2</v>
      </c>
      <c r="L935" s="2"/>
      <c r="M935" s="2" t="s">
        <v>33</v>
      </c>
      <c r="N935" s="4" t="n">
        <v>788.32</v>
      </c>
      <c r="O935" s="2" t="str">
        <f aca="false">IF(COUNTIF($A$2:$A$1201,A935)&gt;1,"DUPLICATE","Unique")</f>
        <v>Unique</v>
      </c>
      <c r="P935" s="2" t="str">
        <f aca="false">IF(L935="","MISSING","OK")</f>
        <v>MISSING</v>
      </c>
      <c r="Q935" s="2" t="str">
        <f aca="false">IF(ISNUMBER(B935),"OK","BAD DATE")</f>
        <v>OK</v>
      </c>
      <c r="R935" s="2" t="str">
        <f aca="false">IF(ROUND(F935,2)=F935,"OK","FIX")</f>
        <v>OK</v>
      </c>
    </row>
    <row r="936" customFormat="false" ht="15" hidden="false" customHeight="false" outlineLevel="0" collapsed="false">
      <c r="A936" s="2" t="s">
        <v>3414</v>
      </c>
      <c r="B936" s="3" t="n">
        <v>45809</v>
      </c>
      <c r="C936" s="2" t="s">
        <v>3415</v>
      </c>
      <c r="D936" s="2" t="s">
        <v>62</v>
      </c>
      <c r="E936" s="2" t="n">
        <v>4</v>
      </c>
      <c r="F936" s="4" t="n">
        <v>119.84</v>
      </c>
      <c r="G936" s="2" t="s">
        <v>914</v>
      </c>
      <c r="H936" s="2" t="s">
        <v>64</v>
      </c>
      <c r="I936" s="2" t="s">
        <v>23</v>
      </c>
      <c r="J936" s="2" t="s">
        <v>3416</v>
      </c>
      <c r="K936" s="2" t="n">
        <v>8</v>
      </c>
      <c r="L936" s="2" t="s">
        <v>41</v>
      </c>
      <c r="M936" s="2" t="s">
        <v>33</v>
      </c>
      <c r="N936" s="4" t="n">
        <v>479.36</v>
      </c>
      <c r="O936" s="2" t="str">
        <f aca="false">IF(COUNTIF($A$2:$A$1201,A936)&gt;1,"DUPLICATE","Unique")</f>
        <v>Unique</v>
      </c>
      <c r="P936" s="2" t="str">
        <f aca="false">IF(L936="","MISSING","OK")</f>
        <v>OK</v>
      </c>
      <c r="Q936" s="2" t="str">
        <f aca="false">IF(ISNUMBER(B936),"OK","BAD DATE")</f>
        <v>OK</v>
      </c>
      <c r="R936" s="2" t="str">
        <f aca="false">IF(ROUND(F936,2)=F936,"OK","FIX")</f>
        <v>OK</v>
      </c>
    </row>
    <row r="937" customFormat="false" ht="15" hidden="false" customHeight="false" outlineLevel="0" collapsed="false">
      <c r="A937" s="2" t="s">
        <v>3417</v>
      </c>
      <c r="B937" s="3" t="n">
        <v>45254</v>
      </c>
      <c r="C937" s="2" t="s">
        <v>3418</v>
      </c>
      <c r="D937" s="2" t="s">
        <v>29</v>
      </c>
      <c r="E937" s="2" t="n">
        <v>3</v>
      </c>
      <c r="F937" s="4" t="n">
        <v>692.71</v>
      </c>
      <c r="G937" s="2" t="s">
        <v>1344</v>
      </c>
      <c r="H937" s="2" t="s">
        <v>38</v>
      </c>
      <c r="I937" s="2" t="s">
        <v>54</v>
      </c>
      <c r="J937" s="2" t="s">
        <v>3419</v>
      </c>
      <c r="K937" s="2" t="n">
        <v>3</v>
      </c>
      <c r="L937" s="2" t="s">
        <v>41</v>
      </c>
      <c r="M937" s="2" t="s">
        <v>26</v>
      </c>
      <c r="N937" s="4" t="n">
        <v>2078.13</v>
      </c>
      <c r="O937" s="2" t="str">
        <f aca="false">IF(COUNTIF($A$2:$A$1201,A937)&gt;1,"DUPLICATE","Unique")</f>
        <v>Unique</v>
      </c>
      <c r="P937" s="2" t="str">
        <f aca="false">IF(L937="","MISSING","OK")</f>
        <v>OK</v>
      </c>
      <c r="Q937" s="2" t="str">
        <f aca="false">IF(ISNUMBER(B937),"OK","BAD DATE")</f>
        <v>OK</v>
      </c>
      <c r="R937" s="2" t="str">
        <f aca="false">IF(ROUND(F937,2)=F937,"OK","FIX")</f>
        <v>OK</v>
      </c>
    </row>
    <row r="938" customFormat="false" ht="15" hidden="false" customHeight="false" outlineLevel="0" collapsed="false">
      <c r="A938" s="2" t="s">
        <v>3420</v>
      </c>
      <c r="B938" s="3" t="n">
        <v>45303</v>
      </c>
      <c r="C938" s="2" t="s">
        <v>3421</v>
      </c>
      <c r="D938" s="2" t="s">
        <v>45</v>
      </c>
      <c r="E938" s="2" t="n">
        <v>4</v>
      </c>
      <c r="F938" s="4" t="n">
        <v>56.66</v>
      </c>
      <c r="G938" s="2" t="s">
        <v>663</v>
      </c>
      <c r="H938" s="2" t="s">
        <v>31</v>
      </c>
      <c r="I938" s="2" t="s">
        <v>54</v>
      </c>
      <c r="J938" s="2" t="s">
        <v>3422</v>
      </c>
      <c r="K938" s="2" t="n">
        <v>4</v>
      </c>
      <c r="L938" s="2" t="s">
        <v>25</v>
      </c>
      <c r="M938" s="2" t="s">
        <v>26</v>
      </c>
      <c r="N938" s="4" t="n">
        <v>226.64</v>
      </c>
      <c r="O938" s="2" t="str">
        <f aca="false">IF(COUNTIF($A$2:$A$1201,A938)&gt;1,"DUPLICATE","Unique")</f>
        <v>Unique</v>
      </c>
      <c r="P938" s="2" t="str">
        <f aca="false">IF(L938="","MISSING","OK")</f>
        <v>OK</v>
      </c>
      <c r="Q938" s="2" t="str">
        <f aca="false">IF(ISNUMBER(B938),"OK","BAD DATE")</f>
        <v>OK</v>
      </c>
      <c r="R938" s="2" t="str">
        <f aca="false">IF(ROUND(F938,2)=F938,"OK","FIX")</f>
        <v>OK</v>
      </c>
    </row>
    <row r="939" customFormat="false" ht="15" hidden="false" customHeight="false" outlineLevel="0" collapsed="false">
      <c r="A939" s="2" t="s">
        <v>3423</v>
      </c>
      <c r="B939" s="3" t="n">
        <v>45307</v>
      </c>
      <c r="C939" s="2" t="s">
        <v>3424</v>
      </c>
      <c r="D939" s="2" t="s">
        <v>45</v>
      </c>
      <c r="E939" s="2" t="n">
        <v>2</v>
      </c>
      <c r="F939" s="4" t="n">
        <v>298.53</v>
      </c>
      <c r="G939" s="2" t="s">
        <v>1594</v>
      </c>
      <c r="H939" s="2" t="s">
        <v>22</v>
      </c>
      <c r="I939" s="2" t="s">
        <v>39</v>
      </c>
      <c r="J939" s="2" t="s">
        <v>3425</v>
      </c>
      <c r="K939" s="2" t="n">
        <v>5</v>
      </c>
      <c r="L939" s="2" t="s">
        <v>85</v>
      </c>
      <c r="M939" s="2" t="s">
        <v>42</v>
      </c>
      <c r="N939" s="4" t="n">
        <v>597.06</v>
      </c>
      <c r="O939" s="2" t="str">
        <f aca="false">IF(COUNTIF($A$2:$A$1201,A939)&gt;1,"DUPLICATE","Unique")</f>
        <v>Unique</v>
      </c>
      <c r="P939" s="2" t="str">
        <f aca="false">IF(L939="","MISSING","OK")</f>
        <v>OK</v>
      </c>
      <c r="Q939" s="2" t="str">
        <f aca="false">IF(ISNUMBER(B939),"OK","BAD DATE")</f>
        <v>OK</v>
      </c>
      <c r="R939" s="2" t="str">
        <f aca="false">IF(ROUND(F939,2)=F939,"OK","FIX")</f>
        <v>OK</v>
      </c>
    </row>
    <row r="940" customFormat="false" ht="15" hidden="false" customHeight="false" outlineLevel="0" collapsed="false">
      <c r="A940" s="2" t="s">
        <v>3426</v>
      </c>
      <c r="B940" s="3" t="n">
        <v>45119</v>
      </c>
      <c r="C940" s="2" t="s">
        <v>3427</v>
      </c>
      <c r="D940" s="2" t="s">
        <v>45</v>
      </c>
      <c r="E940" s="2" t="n">
        <v>3</v>
      </c>
      <c r="F940" s="4" t="n">
        <v>331.46</v>
      </c>
      <c r="G940" s="2" t="s">
        <v>1949</v>
      </c>
      <c r="H940" s="2" t="s">
        <v>38</v>
      </c>
      <c r="I940" s="2" t="s">
        <v>39</v>
      </c>
      <c r="J940" s="2" t="s">
        <v>3428</v>
      </c>
      <c r="K940" s="2" t="n">
        <v>6</v>
      </c>
      <c r="L940" s="2" t="s">
        <v>85</v>
      </c>
      <c r="M940" s="2" t="s">
        <v>33</v>
      </c>
      <c r="N940" s="4" t="n">
        <v>994.38</v>
      </c>
      <c r="O940" s="2" t="str">
        <f aca="false">IF(COUNTIF($A$2:$A$1201,A940)&gt;1,"DUPLICATE","Unique")</f>
        <v>Unique</v>
      </c>
      <c r="P940" s="2" t="str">
        <f aca="false">IF(L940="","MISSING","OK")</f>
        <v>OK</v>
      </c>
      <c r="Q940" s="2" t="str">
        <f aca="false">IF(ISNUMBER(B940),"OK","BAD DATE")</f>
        <v>OK</v>
      </c>
      <c r="R940" s="2" t="str">
        <f aca="false">IF(ROUND(F940,2)=F940,"OK","FIX")</f>
        <v>OK</v>
      </c>
    </row>
    <row r="941" customFormat="false" ht="15" hidden="false" customHeight="false" outlineLevel="0" collapsed="false">
      <c r="A941" s="2" t="s">
        <v>3429</v>
      </c>
      <c r="B941" s="3" t="n">
        <v>45763</v>
      </c>
      <c r="C941" s="2" t="s">
        <v>3430</v>
      </c>
      <c r="D941" s="2" t="s">
        <v>62</v>
      </c>
      <c r="E941" s="2" t="n">
        <v>2</v>
      </c>
      <c r="F941" s="4" t="n">
        <v>521.4</v>
      </c>
      <c r="G941" s="2" t="s">
        <v>3431</v>
      </c>
      <c r="H941" s="2" t="s">
        <v>69</v>
      </c>
      <c r="I941" s="2" t="s">
        <v>54</v>
      </c>
      <c r="J941" s="2" t="s">
        <v>3432</v>
      </c>
      <c r="K941" s="2" t="n">
        <v>7</v>
      </c>
      <c r="L941" s="2" t="s">
        <v>25</v>
      </c>
      <c r="M941" s="2" t="s">
        <v>26</v>
      </c>
      <c r="N941" s="4" t="n">
        <v>1042.8</v>
      </c>
      <c r="O941" s="2" t="str">
        <f aca="false">IF(COUNTIF($A$2:$A$1201,A941)&gt;1,"DUPLICATE","Unique")</f>
        <v>Unique</v>
      </c>
      <c r="P941" s="2" t="str">
        <f aca="false">IF(L941="","MISSING","OK")</f>
        <v>OK</v>
      </c>
      <c r="Q941" s="2" t="str">
        <f aca="false">IF(ISNUMBER(B941),"OK","BAD DATE")</f>
        <v>OK</v>
      </c>
      <c r="R941" s="2" t="str">
        <f aca="false">IF(ROUND(F941,2)=F941,"OK","FIX")</f>
        <v>OK</v>
      </c>
    </row>
    <row r="942" customFormat="false" ht="15" hidden="false" customHeight="false" outlineLevel="0" collapsed="false">
      <c r="A942" s="2" t="s">
        <v>3433</v>
      </c>
      <c r="B942" s="3" t="n">
        <v>45012</v>
      </c>
      <c r="C942" s="2" t="s">
        <v>3434</v>
      </c>
      <c r="D942" s="2" t="s">
        <v>52</v>
      </c>
      <c r="E942" s="2" t="n">
        <v>4</v>
      </c>
      <c r="F942" s="4" t="n">
        <v>305.32</v>
      </c>
      <c r="G942" s="2" t="s">
        <v>3435</v>
      </c>
      <c r="H942" s="2" t="s">
        <v>31</v>
      </c>
      <c r="I942" s="2" t="s">
        <v>39</v>
      </c>
      <c r="J942" s="2" t="s">
        <v>3436</v>
      </c>
      <c r="K942" s="2" t="n">
        <v>4</v>
      </c>
      <c r="L942" s="2" t="s">
        <v>25</v>
      </c>
      <c r="M942" s="2" t="s">
        <v>80</v>
      </c>
      <c r="N942" s="4" t="n">
        <v>1221.28</v>
      </c>
      <c r="O942" s="2" t="str">
        <f aca="false">IF(COUNTIF($A$2:$A$1201,A942)&gt;1,"DUPLICATE","Unique")</f>
        <v>Unique</v>
      </c>
      <c r="P942" s="2" t="str">
        <f aca="false">IF(L942="","MISSING","OK")</f>
        <v>OK</v>
      </c>
      <c r="Q942" s="2" t="str">
        <f aca="false">IF(ISNUMBER(B942),"OK","BAD DATE")</f>
        <v>OK</v>
      </c>
      <c r="R942" s="2" t="str">
        <f aca="false">IF(ROUND(F942,2)=F942,"OK","FIX")</f>
        <v>OK</v>
      </c>
    </row>
    <row r="943" customFormat="false" ht="15" hidden="false" customHeight="false" outlineLevel="0" collapsed="false">
      <c r="A943" s="2" t="s">
        <v>3437</v>
      </c>
      <c r="B943" s="3" t="n">
        <v>45124</v>
      </c>
      <c r="C943" s="2" t="s">
        <v>1704</v>
      </c>
      <c r="D943" s="2" t="s">
        <v>52</v>
      </c>
      <c r="E943" s="2" t="n">
        <v>5</v>
      </c>
      <c r="F943" s="4" t="n">
        <v>111.7</v>
      </c>
      <c r="G943" s="2" t="s">
        <v>1336</v>
      </c>
      <c r="H943" s="2" t="s">
        <v>38</v>
      </c>
      <c r="I943" s="2" t="s">
        <v>39</v>
      </c>
      <c r="J943" s="2" t="s">
        <v>3438</v>
      </c>
      <c r="K943" s="2" t="n">
        <v>9</v>
      </c>
      <c r="L943" s="2" t="s">
        <v>41</v>
      </c>
      <c r="M943" s="2" t="s">
        <v>42</v>
      </c>
      <c r="N943" s="4" t="n">
        <v>558.5</v>
      </c>
      <c r="O943" s="2" t="str">
        <f aca="false">IF(COUNTIF($A$2:$A$1201,A943)&gt;1,"DUPLICATE","Unique")</f>
        <v>Unique</v>
      </c>
      <c r="P943" s="2" t="str">
        <f aca="false">IF(L943="","MISSING","OK")</f>
        <v>OK</v>
      </c>
      <c r="Q943" s="2" t="str">
        <f aca="false">IF(ISNUMBER(B943),"OK","BAD DATE")</f>
        <v>OK</v>
      </c>
      <c r="R943" s="2" t="str">
        <f aca="false">IF(ROUND(F943,2)=F943,"OK","FIX")</f>
        <v>OK</v>
      </c>
    </row>
    <row r="944" customFormat="false" ht="15" hidden="false" customHeight="false" outlineLevel="0" collapsed="false">
      <c r="A944" s="2" t="s">
        <v>3439</v>
      </c>
      <c r="B944" s="3" t="n">
        <v>45198</v>
      </c>
      <c r="C944" s="2" t="s">
        <v>3440</v>
      </c>
      <c r="D944" s="2" t="s">
        <v>36</v>
      </c>
      <c r="E944" s="2" t="n">
        <v>1</v>
      </c>
      <c r="F944" s="4" t="n">
        <v>479.76</v>
      </c>
      <c r="G944" s="2" t="s">
        <v>888</v>
      </c>
      <c r="H944" s="2" t="s">
        <v>38</v>
      </c>
      <c r="I944" s="2" t="s">
        <v>93</v>
      </c>
      <c r="J944" s="2" t="s">
        <v>3441</v>
      </c>
      <c r="K944" s="2" t="n">
        <v>1</v>
      </c>
      <c r="L944" s="2"/>
      <c r="M944" s="2" t="s">
        <v>42</v>
      </c>
      <c r="N944" s="4" t="n">
        <v>479.76</v>
      </c>
      <c r="O944" s="2" t="str">
        <f aca="false">IF(COUNTIF($A$2:$A$1201,A944)&gt;1,"DUPLICATE","Unique")</f>
        <v>Unique</v>
      </c>
      <c r="P944" s="2" t="str">
        <f aca="false">IF(L944="","MISSING","OK")</f>
        <v>MISSING</v>
      </c>
      <c r="Q944" s="2" t="str">
        <f aca="false">IF(ISNUMBER(B944),"OK","BAD DATE")</f>
        <v>OK</v>
      </c>
      <c r="R944" s="2" t="str">
        <f aca="false">IF(ROUND(F944,2)=F944,"OK","FIX")</f>
        <v>OK</v>
      </c>
    </row>
    <row r="945" customFormat="false" ht="15" hidden="false" customHeight="false" outlineLevel="0" collapsed="false">
      <c r="A945" s="2" t="s">
        <v>3442</v>
      </c>
      <c r="B945" s="3" t="n">
        <v>45287</v>
      </c>
      <c r="C945" s="2" t="s">
        <v>3443</v>
      </c>
      <c r="D945" s="2" t="s">
        <v>20</v>
      </c>
      <c r="E945" s="2" t="n">
        <v>3</v>
      </c>
      <c r="F945" s="4" t="n">
        <v>193.49</v>
      </c>
      <c r="G945" s="2" t="s">
        <v>3444</v>
      </c>
      <c r="H945" s="2" t="s">
        <v>64</v>
      </c>
      <c r="I945" s="2" t="s">
        <v>47</v>
      </c>
      <c r="J945" s="2" t="s">
        <v>3445</v>
      </c>
      <c r="K945" s="2" t="n">
        <v>6</v>
      </c>
      <c r="L945" s="2" t="s">
        <v>41</v>
      </c>
      <c r="M945" s="2" t="s">
        <v>49</v>
      </c>
      <c r="N945" s="4" t="n">
        <v>580.47</v>
      </c>
      <c r="O945" s="2" t="str">
        <f aca="false">IF(COUNTIF($A$2:$A$1201,A945)&gt;1,"DUPLICATE","Unique")</f>
        <v>Unique</v>
      </c>
      <c r="P945" s="2" t="str">
        <f aca="false">IF(L945="","MISSING","OK")</f>
        <v>OK</v>
      </c>
      <c r="Q945" s="2" t="str">
        <f aca="false">IF(ISNUMBER(B945),"OK","BAD DATE")</f>
        <v>OK</v>
      </c>
      <c r="R945" s="2" t="str">
        <f aca="false">IF(ROUND(F945,2)=F945,"OK","FIX")</f>
        <v>OK</v>
      </c>
    </row>
    <row r="946" customFormat="false" ht="15" hidden="false" customHeight="false" outlineLevel="0" collapsed="false">
      <c r="A946" s="2" t="s">
        <v>3446</v>
      </c>
      <c r="B946" s="3" t="n">
        <v>45642</v>
      </c>
      <c r="C946" s="2" t="s">
        <v>3447</v>
      </c>
      <c r="D946" s="2" t="s">
        <v>62</v>
      </c>
      <c r="E946" s="2" t="n">
        <v>2</v>
      </c>
      <c r="F946" s="4" t="n">
        <v>426.22</v>
      </c>
      <c r="G946" s="2" t="s">
        <v>3214</v>
      </c>
      <c r="H946" s="2" t="s">
        <v>31</v>
      </c>
      <c r="I946" s="2" t="s">
        <v>54</v>
      </c>
      <c r="J946" s="2" t="s">
        <v>3448</v>
      </c>
      <c r="K946" s="2" t="n">
        <v>7</v>
      </c>
      <c r="L946" s="2" t="s">
        <v>85</v>
      </c>
      <c r="M946" s="2" t="s">
        <v>80</v>
      </c>
      <c r="N946" s="4" t="n">
        <v>852.44</v>
      </c>
      <c r="O946" s="2" t="str">
        <f aca="false">IF(COUNTIF($A$2:$A$1201,A946)&gt;1,"DUPLICATE","Unique")</f>
        <v>Unique</v>
      </c>
      <c r="P946" s="2" t="str">
        <f aca="false">IF(L946="","MISSING","OK")</f>
        <v>OK</v>
      </c>
      <c r="Q946" s="2" t="str">
        <f aca="false">IF(ISNUMBER(B946),"OK","BAD DATE")</f>
        <v>OK</v>
      </c>
      <c r="R946" s="2" t="str">
        <f aca="false">IF(ROUND(F946,2)=F946,"OK","FIX")</f>
        <v>OK</v>
      </c>
    </row>
    <row r="947" customFormat="false" ht="15" hidden="false" customHeight="false" outlineLevel="0" collapsed="false">
      <c r="A947" s="2" t="s">
        <v>3449</v>
      </c>
      <c r="B947" s="3" t="n">
        <v>45158</v>
      </c>
      <c r="C947" s="2" t="s">
        <v>3450</v>
      </c>
      <c r="D947" s="2" t="s">
        <v>36</v>
      </c>
      <c r="E947" s="2" t="n">
        <v>5</v>
      </c>
      <c r="F947" s="4" t="n">
        <v>276.44</v>
      </c>
      <c r="G947" s="2" t="s">
        <v>1356</v>
      </c>
      <c r="H947" s="2" t="s">
        <v>64</v>
      </c>
      <c r="I947" s="2" t="s">
        <v>23</v>
      </c>
      <c r="J947" s="2" t="s">
        <v>3451</v>
      </c>
      <c r="K947" s="2" t="n">
        <v>10</v>
      </c>
      <c r="L947" s="2" t="s">
        <v>41</v>
      </c>
      <c r="M947" s="2" t="s">
        <v>33</v>
      </c>
      <c r="N947" s="4" t="n">
        <v>1382.2</v>
      </c>
      <c r="O947" s="2" t="str">
        <f aca="false">IF(COUNTIF($A$2:$A$1201,A947)&gt;1,"DUPLICATE","Unique")</f>
        <v>Unique</v>
      </c>
      <c r="P947" s="2" t="str">
        <f aca="false">IF(L947="","MISSING","OK")</f>
        <v>OK</v>
      </c>
      <c r="Q947" s="2" t="str">
        <f aca="false">IF(ISNUMBER(B947),"OK","BAD DATE")</f>
        <v>OK</v>
      </c>
      <c r="R947" s="2" t="str">
        <f aca="false">IF(ROUND(F947,2)=F947,"OK","FIX")</f>
        <v>OK</v>
      </c>
    </row>
    <row r="948" customFormat="false" ht="15" hidden="false" customHeight="false" outlineLevel="0" collapsed="false">
      <c r="A948" s="2" t="s">
        <v>3452</v>
      </c>
      <c r="B948" s="3" t="n">
        <v>45416</v>
      </c>
      <c r="C948" s="2" t="s">
        <v>3453</v>
      </c>
      <c r="D948" s="2" t="s">
        <v>29</v>
      </c>
      <c r="E948" s="2" t="n">
        <v>2</v>
      </c>
      <c r="F948" s="4" t="n">
        <v>404.96</v>
      </c>
      <c r="G948" s="2" t="s">
        <v>1303</v>
      </c>
      <c r="H948" s="2" t="s">
        <v>69</v>
      </c>
      <c r="I948" s="2" t="s">
        <v>23</v>
      </c>
      <c r="J948" s="2" t="s">
        <v>3454</v>
      </c>
      <c r="K948" s="2" t="n">
        <v>4</v>
      </c>
      <c r="L948" s="2" t="s">
        <v>25</v>
      </c>
      <c r="M948" s="2" t="s">
        <v>42</v>
      </c>
      <c r="N948" s="4" t="n">
        <v>809.92</v>
      </c>
      <c r="O948" s="2" t="str">
        <f aca="false">IF(COUNTIF($A$2:$A$1201,A948)&gt;1,"DUPLICATE","Unique")</f>
        <v>Unique</v>
      </c>
      <c r="P948" s="2" t="str">
        <f aca="false">IF(L948="","MISSING","OK")</f>
        <v>OK</v>
      </c>
      <c r="Q948" s="2" t="str">
        <f aca="false">IF(ISNUMBER(B948),"OK","BAD DATE")</f>
        <v>OK</v>
      </c>
      <c r="R948" s="2" t="str">
        <f aca="false">IF(ROUND(F948,2)=F948,"OK","FIX")</f>
        <v>OK</v>
      </c>
    </row>
    <row r="949" customFormat="false" ht="15" hidden="false" customHeight="false" outlineLevel="0" collapsed="false">
      <c r="A949" s="2" t="s">
        <v>3455</v>
      </c>
      <c r="B949" s="3" t="n">
        <v>45176</v>
      </c>
      <c r="C949" s="2" t="s">
        <v>3456</v>
      </c>
      <c r="D949" s="2" t="s">
        <v>29</v>
      </c>
      <c r="E949" s="2" t="n">
        <v>4</v>
      </c>
      <c r="F949" s="4" t="n">
        <v>465.66</v>
      </c>
      <c r="G949" s="2" t="s">
        <v>1093</v>
      </c>
      <c r="H949" s="2" t="s">
        <v>31</v>
      </c>
      <c r="I949" s="2" t="s">
        <v>47</v>
      </c>
      <c r="J949" s="2" t="s">
        <v>3457</v>
      </c>
      <c r="K949" s="2" t="n">
        <v>9</v>
      </c>
      <c r="L949" s="2" t="s">
        <v>41</v>
      </c>
      <c r="M949" s="2" t="s">
        <v>42</v>
      </c>
      <c r="N949" s="4" t="n">
        <v>1862.64</v>
      </c>
      <c r="O949" s="2" t="str">
        <f aca="false">IF(COUNTIF($A$2:$A$1201,A949)&gt;1,"DUPLICATE","Unique")</f>
        <v>Unique</v>
      </c>
      <c r="P949" s="2" t="str">
        <f aca="false">IF(L949="","MISSING","OK")</f>
        <v>OK</v>
      </c>
      <c r="Q949" s="2" t="str">
        <f aca="false">IF(ISNUMBER(B949),"OK","BAD DATE")</f>
        <v>OK</v>
      </c>
      <c r="R949" s="2" t="str">
        <f aca="false">IF(ROUND(F949,2)=F949,"OK","FIX")</f>
        <v>OK</v>
      </c>
    </row>
    <row r="950" customFormat="false" ht="15" hidden="false" customHeight="false" outlineLevel="0" collapsed="false">
      <c r="A950" s="2" t="s">
        <v>3458</v>
      </c>
      <c r="B950" s="3" t="n">
        <v>45464</v>
      </c>
      <c r="C950" s="2" t="s">
        <v>1726</v>
      </c>
      <c r="D950" s="2" t="s">
        <v>29</v>
      </c>
      <c r="E950" s="2" t="n">
        <v>2</v>
      </c>
      <c r="F950" s="4" t="n">
        <v>594.07</v>
      </c>
      <c r="G950" s="2" t="s">
        <v>1798</v>
      </c>
      <c r="H950" s="2" t="s">
        <v>64</v>
      </c>
      <c r="I950" s="2" t="s">
        <v>39</v>
      </c>
      <c r="J950" s="2" t="s">
        <v>3459</v>
      </c>
      <c r="K950" s="2" t="n">
        <v>2</v>
      </c>
      <c r="L950" s="2"/>
      <c r="M950" s="2" t="s">
        <v>80</v>
      </c>
      <c r="N950" s="4" t="n">
        <v>1188.14</v>
      </c>
      <c r="O950" s="2" t="str">
        <f aca="false">IF(COUNTIF($A$2:$A$1201,A950)&gt;1,"DUPLICATE","Unique")</f>
        <v>Unique</v>
      </c>
      <c r="P950" s="2" t="str">
        <f aca="false">IF(L950="","MISSING","OK")</f>
        <v>MISSING</v>
      </c>
      <c r="Q950" s="2" t="str">
        <f aca="false">IF(ISNUMBER(B950),"OK","BAD DATE")</f>
        <v>OK</v>
      </c>
      <c r="R950" s="2" t="str">
        <f aca="false">IF(ROUND(F950,2)=F950,"OK","FIX")</f>
        <v>OK</v>
      </c>
    </row>
    <row r="951" customFormat="false" ht="15" hidden="false" customHeight="false" outlineLevel="0" collapsed="false">
      <c r="A951" s="2" t="s">
        <v>3460</v>
      </c>
      <c r="B951" s="3" t="n">
        <v>45239</v>
      </c>
      <c r="C951" s="2" t="s">
        <v>3461</v>
      </c>
      <c r="D951" s="2" t="s">
        <v>77</v>
      </c>
      <c r="E951" s="2" t="n">
        <v>5</v>
      </c>
      <c r="F951" s="4" t="n">
        <v>110.38</v>
      </c>
      <c r="G951" s="2" t="s">
        <v>1564</v>
      </c>
      <c r="H951" s="2" t="s">
        <v>69</v>
      </c>
      <c r="I951" s="2" t="s">
        <v>93</v>
      </c>
      <c r="J951" s="2" t="s">
        <v>3462</v>
      </c>
      <c r="K951" s="2" t="n">
        <v>10</v>
      </c>
      <c r="L951" s="2"/>
      <c r="M951" s="2" t="s">
        <v>33</v>
      </c>
      <c r="N951" s="4" t="n">
        <v>551.9</v>
      </c>
      <c r="O951" s="2" t="str">
        <f aca="false">IF(COUNTIF($A$2:$A$1201,A951)&gt;1,"DUPLICATE","Unique")</f>
        <v>Unique</v>
      </c>
      <c r="P951" s="2" t="str">
        <f aca="false">IF(L951="","MISSING","OK")</f>
        <v>MISSING</v>
      </c>
      <c r="Q951" s="2" t="str">
        <f aca="false">IF(ISNUMBER(B951),"OK","BAD DATE")</f>
        <v>OK</v>
      </c>
      <c r="R951" s="2" t="str">
        <f aca="false">IF(ROUND(F951,2)=F951,"OK","FIX")</f>
        <v>OK</v>
      </c>
    </row>
    <row r="952" customFormat="false" ht="15" hidden="false" customHeight="false" outlineLevel="0" collapsed="false">
      <c r="A952" s="2" t="s">
        <v>3463</v>
      </c>
      <c r="B952" s="3" t="n">
        <v>45443</v>
      </c>
      <c r="C952" s="2" t="s">
        <v>3464</v>
      </c>
      <c r="D952" s="2" t="s">
        <v>62</v>
      </c>
      <c r="E952" s="2" t="n">
        <v>1</v>
      </c>
      <c r="F952" s="4" t="n">
        <v>596.24</v>
      </c>
      <c r="G952" s="2" t="s">
        <v>117</v>
      </c>
      <c r="H952" s="2" t="s">
        <v>38</v>
      </c>
      <c r="I952" s="2" t="s">
        <v>47</v>
      </c>
      <c r="J952" s="2" t="s">
        <v>3465</v>
      </c>
      <c r="K952" s="2" t="n">
        <v>4</v>
      </c>
      <c r="L952" s="2" t="s">
        <v>41</v>
      </c>
      <c r="M952" s="2" t="s">
        <v>26</v>
      </c>
      <c r="N952" s="4" t="n">
        <v>596.24</v>
      </c>
      <c r="O952" s="2" t="str">
        <f aca="false">IF(COUNTIF($A$2:$A$1201,A952)&gt;1,"DUPLICATE","Unique")</f>
        <v>Unique</v>
      </c>
      <c r="P952" s="2" t="str">
        <f aca="false">IF(L952="","MISSING","OK")</f>
        <v>OK</v>
      </c>
      <c r="Q952" s="2" t="str">
        <f aca="false">IF(ISNUMBER(B952),"OK","BAD DATE")</f>
        <v>OK</v>
      </c>
      <c r="R952" s="2" t="str">
        <f aca="false">IF(ROUND(F952,2)=F952,"OK","FIX")</f>
        <v>OK</v>
      </c>
    </row>
    <row r="953" customFormat="false" ht="15" hidden="false" customHeight="false" outlineLevel="0" collapsed="false">
      <c r="A953" s="2" t="s">
        <v>3466</v>
      </c>
      <c r="B953" s="3" t="n">
        <v>45495</v>
      </c>
      <c r="C953" s="2" t="s">
        <v>3467</v>
      </c>
      <c r="D953" s="2" t="s">
        <v>52</v>
      </c>
      <c r="E953" s="2" t="n">
        <v>2</v>
      </c>
      <c r="F953" s="4" t="n">
        <v>306.24</v>
      </c>
      <c r="G953" s="2" t="s">
        <v>1070</v>
      </c>
      <c r="H953" s="2" t="s">
        <v>31</v>
      </c>
      <c r="I953" s="2" t="s">
        <v>47</v>
      </c>
      <c r="J953" s="2" t="s">
        <v>3468</v>
      </c>
      <c r="K953" s="2" t="n">
        <v>4</v>
      </c>
      <c r="L953" s="2" t="s">
        <v>41</v>
      </c>
      <c r="M953" s="2" t="s">
        <v>42</v>
      </c>
      <c r="N953" s="4" t="n">
        <v>612.48</v>
      </c>
      <c r="O953" s="2" t="str">
        <f aca="false">IF(COUNTIF($A$2:$A$1201,A953)&gt;1,"DUPLICATE","Unique")</f>
        <v>Unique</v>
      </c>
      <c r="P953" s="2" t="str">
        <f aca="false">IF(L953="","MISSING","OK")</f>
        <v>OK</v>
      </c>
      <c r="Q953" s="2" t="str">
        <f aca="false">IF(ISNUMBER(B953),"OK","BAD DATE")</f>
        <v>OK</v>
      </c>
      <c r="R953" s="2" t="str">
        <f aca="false">IF(ROUND(F953,2)=F953,"OK","FIX")</f>
        <v>OK</v>
      </c>
    </row>
    <row r="954" customFormat="false" ht="15" hidden="false" customHeight="false" outlineLevel="0" collapsed="false">
      <c r="A954" s="2" t="s">
        <v>3469</v>
      </c>
      <c r="B954" s="3" t="n">
        <v>45715</v>
      </c>
      <c r="C954" s="2" t="s">
        <v>3470</v>
      </c>
      <c r="D954" s="2" t="s">
        <v>20</v>
      </c>
      <c r="E954" s="2" t="n">
        <v>3</v>
      </c>
      <c r="F954" s="4" t="n">
        <v>503.39</v>
      </c>
      <c r="G954" s="2" t="s">
        <v>3471</v>
      </c>
      <c r="H954" s="2" t="s">
        <v>31</v>
      </c>
      <c r="I954" s="2" t="s">
        <v>93</v>
      </c>
      <c r="J954" s="2" t="s">
        <v>3472</v>
      </c>
      <c r="K954" s="2" t="n">
        <v>5</v>
      </c>
      <c r="L954" s="2"/>
      <c r="M954" s="2" t="s">
        <v>49</v>
      </c>
      <c r="N954" s="4" t="n">
        <v>1510.17</v>
      </c>
      <c r="O954" s="2" t="str">
        <f aca="false">IF(COUNTIF($A$2:$A$1201,A954)&gt;1,"DUPLICATE","Unique")</f>
        <v>Unique</v>
      </c>
      <c r="P954" s="2" t="str">
        <f aca="false">IF(L954="","MISSING","OK")</f>
        <v>MISSING</v>
      </c>
      <c r="Q954" s="2" t="str">
        <f aca="false">IF(ISNUMBER(B954),"OK","BAD DATE")</f>
        <v>OK</v>
      </c>
      <c r="R954" s="2" t="str">
        <f aca="false">IF(ROUND(F954,2)=F954,"OK","FIX")</f>
        <v>OK</v>
      </c>
    </row>
    <row r="955" customFormat="false" ht="15" hidden="false" customHeight="false" outlineLevel="0" collapsed="false">
      <c r="A955" s="2" t="s">
        <v>3473</v>
      </c>
      <c r="B955" s="3" t="n">
        <v>44963</v>
      </c>
      <c r="C955" s="2" t="s">
        <v>3474</v>
      </c>
      <c r="D955" s="2" t="s">
        <v>29</v>
      </c>
      <c r="E955" s="2" t="n">
        <v>1</v>
      </c>
      <c r="F955" s="4" t="n">
        <v>131.61</v>
      </c>
      <c r="G955" s="2" t="s">
        <v>367</v>
      </c>
      <c r="H955" s="2" t="s">
        <v>69</v>
      </c>
      <c r="I955" s="2" t="s">
        <v>23</v>
      </c>
      <c r="J955" s="2" t="s">
        <v>3475</v>
      </c>
      <c r="K955" s="2" t="n">
        <v>2</v>
      </c>
      <c r="L955" s="2" t="s">
        <v>41</v>
      </c>
      <c r="M955" s="2" t="s">
        <v>49</v>
      </c>
      <c r="N955" s="4" t="n">
        <v>131.61</v>
      </c>
      <c r="O955" s="2" t="str">
        <f aca="false">IF(COUNTIF($A$2:$A$1201,A955)&gt;1,"DUPLICATE","Unique")</f>
        <v>Unique</v>
      </c>
      <c r="P955" s="2" t="str">
        <f aca="false">IF(L955="","MISSING","OK")</f>
        <v>OK</v>
      </c>
      <c r="Q955" s="2" t="str">
        <f aca="false">IF(ISNUMBER(B955),"OK","BAD DATE")</f>
        <v>OK</v>
      </c>
      <c r="R955" s="2" t="str">
        <f aca="false">IF(ROUND(F955,2)=F955,"OK","FIX")</f>
        <v>OK</v>
      </c>
    </row>
    <row r="956" customFormat="false" ht="15" hidden="false" customHeight="false" outlineLevel="0" collapsed="false">
      <c r="A956" s="2" t="s">
        <v>3476</v>
      </c>
      <c r="B956" s="3" t="n">
        <v>45587</v>
      </c>
      <c r="C956" s="2" t="s">
        <v>3477</v>
      </c>
      <c r="D956" s="2" t="s">
        <v>45</v>
      </c>
      <c r="E956" s="2" t="n">
        <v>3</v>
      </c>
      <c r="F956" s="4" t="n">
        <v>443.44</v>
      </c>
      <c r="G956" s="2" t="s">
        <v>671</v>
      </c>
      <c r="H956" s="2" t="s">
        <v>64</v>
      </c>
      <c r="I956" s="2" t="s">
        <v>23</v>
      </c>
      <c r="J956" s="2" t="s">
        <v>3478</v>
      </c>
      <c r="K956" s="2" t="n">
        <v>3</v>
      </c>
      <c r="L956" s="2" t="s">
        <v>41</v>
      </c>
      <c r="M956" s="2" t="s">
        <v>80</v>
      </c>
      <c r="N956" s="4" t="n">
        <v>1330.32</v>
      </c>
      <c r="O956" s="2" t="str">
        <f aca="false">IF(COUNTIF($A$2:$A$1201,A956)&gt;1,"DUPLICATE","Unique")</f>
        <v>Unique</v>
      </c>
      <c r="P956" s="2" t="str">
        <f aca="false">IF(L956="","MISSING","OK")</f>
        <v>OK</v>
      </c>
      <c r="Q956" s="2" t="str">
        <f aca="false">IF(ISNUMBER(B956),"OK","BAD DATE")</f>
        <v>OK</v>
      </c>
      <c r="R956" s="2" t="str">
        <f aca="false">IF(ROUND(F956,2)=F956,"OK","FIX")</f>
        <v>OK</v>
      </c>
    </row>
    <row r="957" customFormat="false" ht="15" hidden="false" customHeight="false" outlineLevel="0" collapsed="false">
      <c r="A957" s="2" t="s">
        <v>3479</v>
      </c>
      <c r="B957" s="3" t="n">
        <v>44949</v>
      </c>
      <c r="C957" s="2" t="s">
        <v>3480</v>
      </c>
      <c r="D957" s="2" t="s">
        <v>45</v>
      </c>
      <c r="E957" s="2" t="n">
        <v>1</v>
      </c>
      <c r="F957" s="4" t="n">
        <v>408.13</v>
      </c>
      <c r="G957" s="2" t="s">
        <v>996</v>
      </c>
      <c r="H957" s="2" t="s">
        <v>64</v>
      </c>
      <c r="I957" s="2" t="s">
        <v>23</v>
      </c>
      <c r="J957" s="2" t="s">
        <v>3481</v>
      </c>
      <c r="K957" s="2" t="n">
        <v>3</v>
      </c>
      <c r="L957" s="2" t="s">
        <v>85</v>
      </c>
      <c r="M957" s="2" t="s">
        <v>26</v>
      </c>
      <c r="N957" s="4" t="n">
        <v>408.13</v>
      </c>
      <c r="O957" s="2" t="str">
        <f aca="false">IF(COUNTIF($A$2:$A$1201,A957)&gt;1,"DUPLICATE","Unique")</f>
        <v>Unique</v>
      </c>
      <c r="P957" s="2" t="str">
        <f aca="false">IF(L957="","MISSING","OK")</f>
        <v>OK</v>
      </c>
      <c r="Q957" s="2" t="str">
        <f aca="false">IF(ISNUMBER(B957),"OK","BAD DATE")</f>
        <v>OK</v>
      </c>
      <c r="R957" s="2" t="str">
        <f aca="false">IF(ROUND(F957,2)=F957,"OK","FIX")</f>
        <v>OK</v>
      </c>
    </row>
    <row r="958" customFormat="false" ht="15" hidden="false" customHeight="false" outlineLevel="0" collapsed="false">
      <c r="A958" s="2" t="s">
        <v>3482</v>
      </c>
      <c r="B958" s="3" t="n">
        <v>45393</v>
      </c>
      <c r="C958" s="2" t="s">
        <v>2903</v>
      </c>
      <c r="D958" s="2" t="s">
        <v>29</v>
      </c>
      <c r="E958" s="2" t="n">
        <v>2</v>
      </c>
      <c r="F958" s="4" t="n">
        <v>160.98</v>
      </c>
      <c r="G958" s="2" t="s">
        <v>3483</v>
      </c>
      <c r="H958" s="2" t="s">
        <v>22</v>
      </c>
      <c r="I958" s="2" t="s">
        <v>54</v>
      </c>
      <c r="J958" s="2" t="s">
        <v>3484</v>
      </c>
      <c r="K958" s="2" t="n">
        <v>3</v>
      </c>
      <c r="L958" s="2" t="s">
        <v>25</v>
      </c>
      <c r="M958" s="2" t="s">
        <v>33</v>
      </c>
      <c r="N958" s="4" t="n">
        <v>321.96</v>
      </c>
      <c r="O958" s="2" t="str">
        <f aca="false">IF(COUNTIF($A$2:$A$1201,A958)&gt;1,"DUPLICATE","Unique")</f>
        <v>Unique</v>
      </c>
      <c r="P958" s="2" t="str">
        <f aca="false">IF(L958="","MISSING","OK")</f>
        <v>OK</v>
      </c>
      <c r="Q958" s="2" t="str">
        <f aca="false">IF(ISNUMBER(B958),"OK","BAD DATE")</f>
        <v>OK</v>
      </c>
      <c r="R958" s="2" t="str">
        <f aca="false">IF(ROUND(F958,2)=F958,"OK","FIX")</f>
        <v>OK</v>
      </c>
    </row>
    <row r="959" customFormat="false" ht="15" hidden="false" customHeight="false" outlineLevel="0" collapsed="false">
      <c r="A959" s="2" t="s">
        <v>3485</v>
      </c>
      <c r="B959" s="3" t="n">
        <v>44938</v>
      </c>
      <c r="C959" s="2" t="s">
        <v>3486</v>
      </c>
      <c r="D959" s="2" t="s">
        <v>20</v>
      </c>
      <c r="E959" s="2" t="n">
        <v>5</v>
      </c>
      <c r="F959" s="4" t="n">
        <v>643.89</v>
      </c>
      <c r="G959" s="2" t="s">
        <v>3487</v>
      </c>
      <c r="H959" s="2" t="s">
        <v>69</v>
      </c>
      <c r="I959" s="2" t="s">
        <v>47</v>
      </c>
      <c r="J959" s="2" t="s">
        <v>3488</v>
      </c>
      <c r="K959" s="2" t="n">
        <v>8</v>
      </c>
      <c r="L959" s="2" t="s">
        <v>85</v>
      </c>
      <c r="M959" s="2" t="s">
        <v>49</v>
      </c>
      <c r="N959" s="4" t="n">
        <v>3219.45</v>
      </c>
      <c r="O959" s="2" t="str">
        <f aca="false">IF(COUNTIF($A$2:$A$1201,A959)&gt;1,"DUPLICATE","Unique")</f>
        <v>Unique</v>
      </c>
      <c r="P959" s="2" t="str">
        <f aca="false">IF(L959="","MISSING","OK")</f>
        <v>OK</v>
      </c>
      <c r="Q959" s="2" t="str">
        <f aca="false">IF(ISNUMBER(B959),"OK","BAD DATE")</f>
        <v>OK</v>
      </c>
      <c r="R959" s="2" t="str">
        <f aca="false">IF(ROUND(F959,2)=F959,"OK","FIX")</f>
        <v>OK</v>
      </c>
    </row>
    <row r="960" customFormat="false" ht="15" hidden="false" customHeight="false" outlineLevel="0" collapsed="false">
      <c r="A960" s="2" t="s">
        <v>3489</v>
      </c>
      <c r="B960" s="3" t="n">
        <v>45059</v>
      </c>
      <c r="C960" s="2" t="s">
        <v>3490</v>
      </c>
      <c r="D960" s="2" t="s">
        <v>77</v>
      </c>
      <c r="E960" s="2" t="n">
        <v>3</v>
      </c>
      <c r="F960" s="4" t="n">
        <v>158.66</v>
      </c>
      <c r="G960" s="2" t="s">
        <v>1155</v>
      </c>
      <c r="H960" s="2" t="s">
        <v>64</v>
      </c>
      <c r="I960" s="2" t="s">
        <v>54</v>
      </c>
      <c r="J960" s="2" t="s">
        <v>3491</v>
      </c>
      <c r="K960" s="2" t="n">
        <v>7</v>
      </c>
      <c r="L960" s="2" t="s">
        <v>85</v>
      </c>
      <c r="M960" s="2" t="s">
        <v>42</v>
      </c>
      <c r="N960" s="4" t="n">
        <v>475.98</v>
      </c>
      <c r="O960" s="2" t="str">
        <f aca="false">IF(COUNTIF($A$2:$A$1201,A960)&gt;1,"DUPLICATE","Unique")</f>
        <v>Unique</v>
      </c>
      <c r="P960" s="2" t="str">
        <f aca="false">IF(L960="","MISSING","OK")</f>
        <v>OK</v>
      </c>
      <c r="Q960" s="2" t="str">
        <f aca="false">IF(ISNUMBER(B960),"OK","BAD DATE")</f>
        <v>OK</v>
      </c>
      <c r="R960" s="2" t="str">
        <f aca="false">IF(ROUND(F960,2)=F960,"OK","FIX")</f>
        <v>OK</v>
      </c>
    </row>
    <row r="961" customFormat="false" ht="15" hidden="false" customHeight="false" outlineLevel="0" collapsed="false">
      <c r="A961" s="2" t="s">
        <v>3492</v>
      </c>
      <c r="B961" s="3" t="n">
        <v>45395</v>
      </c>
      <c r="C961" s="2" t="s">
        <v>3493</v>
      </c>
      <c r="D961" s="2" t="s">
        <v>36</v>
      </c>
      <c r="E961" s="2" t="n">
        <v>2</v>
      </c>
      <c r="F961" s="4" t="n">
        <v>143.82</v>
      </c>
      <c r="G961" s="2" t="s">
        <v>1194</v>
      </c>
      <c r="H961" s="2" t="s">
        <v>38</v>
      </c>
      <c r="I961" s="2" t="s">
        <v>47</v>
      </c>
      <c r="J961" s="2" t="s">
        <v>3494</v>
      </c>
      <c r="K961" s="2" t="n">
        <v>6</v>
      </c>
      <c r="L961" s="2" t="s">
        <v>25</v>
      </c>
      <c r="M961" s="2" t="s">
        <v>26</v>
      </c>
      <c r="N961" s="4" t="n">
        <v>287.64</v>
      </c>
      <c r="O961" s="2" t="str">
        <f aca="false">IF(COUNTIF($A$2:$A$1201,A961)&gt;1,"DUPLICATE","Unique")</f>
        <v>Unique</v>
      </c>
      <c r="P961" s="2" t="str">
        <f aca="false">IF(L961="","MISSING","OK")</f>
        <v>OK</v>
      </c>
      <c r="Q961" s="2" t="str">
        <f aca="false">IF(ISNUMBER(B961),"OK","BAD DATE")</f>
        <v>OK</v>
      </c>
      <c r="R961" s="2" t="str">
        <f aca="false">IF(ROUND(F961,2)=F961,"OK","FIX")</f>
        <v>OK</v>
      </c>
    </row>
    <row r="962" customFormat="false" ht="15" hidden="false" customHeight="false" outlineLevel="0" collapsed="false">
      <c r="A962" s="2" t="s">
        <v>3495</v>
      </c>
      <c r="B962" s="3" t="n">
        <v>45271</v>
      </c>
      <c r="C962" s="2" t="s">
        <v>3496</v>
      </c>
      <c r="D962" s="2" t="s">
        <v>62</v>
      </c>
      <c r="E962" s="2" t="n">
        <v>3</v>
      </c>
      <c r="F962" s="4" t="n">
        <v>379.07</v>
      </c>
      <c r="G962" s="2" t="s">
        <v>1435</v>
      </c>
      <c r="H962" s="2" t="s">
        <v>64</v>
      </c>
      <c r="I962" s="2" t="s">
        <v>93</v>
      </c>
      <c r="J962" s="2" t="s">
        <v>3497</v>
      </c>
      <c r="K962" s="2" t="n">
        <v>3</v>
      </c>
      <c r="L962" s="2" t="s">
        <v>85</v>
      </c>
      <c r="M962" s="2" t="s">
        <v>80</v>
      </c>
      <c r="N962" s="4" t="n">
        <v>1137.21</v>
      </c>
      <c r="O962" s="2" t="str">
        <f aca="false">IF(COUNTIF($A$2:$A$1201,A962)&gt;1,"DUPLICATE","Unique")</f>
        <v>Unique</v>
      </c>
      <c r="P962" s="2" t="str">
        <f aca="false">IF(L962="","MISSING","OK")</f>
        <v>OK</v>
      </c>
      <c r="Q962" s="2" t="str">
        <f aca="false">IF(ISNUMBER(B962),"OK","BAD DATE")</f>
        <v>OK</v>
      </c>
      <c r="R962" s="2" t="str">
        <f aca="false">IF(ROUND(F962,2)=F962,"OK","FIX")</f>
        <v>OK</v>
      </c>
    </row>
    <row r="963" customFormat="false" ht="15" hidden="false" customHeight="false" outlineLevel="0" collapsed="false">
      <c r="A963" s="2" t="s">
        <v>3498</v>
      </c>
      <c r="B963" s="3" t="n">
        <v>45607</v>
      </c>
      <c r="C963" s="2" t="s">
        <v>3499</v>
      </c>
      <c r="D963" s="2" t="s">
        <v>29</v>
      </c>
      <c r="E963" s="2" t="n">
        <v>1</v>
      </c>
      <c r="F963" s="4" t="n">
        <v>601.36</v>
      </c>
      <c r="G963" s="2" t="s">
        <v>1310</v>
      </c>
      <c r="H963" s="2" t="s">
        <v>31</v>
      </c>
      <c r="I963" s="2" t="s">
        <v>23</v>
      </c>
      <c r="J963" s="2" t="s">
        <v>3500</v>
      </c>
      <c r="K963" s="2" t="n">
        <v>1</v>
      </c>
      <c r="L963" s="2"/>
      <c r="M963" s="2" t="s">
        <v>49</v>
      </c>
      <c r="N963" s="4" t="n">
        <v>601.36</v>
      </c>
      <c r="O963" s="2" t="str">
        <f aca="false">IF(COUNTIF($A$2:$A$1201,A963)&gt;1,"DUPLICATE","Unique")</f>
        <v>Unique</v>
      </c>
      <c r="P963" s="2" t="str">
        <f aca="false">IF(L963="","MISSING","OK")</f>
        <v>MISSING</v>
      </c>
      <c r="Q963" s="2" t="str">
        <f aca="false">IF(ISNUMBER(B963),"OK","BAD DATE")</f>
        <v>OK</v>
      </c>
      <c r="R963" s="2" t="str">
        <f aca="false">IF(ROUND(F963,2)=F963,"OK","FIX")</f>
        <v>OK</v>
      </c>
    </row>
    <row r="964" customFormat="false" ht="15" hidden="false" customHeight="false" outlineLevel="0" collapsed="false">
      <c r="A964" s="2" t="s">
        <v>3501</v>
      </c>
      <c r="B964" s="3" t="n">
        <v>45541</v>
      </c>
      <c r="C964" s="2" t="s">
        <v>3502</v>
      </c>
      <c r="D964" s="2" t="s">
        <v>29</v>
      </c>
      <c r="E964" s="2" t="n">
        <v>2</v>
      </c>
      <c r="F964" s="4" t="n">
        <v>142.08</v>
      </c>
      <c r="G964" s="2" t="s">
        <v>988</v>
      </c>
      <c r="H964" s="2" t="s">
        <v>64</v>
      </c>
      <c r="I964" s="2" t="s">
        <v>54</v>
      </c>
      <c r="J964" s="2" t="s">
        <v>3503</v>
      </c>
      <c r="K964" s="2" t="n">
        <v>4</v>
      </c>
      <c r="L964" s="2" t="s">
        <v>25</v>
      </c>
      <c r="M964" s="2" t="s">
        <v>33</v>
      </c>
      <c r="N964" s="4" t="n">
        <v>284.16</v>
      </c>
      <c r="O964" s="2" t="str">
        <f aca="false">IF(COUNTIF($A$2:$A$1201,A964)&gt;1,"DUPLICATE","Unique")</f>
        <v>Unique</v>
      </c>
      <c r="P964" s="2" t="str">
        <f aca="false">IF(L964="","MISSING","OK")</f>
        <v>OK</v>
      </c>
      <c r="Q964" s="2" t="str">
        <f aca="false">IF(ISNUMBER(B964),"OK","BAD DATE")</f>
        <v>OK</v>
      </c>
      <c r="R964" s="2" t="str">
        <f aca="false">IF(ROUND(F964,2)=F964,"OK","FIX")</f>
        <v>OK</v>
      </c>
    </row>
    <row r="965" customFormat="false" ht="15" hidden="false" customHeight="false" outlineLevel="0" collapsed="false">
      <c r="A965" s="2" t="s">
        <v>3504</v>
      </c>
      <c r="B965" s="3" t="n">
        <v>45362</v>
      </c>
      <c r="C965" s="2" t="s">
        <v>3505</v>
      </c>
      <c r="D965" s="2" t="s">
        <v>45</v>
      </c>
      <c r="E965" s="2" t="n">
        <v>5</v>
      </c>
      <c r="F965" s="4" t="n">
        <v>530.34</v>
      </c>
      <c r="G965" s="2" t="s">
        <v>747</v>
      </c>
      <c r="H965" s="2" t="s">
        <v>31</v>
      </c>
      <c r="I965" s="2" t="s">
        <v>23</v>
      </c>
      <c r="J965" s="2" t="s">
        <v>3506</v>
      </c>
      <c r="K965" s="2" t="n">
        <v>9</v>
      </c>
      <c r="L965" s="2" t="s">
        <v>41</v>
      </c>
      <c r="M965" s="2" t="s">
        <v>80</v>
      </c>
      <c r="N965" s="4" t="n">
        <v>2651.7</v>
      </c>
      <c r="O965" s="2" t="str">
        <f aca="false">IF(COUNTIF($A$2:$A$1201,A965)&gt;1,"DUPLICATE","Unique")</f>
        <v>Unique</v>
      </c>
      <c r="P965" s="2" t="str">
        <f aca="false">IF(L965="","MISSING","OK")</f>
        <v>OK</v>
      </c>
      <c r="Q965" s="2" t="str">
        <f aca="false">IF(ISNUMBER(B965),"OK","BAD DATE")</f>
        <v>OK</v>
      </c>
      <c r="R965" s="2" t="str">
        <f aca="false">IF(ROUND(F965,2)=F965,"OK","FIX")</f>
        <v>OK</v>
      </c>
    </row>
    <row r="966" customFormat="false" ht="15" hidden="false" customHeight="false" outlineLevel="0" collapsed="false">
      <c r="A966" s="2" t="s">
        <v>3507</v>
      </c>
      <c r="B966" s="3" t="n">
        <v>45158</v>
      </c>
      <c r="C966" s="2" t="s">
        <v>3508</v>
      </c>
      <c r="D966" s="2" t="s">
        <v>29</v>
      </c>
      <c r="E966" s="2" t="n">
        <v>5</v>
      </c>
      <c r="F966" s="4" t="n">
        <v>364.42</v>
      </c>
      <c r="G966" s="2" t="s">
        <v>1553</v>
      </c>
      <c r="H966" s="2" t="s">
        <v>38</v>
      </c>
      <c r="I966" s="2" t="s">
        <v>39</v>
      </c>
      <c r="J966" s="2" t="s">
        <v>3509</v>
      </c>
      <c r="K966" s="2" t="n">
        <v>10</v>
      </c>
      <c r="L966" s="2" t="s">
        <v>25</v>
      </c>
      <c r="M966" s="2" t="s">
        <v>33</v>
      </c>
      <c r="N966" s="4" t="n">
        <v>1822.1</v>
      </c>
      <c r="O966" s="2" t="str">
        <f aca="false">IF(COUNTIF($A$2:$A$1201,A966)&gt;1,"DUPLICATE","Unique")</f>
        <v>Unique</v>
      </c>
      <c r="P966" s="2" t="str">
        <f aca="false">IF(L966="","MISSING","OK")</f>
        <v>OK</v>
      </c>
      <c r="Q966" s="2" t="str">
        <f aca="false">IF(ISNUMBER(B966),"OK","BAD DATE")</f>
        <v>OK</v>
      </c>
      <c r="R966" s="2" t="str">
        <f aca="false">IF(ROUND(F966,2)=F966,"OK","FIX")</f>
        <v>OK</v>
      </c>
    </row>
    <row r="967" customFormat="false" ht="15" hidden="false" customHeight="false" outlineLevel="0" collapsed="false">
      <c r="A967" s="2" t="s">
        <v>3510</v>
      </c>
      <c r="B967" s="3" t="n">
        <v>45826</v>
      </c>
      <c r="C967" s="2" t="s">
        <v>3511</v>
      </c>
      <c r="D967" s="2" t="s">
        <v>62</v>
      </c>
      <c r="E967" s="2" t="n">
        <v>4</v>
      </c>
      <c r="F967" s="4" t="n">
        <v>578.28</v>
      </c>
      <c r="G967" s="2" t="s">
        <v>1089</v>
      </c>
      <c r="H967" s="2" t="s">
        <v>64</v>
      </c>
      <c r="I967" s="2" t="s">
        <v>39</v>
      </c>
      <c r="J967" s="2" t="s">
        <v>3512</v>
      </c>
      <c r="K967" s="2" t="n">
        <v>5</v>
      </c>
      <c r="L967" s="2" t="s">
        <v>41</v>
      </c>
      <c r="M967" s="2" t="s">
        <v>42</v>
      </c>
      <c r="N967" s="4" t="n">
        <v>2313.12</v>
      </c>
      <c r="O967" s="2" t="str">
        <f aca="false">IF(COUNTIF($A$2:$A$1201,A967)&gt;1,"DUPLICATE","Unique")</f>
        <v>Unique</v>
      </c>
      <c r="P967" s="2" t="str">
        <f aca="false">IF(L967="","MISSING","OK")</f>
        <v>OK</v>
      </c>
      <c r="Q967" s="2" t="str">
        <f aca="false">IF(ISNUMBER(B967),"OK","BAD DATE")</f>
        <v>OK</v>
      </c>
      <c r="R967" s="2" t="str">
        <f aca="false">IF(ROUND(F967,2)=F967,"OK","FIX")</f>
        <v>OK</v>
      </c>
    </row>
    <row r="968" customFormat="false" ht="15" hidden="false" customHeight="false" outlineLevel="0" collapsed="false">
      <c r="A968" s="2" t="s">
        <v>3513</v>
      </c>
      <c r="B968" s="3" t="n">
        <v>45797</v>
      </c>
      <c r="C968" s="2" t="s">
        <v>3514</v>
      </c>
      <c r="D968" s="2" t="s">
        <v>20</v>
      </c>
      <c r="E968" s="2" t="n">
        <v>5</v>
      </c>
      <c r="F968" s="4" t="n">
        <v>280.52</v>
      </c>
      <c r="G968" s="2" t="s">
        <v>3515</v>
      </c>
      <c r="H968" s="2" t="s">
        <v>38</v>
      </c>
      <c r="I968" s="2" t="s">
        <v>39</v>
      </c>
      <c r="J968" s="2" t="s">
        <v>3516</v>
      </c>
      <c r="K968" s="2" t="n">
        <v>7</v>
      </c>
      <c r="L968" s="2" t="s">
        <v>85</v>
      </c>
      <c r="M968" s="2" t="s">
        <v>49</v>
      </c>
      <c r="N968" s="4" t="n">
        <v>1402.6</v>
      </c>
      <c r="O968" s="2" t="str">
        <f aca="false">IF(COUNTIF($A$2:$A$1201,A968)&gt;1,"DUPLICATE","Unique")</f>
        <v>Unique</v>
      </c>
      <c r="P968" s="2" t="str">
        <f aca="false">IF(L968="","MISSING","OK")</f>
        <v>OK</v>
      </c>
      <c r="Q968" s="2" t="str">
        <f aca="false">IF(ISNUMBER(B968),"OK","BAD DATE")</f>
        <v>OK</v>
      </c>
      <c r="R968" s="2" t="str">
        <f aca="false">IF(ROUND(F968,2)=F968,"OK","FIX")</f>
        <v>OK</v>
      </c>
    </row>
    <row r="969" customFormat="false" ht="15" hidden="false" customHeight="false" outlineLevel="0" collapsed="false">
      <c r="A969" s="2" t="s">
        <v>3517</v>
      </c>
      <c r="B969" s="3" t="n">
        <v>45783</v>
      </c>
      <c r="C969" s="2" t="s">
        <v>3518</v>
      </c>
      <c r="D969" s="2" t="s">
        <v>36</v>
      </c>
      <c r="E969" s="2" t="n">
        <v>5</v>
      </c>
      <c r="F969" s="4" t="n">
        <v>638.92</v>
      </c>
      <c r="G969" s="2" t="s">
        <v>3519</v>
      </c>
      <c r="H969" s="2" t="s">
        <v>38</v>
      </c>
      <c r="I969" s="2" t="s">
        <v>47</v>
      </c>
      <c r="J969" s="2" t="s">
        <v>3520</v>
      </c>
      <c r="K969" s="2" t="n">
        <v>5</v>
      </c>
      <c r="L969" s="2" t="s">
        <v>41</v>
      </c>
      <c r="M969" s="2" t="s">
        <v>80</v>
      </c>
      <c r="N969" s="4" t="n">
        <v>3194.6</v>
      </c>
      <c r="O969" s="2" t="str">
        <f aca="false">IF(COUNTIF($A$2:$A$1201,A969)&gt;1,"DUPLICATE","Unique")</f>
        <v>Unique</v>
      </c>
      <c r="P969" s="2" t="str">
        <f aca="false">IF(L969="","MISSING","OK")</f>
        <v>OK</v>
      </c>
      <c r="Q969" s="2" t="str">
        <f aca="false">IF(ISNUMBER(B969),"OK","BAD DATE")</f>
        <v>OK</v>
      </c>
      <c r="R969" s="2" t="str">
        <f aca="false">IF(ROUND(F969,2)=F969,"OK","FIX")</f>
        <v>OK</v>
      </c>
    </row>
    <row r="970" customFormat="false" ht="15" hidden="false" customHeight="false" outlineLevel="0" collapsed="false">
      <c r="A970" s="2" t="s">
        <v>3521</v>
      </c>
      <c r="B970" s="3" t="n">
        <v>45330</v>
      </c>
      <c r="C970" s="2" t="s">
        <v>3522</v>
      </c>
      <c r="D970" s="2" t="s">
        <v>20</v>
      </c>
      <c r="E970" s="2" t="n">
        <v>4</v>
      </c>
      <c r="F970" s="4" t="n">
        <v>412.2</v>
      </c>
      <c r="G970" s="2" t="s">
        <v>3046</v>
      </c>
      <c r="H970" s="2" t="s">
        <v>38</v>
      </c>
      <c r="I970" s="2" t="s">
        <v>23</v>
      </c>
      <c r="J970" s="2" t="s">
        <v>3523</v>
      </c>
      <c r="K970" s="2" t="n">
        <v>6</v>
      </c>
      <c r="L970" s="2" t="s">
        <v>85</v>
      </c>
      <c r="M970" s="2" t="s">
        <v>33</v>
      </c>
      <c r="N970" s="4" t="n">
        <v>1648.8</v>
      </c>
      <c r="O970" s="2" t="str">
        <f aca="false">IF(COUNTIF($A$2:$A$1201,A970)&gt;1,"DUPLICATE","Unique")</f>
        <v>Unique</v>
      </c>
      <c r="P970" s="2" t="str">
        <f aca="false">IF(L970="","MISSING","OK")</f>
        <v>OK</v>
      </c>
      <c r="Q970" s="2" t="str">
        <f aca="false">IF(ISNUMBER(B970),"OK","BAD DATE")</f>
        <v>OK</v>
      </c>
      <c r="R970" s="2" t="str">
        <f aca="false">IF(ROUND(F970,2)=F970,"OK","FIX")</f>
        <v>OK</v>
      </c>
    </row>
    <row r="971" customFormat="false" ht="15" hidden="false" customHeight="false" outlineLevel="0" collapsed="false">
      <c r="A971" s="2" t="s">
        <v>3524</v>
      </c>
      <c r="B971" s="3" t="n">
        <v>45813</v>
      </c>
      <c r="C971" s="2" t="s">
        <v>3525</v>
      </c>
      <c r="D971" s="2" t="s">
        <v>77</v>
      </c>
      <c r="E971" s="2" t="n">
        <v>1</v>
      </c>
      <c r="F971" s="4" t="n">
        <v>440.34</v>
      </c>
      <c r="G971" s="2" t="s">
        <v>3526</v>
      </c>
      <c r="H971" s="2" t="s">
        <v>64</v>
      </c>
      <c r="I971" s="2" t="s">
        <v>23</v>
      </c>
      <c r="J971" s="2" t="s">
        <v>3527</v>
      </c>
      <c r="K971" s="2" t="n">
        <v>2</v>
      </c>
      <c r="L971" s="2" t="s">
        <v>85</v>
      </c>
      <c r="M971" s="2" t="s">
        <v>49</v>
      </c>
      <c r="N971" s="4" t="n">
        <v>440.34</v>
      </c>
      <c r="O971" s="2" t="str">
        <f aca="false">IF(COUNTIF($A$2:$A$1201,A971)&gt;1,"DUPLICATE","Unique")</f>
        <v>Unique</v>
      </c>
      <c r="P971" s="2" t="str">
        <f aca="false">IF(L971="","MISSING","OK")</f>
        <v>OK</v>
      </c>
      <c r="Q971" s="2" t="str">
        <f aca="false">IF(ISNUMBER(B971),"OK","BAD DATE")</f>
        <v>OK</v>
      </c>
      <c r="R971" s="2" t="str">
        <f aca="false">IF(ROUND(F971,2)=F971,"OK","FIX")</f>
        <v>OK</v>
      </c>
    </row>
    <row r="972" customFormat="false" ht="15" hidden="false" customHeight="false" outlineLevel="0" collapsed="false">
      <c r="A972" s="2" t="s">
        <v>3528</v>
      </c>
      <c r="B972" s="3" t="n">
        <v>45542</v>
      </c>
      <c r="C972" s="2" t="s">
        <v>3529</v>
      </c>
      <c r="D972" s="2" t="s">
        <v>77</v>
      </c>
      <c r="E972" s="2" t="n">
        <v>1</v>
      </c>
      <c r="F972" s="4" t="n">
        <v>627.15</v>
      </c>
      <c r="G972" s="2" t="s">
        <v>3530</v>
      </c>
      <c r="H972" s="2" t="s">
        <v>69</v>
      </c>
      <c r="I972" s="2" t="s">
        <v>54</v>
      </c>
      <c r="J972" s="2" t="s">
        <v>3531</v>
      </c>
      <c r="K972" s="2" t="n">
        <v>5</v>
      </c>
      <c r="L972" s="2" t="s">
        <v>25</v>
      </c>
      <c r="M972" s="2" t="s">
        <v>26</v>
      </c>
      <c r="N972" s="4" t="n">
        <v>627.15</v>
      </c>
      <c r="O972" s="2" t="str">
        <f aca="false">IF(COUNTIF($A$2:$A$1201,A972)&gt;1,"DUPLICATE","Unique")</f>
        <v>Unique</v>
      </c>
      <c r="P972" s="2" t="str">
        <f aca="false">IF(L972="","MISSING","OK")</f>
        <v>OK</v>
      </c>
      <c r="Q972" s="2" t="str">
        <f aca="false">IF(ISNUMBER(B972),"OK","BAD DATE")</f>
        <v>OK</v>
      </c>
      <c r="R972" s="2" t="str">
        <f aca="false">IF(ROUND(F972,2)=F972,"OK","FIX")</f>
        <v>OK</v>
      </c>
    </row>
    <row r="973" customFormat="false" ht="15" hidden="false" customHeight="false" outlineLevel="0" collapsed="false">
      <c r="A973" s="2" t="s">
        <v>3532</v>
      </c>
      <c r="B973" s="3" t="n">
        <v>45439</v>
      </c>
      <c r="C973" s="2" t="s">
        <v>3533</v>
      </c>
      <c r="D973" s="2" t="s">
        <v>20</v>
      </c>
      <c r="E973" s="2" t="n">
        <v>2</v>
      </c>
      <c r="F973" s="4" t="n">
        <v>605.26</v>
      </c>
      <c r="G973" s="2" t="s">
        <v>58</v>
      </c>
      <c r="H973" s="2" t="s">
        <v>69</v>
      </c>
      <c r="I973" s="2" t="s">
        <v>39</v>
      </c>
      <c r="J973" s="2" t="s">
        <v>3534</v>
      </c>
      <c r="K973" s="2" t="n">
        <v>4</v>
      </c>
      <c r="L973" s="2" t="s">
        <v>85</v>
      </c>
      <c r="M973" s="2" t="s">
        <v>33</v>
      </c>
      <c r="N973" s="4" t="n">
        <v>1210.52</v>
      </c>
      <c r="O973" s="2" t="str">
        <f aca="false">IF(COUNTIF($A$2:$A$1201,A973)&gt;1,"DUPLICATE","Unique")</f>
        <v>Unique</v>
      </c>
      <c r="P973" s="2" t="str">
        <f aca="false">IF(L973="","MISSING","OK")</f>
        <v>OK</v>
      </c>
      <c r="Q973" s="2" t="str">
        <f aca="false">IF(ISNUMBER(B973),"OK","BAD DATE")</f>
        <v>OK</v>
      </c>
      <c r="R973" s="2" t="str">
        <f aca="false">IF(ROUND(F973,2)=F973,"OK","FIX")</f>
        <v>OK</v>
      </c>
    </row>
    <row r="974" customFormat="false" ht="15" hidden="false" customHeight="false" outlineLevel="0" collapsed="false">
      <c r="A974" s="2" t="s">
        <v>3535</v>
      </c>
      <c r="B974" s="3" t="n">
        <v>45452</v>
      </c>
      <c r="C974" s="2" t="s">
        <v>3536</v>
      </c>
      <c r="D974" s="2" t="s">
        <v>62</v>
      </c>
      <c r="E974" s="2" t="n">
        <v>1</v>
      </c>
      <c r="F974" s="4" t="n">
        <v>90.27</v>
      </c>
      <c r="G974" s="2" t="s">
        <v>3537</v>
      </c>
      <c r="H974" s="2" t="s">
        <v>69</v>
      </c>
      <c r="I974" s="2" t="s">
        <v>54</v>
      </c>
      <c r="J974" s="2" t="s">
        <v>3538</v>
      </c>
      <c r="K974" s="2" t="n">
        <v>5</v>
      </c>
      <c r="L974" s="2" t="s">
        <v>25</v>
      </c>
      <c r="M974" s="2" t="s">
        <v>49</v>
      </c>
      <c r="N974" s="4" t="n">
        <v>90.27</v>
      </c>
      <c r="O974" s="2" t="str">
        <f aca="false">IF(COUNTIF($A$2:$A$1201,A974)&gt;1,"DUPLICATE","Unique")</f>
        <v>Unique</v>
      </c>
      <c r="P974" s="2" t="str">
        <f aca="false">IF(L974="","MISSING","OK")</f>
        <v>OK</v>
      </c>
      <c r="Q974" s="2" t="str">
        <f aca="false">IF(ISNUMBER(B974),"OK","BAD DATE")</f>
        <v>OK</v>
      </c>
      <c r="R974" s="2" t="str">
        <f aca="false">IF(ROUND(F974,2)=F974,"OK","FIX")</f>
        <v>OK</v>
      </c>
    </row>
    <row r="975" customFormat="false" ht="15" hidden="false" customHeight="false" outlineLevel="0" collapsed="false">
      <c r="A975" s="2" t="s">
        <v>3539</v>
      </c>
      <c r="B975" s="3" t="n">
        <v>45817</v>
      </c>
      <c r="C975" s="2" t="s">
        <v>3540</v>
      </c>
      <c r="D975" s="2" t="s">
        <v>77</v>
      </c>
      <c r="E975" s="2" t="n">
        <v>5</v>
      </c>
      <c r="F975" s="4" t="n">
        <v>230.77</v>
      </c>
      <c r="G975" s="2" t="s">
        <v>3326</v>
      </c>
      <c r="H975" s="2" t="s">
        <v>31</v>
      </c>
      <c r="I975" s="2" t="s">
        <v>93</v>
      </c>
      <c r="J975" s="2" t="s">
        <v>3541</v>
      </c>
      <c r="K975" s="2" t="n">
        <v>10</v>
      </c>
      <c r="L975" s="2" t="s">
        <v>85</v>
      </c>
      <c r="M975" s="2" t="s">
        <v>33</v>
      </c>
      <c r="N975" s="4" t="n">
        <v>1153.85</v>
      </c>
      <c r="O975" s="2" t="str">
        <f aca="false">IF(COUNTIF($A$2:$A$1201,A975)&gt;1,"DUPLICATE","Unique")</f>
        <v>Unique</v>
      </c>
      <c r="P975" s="2" t="str">
        <f aca="false">IF(L975="","MISSING","OK")</f>
        <v>OK</v>
      </c>
      <c r="Q975" s="2" t="str">
        <f aca="false">IF(ISNUMBER(B975),"OK","BAD DATE")</f>
        <v>OK</v>
      </c>
      <c r="R975" s="2" t="str">
        <f aca="false">IF(ROUND(F975,2)=F975,"OK","FIX")</f>
        <v>OK</v>
      </c>
    </row>
    <row r="976" customFormat="false" ht="15" hidden="false" customHeight="false" outlineLevel="0" collapsed="false">
      <c r="A976" s="2" t="s">
        <v>3542</v>
      </c>
      <c r="B976" s="3" t="n">
        <v>45196</v>
      </c>
      <c r="C976" s="2" t="s">
        <v>3543</v>
      </c>
      <c r="D976" s="2" t="s">
        <v>77</v>
      </c>
      <c r="E976" s="2" t="n">
        <v>5</v>
      </c>
      <c r="F976" s="4" t="n">
        <v>266.78</v>
      </c>
      <c r="G976" s="2" t="s">
        <v>1241</v>
      </c>
      <c r="H976" s="2" t="s">
        <v>64</v>
      </c>
      <c r="I976" s="2" t="s">
        <v>39</v>
      </c>
      <c r="J976" s="2" t="s">
        <v>3544</v>
      </c>
      <c r="K976" s="2" t="n">
        <v>5</v>
      </c>
      <c r="L976" s="2"/>
      <c r="M976" s="2" t="s">
        <v>42</v>
      </c>
      <c r="N976" s="4" t="n">
        <v>1333.9</v>
      </c>
      <c r="O976" s="2" t="str">
        <f aca="false">IF(COUNTIF($A$2:$A$1201,A976)&gt;1,"DUPLICATE","Unique")</f>
        <v>Unique</v>
      </c>
      <c r="P976" s="2" t="str">
        <f aca="false">IF(L976="","MISSING","OK")</f>
        <v>MISSING</v>
      </c>
      <c r="Q976" s="2" t="str">
        <f aca="false">IF(ISNUMBER(B976),"OK","BAD DATE")</f>
        <v>OK</v>
      </c>
      <c r="R976" s="2" t="str">
        <f aca="false">IF(ROUND(F976,2)=F976,"OK","FIX")</f>
        <v>OK</v>
      </c>
    </row>
    <row r="977" customFormat="false" ht="15" hidden="false" customHeight="false" outlineLevel="0" collapsed="false">
      <c r="A977" s="2" t="s">
        <v>3545</v>
      </c>
      <c r="B977" s="3" t="n">
        <v>45064</v>
      </c>
      <c r="C977" s="2" t="s">
        <v>3546</v>
      </c>
      <c r="D977" s="2" t="s">
        <v>77</v>
      </c>
      <c r="E977" s="2" t="n">
        <v>1</v>
      </c>
      <c r="F977" s="4" t="n">
        <v>105.92</v>
      </c>
      <c r="G977" s="2" t="s">
        <v>1097</v>
      </c>
      <c r="H977" s="2" t="s">
        <v>64</v>
      </c>
      <c r="I977" s="2" t="s">
        <v>47</v>
      </c>
      <c r="J977" s="2" t="s">
        <v>3547</v>
      </c>
      <c r="K977" s="2" t="n">
        <v>6</v>
      </c>
      <c r="L977" s="2" t="s">
        <v>25</v>
      </c>
      <c r="M977" s="2" t="s">
        <v>42</v>
      </c>
      <c r="N977" s="4" t="n">
        <v>105.92</v>
      </c>
      <c r="O977" s="2" t="str">
        <f aca="false">IF(COUNTIF($A$2:$A$1201,A977)&gt;1,"DUPLICATE","Unique")</f>
        <v>Unique</v>
      </c>
      <c r="P977" s="2" t="str">
        <f aca="false">IF(L977="","MISSING","OK")</f>
        <v>OK</v>
      </c>
      <c r="Q977" s="2" t="str">
        <f aca="false">IF(ISNUMBER(B977),"OK","BAD DATE")</f>
        <v>OK</v>
      </c>
      <c r="R977" s="2" t="str">
        <f aca="false">IF(ROUND(F977,2)=F977,"OK","FIX")</f>
        <v>OK</v>
      </c>
    </row>
    <row r="978" customFormat="false" ht="15" hidden="false" customHeight="false" outlineLevel="0" collapsed="false">
      <c r="A978" s="2" t="s">
        <v>3548</v>
      </c>
      <c r="B978" s="3" t="n">
        <v>45386</v>
      </c>
      <c r="C978" s="2" t="s">
        <v>3549</v>
      </c>
      <c r="D978" s="2" t="s">
        <v>36</v>
      </c>
      <c r="E978" s="2" t="n">
        <v>3</v>
      </c>
      <c r="F978" s="4" t="n">
        <v>589.3</v>
      </c>
      <c r="G978" s="2" t="s">
        <v>3029</v>
      </c>
      <c r="H978" s="2" t="s">
        <v>38</v>
      </c>
      <c r="I978" s="2" t="s">
        <v>47</v>
      </c>
      <c r="J978" s="2" t="s">
        <v>3550</v>
      </c>
      <c r="K978" s="2" t="n">
        <v>6</v>
      </c>
      <c r="L978" s="2" t="s">
        <v>85</v>
      </c>
      <c r="M978" s="2" t="s">
        <v>33</v>
      </c>
      <c r="N978" s="4" t="n">
        <v>1767.9</v>
      </c>
      <c r="O978" s="2" t="str">
        <f aca="false">IF(COUNTIF($A$2:$A$1201,A978)&gt;1,"DUPLICATE","Unique")</f>
        <v>Unique</v>
      </c>
      <c r="P978" s="2" t="str">
        <f aca="false">IF(L978="","MISSING","OK")</f>
        <v>OK</v>
      </c>
      <c r="Q978" s="2" t="str">
        <f aca="false">IF(ISNUMBER(B978),"OK","BAD DATE")</f>
        <v>OK</v>
      </c>
      <c r="R978" s="2" t="str">
        <f aca="false">IF(ROUND(F978,2)=F978,"OK","FIX")</f>
        <v>OK</v>
      </c>
    </row>
    <row r="979" customFormat="false" ht="15" hidden="false" customHeight="false" outlineLevel="0" collapsed="false">
      <c r="A979" s="2" t="s">
        <v>3551</v>
      </c>
      <c r="B979" s="3" t="n">
        <v>44954</v>
      </c>
      <c r="C979" s="2" t="s">
        <v>3552</v>
      </c>
      <c r="D979" s="2" t="s">
        <v>45</v>
      </c>
      <c r="E979" s="2" t="n">
        <v>4</v>
      </c>
      <c r="F979" s="4" t="n">
        <v>649.47</v>
      </c>
      <c r="G979" s="2" t="s">
        <v>3553</v>
      </c>
      <c r="H979" s="2" t="s">
        <v>69</v>
      </c>
      <c r="I979" s="2" t="s">
        <v>93</v>
      </c>
      <c r="J979" s="2" t="s">
        <v>3554</v>
      </c>
      <c r="K979" s="2" t="n">
        <v>8</v>
      </c>
      <c r="L979" s="2" t="s">
        <v>25</v>
      </c>
      <c r="M979" s="2" t="s">
        <v>80</v>
      </c>
      <c r="N979" s="4" t="n">
        <v>2597.88</v>
      </c>
      <c r="O979" s="2" t="str">
        <f aca="false">IF(COUNTIF($A$2:$A$1201,A979)&gt;1,"DUPLICATE","Unique")</f>
        <v>Unique</v>
      </c>
      <c r="P979" s="2" t="str">
        <f aca="false">IF(L979="","MISSING","OK")</f>
        <v>OK</v>
      </c>
      <c r="Q979" s="2" t="str">
        <f aca="false">IF(ISNUMBER(B979),"OK","BAD DATE")</f>
        <v>OK</v>
      </c>
      <c r="R979" s="2" t="str">
        <f aca="false">IF(ROUND(F979,2)=F979,"OK","FIX")</f>
        <v>OK</v>
      </c>
    </row>
    <row r="980" customFormat="false" ht="15" hidden="false" customHeight="false" outlineLevel="0" collapsed="false">
      <c r="A980" s="2" t="s">
        <v>3555</v>
      </c>
      <c r="B980" s="3" t="n">
        <v>45468</v>
      </c>
      <c r="C980" s="2" t="s">
        <v>3556</v>
      </c>
      <c r="D980" s="2" t="s">
        <v>52</v>
      </c>
      <c r="E980" s="2" t="n">
        <v>4</v>
      </c>
      <c r="F980" s="4" t="n">
        <v>107.49</v>
      </c>
      <c r="G980" s="2" t="s">
        <v>2655</v>
      </c>
      <c r="H980" s="2" t="s">
        <v>69</v>
      </c>
      <c r="I980" s="2" t="s">
        <v>54</v>
      </c>
      <c r="J980" s="2" t="s">
        <v>3557</v>
      </c>
      <c r="K980" s="2" t="n">
        <v>5</v>
      </c>
      <c r="L980" s="2"/>
      <c r="M980" s="2" t="s">
        <v>80</v>
      </c>
      <c r="N980" s="4" t="n">
        <v>429.96</v>
      </c>
      <c r="O980" s="2" t="str">
        <f aca="false">IF(COUNTIF($A$2:$A$1201,A980)&gt;1,"DUPLICATE","Unique")</f>
        <v>Unique</v>
      </c>
      <c r="P980" s="2" t="str">
        <f aca="false">IF(L980="","MISSING","OK")</f>
        <v>MISSING</v>
      </c>
      <c r="Q980" s="2" t="str">
        <f aca="false">IF(ISNUMBER(B980),"OK","BAD DATE")</f>
        <v>OK</v>
      </c>
      <c r="R980" s="2" t="str">
        <f aca="false">IF(ROUND(F980,2)=F980,"OK","FIX")</f>
        <v>OK</v>
      </c>
    </row>
    <row r="981" customFormat="false" ht="15" hidden="false" customHeight="false" outlineLevel="0" collapsed="false">
      <c r="A981" s="2" t="s">
        <v>3558</v>
      </c>
      <c r="B981" s="3" t="n">
        <v>45077</v>
      </c>
      <c r="C981" s="2" t="s">
        <v>3559</v>
      </c>
      <c r="D981" s="2" t="s">
        <v>20</v>
      </c>
      <c r="E981" s="2" t="n">
        <v>3</v>
      </c>
      <c r="F981" s="4" t="n">
        <v>669.06</v>
      </c>
      <c r="G981" s="2" t="s">
        <v>1117</v>
      </c>
      <c r="H981" s="2" t="s">
        <v>69</v>
      </c>
      <c r="I981" s="2" t="s">
        <v>54</v>
      </c>
      <c r="J981" s="2" t="s">
        <v>3560</v>
      </c>
      <c r="K981" s="2" t="n">
        <v>7</v>
      </c>
      <c r="L981" s="2" t="s">
        <v>25</v>
      </c>
      <c r="M981" s="2" t="s">
        <v>49</v>
      </c>
      <c r="N981" s="4" t="n">
        <v>2007.18</v>
      </c>
      <c r="O981" s="2" t="str">
        <f aca="false">IF(COUNTIF($A$2:$A$1201,A981)&gt;1,"DUPLICATE","Unique")</f>
        <v>Unique</v>
      </c>
      <c r="P981" s="2" t="str">
        <f aca="false">IF(L981="","MISSING","OK")</f>
        <v>OK</v>
      </c>
      <c r="Q981" s="2" t="str">
        <f aca="false">IF(ISNUMBER(B981),"OK","BAD DATE")</f>
        <v>OK</v>
      </c>
      <c r="R981" s="2" t="str">
        <f aca="false">IF(ROUND(F981,2)=F981,"OK","FIX")</f>
        <v>OK</v>
      </c>
    </row>
    <row r="982" customFormat="false" ht="15" hidden="false" customHeight="false" outlineLevel="0" collapsed="false">
      <c r="A982" s="2" t="s">
        <v>3561</v>
      </c>
      <c r="B982" s="3" t="n">
        <v>45213</v>
      </c>
      <c r="C982" s="2" t="s">
        <v>3562</v>
      </c>
      <c r="D982" s="2" t="s">
        <v>45</v>
      </c>
      <c r="E982" s="2" t="n">
        <v>3</v>
      </c>
      <c r="F982" s="4" t="n">
        <v>69.65</v>
      </c>
      <c r="G982" s="2" t="s">
        <v>3563</v>
      </c>
      <c r="H982" s="2" t="s">
        <v>69</v>
      </c>
      <c r="I982" s="2" t="s">
        <v>54</v>
      </c>
      <c r="J982" s="2" t="s">
        <v>3564</v>
      </c>
      <c r="K982" s="2" t="n">
        <v>7</v>
      </c>
      <c r="L982" s="2" t="s">
        <v>85</v>
      </c>
      <c r="M982" s="2" t="s">
        <v>26</v>
      </c>
      <c r="N982" s="4" t="n">
        <v>208.95</v>
      </c>
      <c r="O982" s="2" t="str">
        <f aca="false">IF(COUNTIF($A$2:$A$1201,A982)&gt;1,"DUPLICATE","Unique")</f>
        <v>Unique</v>
      </c>
      <c r="P982" s="2" t="str">
        <f aca="false">IF(L982="","MISSING","OK")</f>
        <v>OK</v>
      </c>
      <c r="Q982" s="2" t="str">
        <f aca="false">IF(ISNUMBER(B982),"OK","BAD DATE")</f>
        <v>OK</v>
      </c>
      <c r="R982" s="2" t="str">
        <f aca="false">IF(ROUND(F982,2)=F982,"OK","FIX")</f>
        <v>OK</v>
      </c>
    </row>
    <row r="983" customFormat="false" ht="15" hidden="false" customHeight="false" outlineLevel="0" collapsed="false">
      <c r="A983" s="2" t="s">
        <v>3565</v>
      </c>
      <c r="B983" s="3" t="n">
        <v>45256</v>
      </c>
      <c r="C983" s="2" t="s">
        <v>3566</v>
      </c>
      <c r="D983" s="2" t="s">
        <v>29</v>
      </c>
      <c r="E983" s="2" t="n">
        <v>4</v>
      </c>
      <c r="F983" s="4" t="n">
        <v>136.83</v>
      </c>
      <c r="G983" s="2" t="s">
        <v>3567</v>
      </c>
      <c r="H983" s="2" t="s">
        <v>22</v>
      </c>
      <c r="I983" s="2" t="s">
        <v>93</v>
      </c>
      <c r="J983" s="2" t="s">
        <v>3568</v>
      </c>
      <c r="K983" s="2" t="n">
        <v>8</v>
      </c>
      <c r="L983" s="2" t="s">
        <v>25</v>
      </c>
      <c r="M983" s="2" t="s">
        <v>42</v>
      </c>
      <c r="N983" s="4" t="n">
        <v>547.32</v>
      </c>
      <c r="O983" s="2" t="str">
        <f aca="false">IF(COUNTIF($A$2:$A$1201,A983)&gt;1,"DUPLICATE","Unique")</f>
        <v>Unique</v>
      </c>
      <c r="P983" s="2" t="str">
        <f aca="false">IF(L983="","MISSING","OK")</f>
        <v>OK</v>
      </c>
      <c r="Q983" s="2" t="str">
        <f aca="false">IF(ISNUMBER(B983),"OK","BAD DATE")</f>
        <v>OK</v>
      </c>
      <c r="R983" s="2" t="str">
        <f aca="false">IF(ROUND(F983,2)=F983,"OK","FIX")</f>
        <v>OK</v>
      </c>
    </row>
    <row r="984" customFormat="false" ht="15" hidden="false" customHeight="false" outlineLevel="0" collapsed="false">
      <c r="A984" s="2" t="s">
        <v>3569</v>
      </c>
      <c r="B984" s="3" t="n">
        <v>45541</v>
      </c>
      <c r="C984" s="2" t="s">
        <v>3570</v>
      </c>
      <c r="D984" s="2" t="s">
        <v>20</v>
      </c>
      <c r="E984" s="2" t="n">
        <v>1</v>
      </c>
      <c r="F984" s="4" t="n">
        <v>304.11</v>
      </c>
      <c r="G984" s="2" t="s">
        <v>2672</v>
      </c>
      <c r="H984" s="2" t="s">
        <v>64</v>
      </c>
      <c r="I984" s="2" t="s">
        <v>23</v>
      </c>
      <c r="J984" s="2" t="s">
        <v>3571</v>
      </c>
      <c r="K984" s="2" t="n">
        <v>2</v>
      </c>
      <c r="L984" s="2" t="s">
        <v>25</v>
      </c>
      <c r="M984" s="2" t="s">
        <v>33</v>
      </c>
      <c r="N984" s="4" t="n">
        <v>304.11</v>
      </c>
      <c r="O984" s="2" t="str">
        <f aca="false">IF(COUNTIF($A$2:$A$1201,A984)&gt;1,"DUPLICATE","Unique")</f>
        <v>Unique</v>
      </c>
      <c r="P984" s="2" t="str">
        <f aca="false">IF(L984="","MISSING","OK")</f>
        <v>OK</v>
      </c>
      <c r="Q984" s="2" t="str">
        <f aca="false">IF(ISNUMBER(B984),"OK","BAD DATE")</f>
        <v>OK</v>
      </c>
      <c r="R984" s="2" t="str">
        <f aca="false">IF(ROUND(F984,2)=F984,"OK","FIX")</f>
        <v>OK</v>
      </c>
    </row>
    <row r="985" customFormat="false" ht="15" hidden="false" customHeight="false" outlineLevel="0" collapsed="false">
      <c r="A985" s="2" t="s">
        <v>3572</v>
      </c>
      <c r="B985" s="3" t="n">
        <v>45620</v>
      </c>
      <c r="C985" s="2" t="s">
        <v>3573</v>
      </c>
      <c r="D985" s="2" t="s">
        <v>20</v>
      </c>
      <c r="E985" s="2" t="n">
        <v>4</v>
      </c>
      <c r="F985" s="4" t="n">
        <v>296.28</v>
      </c>
      <c r="G985" s="2" t="s">
        <v>3574</v>
      </c>
      <c r="H985" s="2" t="s">
        <v>64</v>
      </c>
      <c r="I985" s="2" t="s">
        <v>23</v>
      </c>
      <c r="J985" s="2" t="s">
        <v>3575</v>
      </c>
      <c r="K985" s="2" t="n">
        <v>5</v>
      </c>
      <c r="L985" s="2" t="s">
        <v>25</v>
      </c>
      <c r="M985" s="2" t="s">
        <v>42</v>
      </c>
      <c r="N985" s="4" t="n">
        <v>1185.12</v>
      </c>
      <c r="O985" s="2" t="str">
        <f aca="false">IF(COUNTIF($A$2:$A$1201,A985)&gt;1,"DUPLICATE","Unique")</f>
        <v>Unique</v>
      </c>
      <c r="P985" s="2" t="str">
        <f aca="false">IF(L985="","MISSING","OK")</f>
        <v>OK</v>
      </c>
      <c r="Q985" s="2" t="str">
        <f aca="false">IF(ISNUMBER(B985),"OK","BAD DATE")</f>
        <v>OK</v>
      </c>
      <c r="R985" s="2" t="str">
        <f aca="false">IF(ROUND(F985,2)=F985,"OK","FIX")</f>
        <v>OK</v>
      </c>
    </row>
    <row r="986" customFormat="false" ht="15" hidden="false" customHeight="false" outlineLevel="0" collapsed="false">
      <c r="A986" s="2" t="s">
        <v>3576</v>
      </c>
      <c r="B986" s="3" t="n">
        <v>45716</v>
      </c>
      <c r="C986" s="2" t="s">
        <v>3577</v>
      </c>
      <c r="D986" s="2" t="s">
        <v>77</v>
      </c>
      <c r="E986" s="2" t="n">
        <v>1</v>
      </c>
      <c r="F986" s="4" t="n">
        <v>77.64</v>
      </c>
      <c r="G986" s="2" t="s">
        <v>68</v>
      </c>
      <c r="H986" s="2" t="s">
        <v>38</v>
      </c>
      <c r="I986" s="2" t="s">
        <v>23</v>
      </c>
      <c r="J986" s="2" t="s">
        <v>3578</v>
      </c>
      <c r="K986" s="2" t="n">
        <v>1</v>
      </c>
      <c r="L986" s="2" t="s">
        <v>41</v>
      </c>
      <c r="M986" s="2" t="s">
        <v>49</v>
      </c>
      <c r="N986" s="4" t="n">
        <v>77.64</v>
      </c>
      <c r="O986" s="2" t="str">
        <f aca="false">IF(COUNTIF($A$2:$A$1201,A986)&gt;1,"DUPLICATE","Unique")</f>
        <v>Unique</v>
      </c>
      <c r="P986" s="2" t="str">
        <f aca="false">IF(L986="","MISSING","OK")</f>
        <v>OK</v>
      </c>
      <c r="Q986" s="2" t="str">
        <f aca="false">IF(ISNUMBER(B986),"OK","BAD DATE")</f>
        <v>OK</v>
      </c>
      <c r="R986" s="2" t="str">
        <f aca="false">IF(ROUND(F986,2)=F986,"OK","FIX")</f>
        <v>OK</v>
      </c>
    </row>
    <row r="987" customFormat="false" ht="15" hidden="false" customHeight="false" outlineLevel="0" collapsed="false">
      <c r="A987" s="2" t="s">
        <v>3579</v>
      </c>
      <c r="B987" s="3" t="n">
        <v>45493</v>
      </c>
      <c r="C987" s="2" t="s">
        <v>3580</v>
      </c>
      <c r="D987" s="2" t="s">
        <v>77</v>
      </c>
      <c r="E987" s="2" t="n">
        <v>1</v>
      </c>
      <c r="F987" s="4" t="n">
        <v>243.71</v>
      </c>
      <c r="G987" s="2" t="s">
        <v>933</v>
      </c>
      <c r="H987" s="2" t="s">
        <v>64</v>
      </c>
      <c r="I987" s="2" t="s">
        <v>54</v>
      </c>
      <c r="J987" s="2" t="s">
        <v>3581</v>
      </c>
      <c r="K987" s="2" t="n">
        <v>6</v>
      </c>
      <c r="L987" s="2" t="s">
        <v>25</v>
      </c>
      <c r="M987" s="2" t="s">
        <v>80</v>
      </c>
      <c r="N987" s="4" t="n">
        <v>243.71</v>
      </c>
      <c r="O987" s="2" t="str">
        <f aca="false">IF(COUNTIF($A$2:$A$1201,A987)&gt;1,"DUPLICATE","Unique")</f>
        <v>Unique</v>
      </c>
      <c r="P987" s="2" t="str">
        <f aca="false">IF(L987="","MISSING","OK")</f>
        <v>OK</v>
      </c>
      <c r="Q987" s="2" t="str">
        <f aca="false">IF(ISNUMBER(B987),"OK","BAD DATE")</f>
        <v>OK</v>
      </c>
      <c r="R987" s="2" t="str">
        <f aca="false">IF(ROUND(F987,2)=F987,"OK","FIX")</f>
        <v>OK</v>
      </c>
    </row>
    <row r="988" customFormat="false" ht="15" hidden="false" customHeight="false" outlineLevel="0" collapsed="false">
      <c r="A988" s="2" t="s">
        <v>3582</v>
      </c>
      <c r="B988" s="3" t="n">
        <v>45542</v>
      </c>
      <c r="C988" s="2" t="s">
        <v>3583</v>
      </c>
      <c r="D988" s="2" t="s">
        <v>62</v>
      </c>
      <c r="E988" s="2" t="n">
        <v>4</v>
      </c>
      <c r="F988" s="4" t="n">
        <v>644.96</v>
      </c>
      <c r="G988" s="2" t="s">
        <v>430</v>
      </c>
      <c r="H988" s="2" t="s">
        <v>38</v>
      </c>
      <c r="I988" s="2" t="s">
        <v>93</v>
      </c>
      <c r="J988" s="2" t="s">
        <v>3584</v>
      </c>
      <c r="K988" s="2" t="n">
        <v>7</v>
      </c>
      <c r="L988" s="2" t="s">
        <v>41</v>
      </c>
      <c r="M988" s="2" t="s">
        <v>42</v>
      </c>
      <c r="N988" s="4" t="n">
        <v>2579.84</v>
      </c>
      <c r="O988" s="2" t="str">
        <f aca="false">IF(COUNTIF($A$2:$A$1201,A988)&gt;1,"DUPLICATE","Unique")</f>
        <v>Unique</v>
      </c>
      <c r="P988" s="2" t="str">
        <f aca="false">IF(L988="","MISSING","OK")</f>
        <v>OK</v>
      </c>
      <c r="Q988" s="2" t="str">
        <f aca="false">IF(ISNUMBER(B988),"OK","BAD DATE")</f>
        <v>OK</v>
      </c>
      <c r="R988" s="2" t="str">
        <f aca="false">IF(ROUND(F988,2)=F988,"OK","FIX")</f>
        <v>OK</v>
      </c>
    </row>
    <row r="989" customFormat="false" ht="15" hidden="false" customHeight="false" outlineLevel="0" collapsed="false">
      <c r="A989" s="2" t="s">
        <v>3585</v>
      </c>
      <c r="B989" s="3" t="n">
        <v>45813</v>
      </c>
      <c r="C989" s="2" t="s">
        <v>3586</v>
      </c>
      <c r="D989" s="2" t="s">
        <v>29</v>
      </c>
      <c r="E989" s="2" t="n">
        <v>5</v>
      </c>
      <c r="F989" s="4" t="n">
        <v>283.73</v>
      </c>
      <c r="G989" s="2" t="s">
        <v>1701</v>
      </c>
      <c r="H989" s="2" t="s">
        <v>64</v>
      </c>
      <c r="I989" s="2" t="s">
        <v>93</v>
      </c>
      <c r="J989" s="2" t="s">
        <v>3587</v>
      </c>
      <c r="K989" s="2" t="n">
        <v>8</v>
      </c>
      <c r="L989" s="2" t="s">
        <v>41</v>
      </c>
      <c r="M989" s="2" t="s">
        <v>26</v>
      </c>
      <c r="N989" s="4" t="n">
        <v>1418.65</v>
      </c>
      <c r="O989" s="2" t="str">
        <f aca="false">IF(COUNTIF($A$2:$A$1201,A989)&gt;1,"DUPLICATE","Unique")</f>
        <v>Unique</v>
      </c>
      <c r="P989" s="2" t="str">
        <f aca="false">IF(L989="","MISSING","OK")</f>
        <v>OK</v>
      </c>
      <c r="Q989" s="2" t="str">
        <f aca="false">IF(ISNUMBER(B989),"OK","BAD DATE")</f>
        <v>OK</v>
      </c>
      <c r="R989" s="2" t="str">
        <f aca="false">IF(ROUND(F989,2)=F989,"OK","FIX")</f>
        <v>OK</v>
      </c>
    </row>
    <row r="990" customFormat="false" ht="15" hidden="false" customHeight="false" outlineLevel="0" collapsed="false">
      <c r="A990" s="2" t="s">
        <v>3588</v>
      </c>
      <c r="B990" s="3" t="n">
        <v>45692</v>
      </c>
      <c r="C990" s="2" t="s">
        <v>3589</v>
      </c>
      <c r="D990" s="2" t="s">
        <v>77</v>
      </c>
      <c r="E990" s="2" t="n">
        <v>2</v>
      </c>
      <c r="F990" s="4" t="n">
        <v>629.56</v>
      </c>
      <c r="G990" s="2" t="s">
        <v>1321</v>
      </c>
      <c r="H990" s="2" t="s">
        <v>64</v>
      </c>
      <c r="I990" s="2" t="s">
        <v>39</v>
      </c>
      <c r="J990" s="2" t="s">
        <v>3590</v>
      </c>
      <c r="K990" s="2" t="n">
        <v>5</v>
      </c>
      <c r="L990" s="2" t="s">
        <v>85</v>
      </c>
      <c r="M990" s="2" t="s">
        <v>26</v>
      </c>
      <c r="N990" s="4" t="n">
        <v>1259.12</v>
      </c>
      <c r="O990" s="2" t="str">
        <f aca="false">IF(COUNTIF($A$2:$A$1201,A990)&gt;1,"DUPLICATE","Unique")</f>
        <v>Unique</v>
      </c>
      <c r="P990" s="2" t="str">
        <f aca="false">IF(L990="","MISSING","OK")</f>
        <v>OK</v>
      </c>
      <c r="Q990" s="2" t="str">
        <f aca="false">IF(ISNUMBER(B990),"OK","BAD DATE")</f>
        <v>OK</v>
      </c>
      <c r="R990" s="2" t="str">
        <f aca="false">IF(ROUND(F990,2)=F990,"OK","FIX")</f>
        <v>OK</v>
      </c>
    </row>
    <row r="991" customFormat="false" ht="15" hidden="false" customHeight="false" outlineLevel="0" collapsed="false">
      <c r="A991" s="2" t="s">
        <v>3591</v>
      </c>
      <c r="B991" s="3" t="n">
        <v>45008</v>
      </c>
      <c r="C991" s="2" t="s">
        <v>3592</v>
      </c>
      <c r="D991" s="2" t="s">
        <v>62</v>
      </c>
      <c r="E991" s="2" t="n">
        <v>4</v>
      </c>
      <c r="F991" s="4" t="n">
        <v>246.11</v>
      </c>
      <c r="G991" s="2" t="s">
        <v>3593</v>
      </c>
      <c r="H991" s="2" t="s">
        <v>38</v>
      </c>
      <c r="I991" s="2" t="s">
        <v>93</v>
      </c>
      <c r="J991" s="2" t="s">
        <v>3594</v>
      </c>
      <c r="K991" s="2" t="n">
        <v>4</v>
      </c>
      <c r="L991" s="2" t="s">
        <v>25</v>
      </c>
      <c r="M991" s="2" t="s">
        <v>26</v>
      </c>
      <c r="N991" s="4" t="n">
        <v>984.44</v>
      </c>
      <c r="O991" s="2" t="str">
        <f aca="false">IF(COUNTIF($A$2:$A$1201,A991)&gt;1,"DUPLICATE","Unique")</f>
        <v>Unique</v>
      </c>
      <c r="P991" s="2" t="str">
        <f aca="false">IF(L991="","MISSING","OK")</f>
        <v>OK</v>
      </c>
      <c r="Q991" s="2" t="str">
        <f aca="false">IF(ISNUMBER(B991),"OK","BAD DATE")</f>
        <v>OK</v>
      </c>
      <c r="R991" s="2" t="str">
        <f aca="false">IF(ROUND(F991,2)=F991,"OK","FIX")</f>
        <v>OK</v>
      </c>
    </row>
    <row r="992" customFormat="false" ht="15" hidden="false" customHeight="false" outlineLevel="0" collapsed="false">
      <c r="A992" s="2" t="s">
        <v>3595</v>
      </c>
      <c r="B992" s="3" t="n">
        <v>45249</v>
      </c>
      <c r="C992" s="2" t="s">
        <v>3596</v>
      </c>
      <c r="D992" s="2" t="s">
        <v>29</v>
      </c>
      <c r="E992" s="2" t="n">
        <v>2</v>
      </c>
      <c r="F992" s="4" t="n">
        <v>418.26</v>
      </c>
      <c r="G992" s="2" t="s">
        <v>3597</v>
      </c>
      <c r="H992" s="2" t="s">
        <v>22</v>
      </c>
      <c r="I992" s="2" t="s">
        <v>93</v>
      </c>
      <c r="J992" s="2" t="s">
        <v>3598</v>
      </c>
      <c r="K992" s="2" t="n">
        <v>2</v>
      </c>
      <c r="L992" s="2" t="s">
        <v>25</v>
      </c>
      <c r="M992" s="2" t="s">
        <v>80</v>
      </c>
      <c r="N992" s="4" t="n">
        <v>836.52</v>
      </c>
      <c r="O992" s="2" t="str">
        <f aca="false">IF(COUNTIF($A$2:$A$1201,A992)&gt;1,"DUPLICATE","Unique")</f>
        <v>Unique</v>
      </c>
      <c r="P992" s="2" t="str">
        <f aca="false">IF(L992="","MISSING","OK")</f>
        <v>OK</v>
      </c>
      <c r="Q992" s="2" t="str">
        <f aca="false">IF(ISNUMBER(B992),"OK","BAD DATE")</f>
        <v>OK</v>
      </c>
      <c r="R992" s="2" t="str">
        <f aca="false">IF(ROUND(F992,2)=F992,"OK","FIX")</f>
        <v>OK</v>
      </c>
    </row>
    <row r="993" customFormat="false" ht="15" hidden="false" customHeight="false" outlineLevel="0" collapsed="false">
      <c r="A993" s="2" t="s">
        <v>3599</v>
      </c>
      <c r="B993" s="3" t="n">
        <v>45421</v>
      </c>
      <c r="C993" s="2" t="s">
        <v>3600</v>
      </c>
      <c r="D993" s="2" t="s">
        <v>77</v>
      </c>
      <c r="E993" s="2" t="n">
        <v>5</v>
      </c>
      <c r="F993" s="4" t="n">
        <v>127.18</v>
      </c>
      <c r="G993" s="2" t="s">
        <v>584</v>
      </c>
      <c r="H993" s="2" t="s">
        <v>22</v>
      </c>
      <c r="I993" s="2" t="s">
        <v>39</v>
      </c>
      <c r="J993" s="2" t="s">
        <v>3601</v>
      </c>
      <c r="K993" s="2" t="n">
        <v>10</v>
      </c>
      <c r="L993" s="2" t="s">
        <v>41</v>
      </c>
      <c r="M993" s="2" t="s">
        <v>80</v>
      </c>
      <c r="N993" s="4" t="n">
        <v>635.9</v>
      </c>
      <c r="O993" s="2" t="str">
        <f aca="false">IF(COUNTIF($A$2:$A$1201,A993)&gt;1,"DUPLICATE","Unique")</f>
        <v>Unique</v>
      </c>
      <c r="P993" s="2" t="str">
        <f aca="false">IF(L993="","MISSING","OK")</f>
        <v>OK</v>
      </c>
      <c r="Q993" s="2" t="str">
        <f aca="false">IF(ISNUMBER(B993),"OK","BAD DATE")</f>
        <v>OK</v>
      </c>
      <c r="R993" s="2" t="str">
        <f aca="false">IF(ROUND(F993,2)=F993,"OK","FIX")</f>
        <v>OK</v>
      </c>
    </row>
    <row r="994" customFormat="false" ht="15" hidden="false" customHeight="false" outlineLevel="0" collapsed="false">
      <c r="A994" s="2" t="s">
        <v>3602</v>
      </c>
      <c r="B994" s="3" t="n">
        <v>45531</v>
      </c>
      <c r="C994" s="2" t="s">
        <v>3603</v>
      </c>
      <c r="D994" s="2" t="s">
        <v>52</v>
      </c>
      <c r="E994" s="2" t="n">
        <v>3</v>
      </c>
      <c r="F994" s="4" t="n">
        <v>586.21</v>
      </c>
      <c r="G994" s="2" t="s">
        <v>607</v>
      </c>
      <c r="H994" s="2" t="s">
        <v>64</v>
      </c>
      <c r="I994" s="2" t="s">
        <v>93</v>
      </c>
      <c r="J994" s="2" t="s">
        <v>3604</v>
      </c>
      <c r="K994" s="2" t="n">
        <v>4</v>
      </c>
      <c r="L994" s="2" t="s">
        <v>85</v>
      </c>
      <c r="M994" s="2" t="s">
        <v>33</v>
      </c>
      <c r="N994" s="4" t="n">
        <v>1758.63</v>
      </c>
      <c r="O994" s="2" t="str">
        <f aca="false">IF(COUNTIF($A$2:$A$1201,A994)&gt;1,"DUPLICATE","Unique")</f>
        <v>Unique</v>
      </c>
      <c r="P994" s="2" t="str">
        <f aca="false">IF(L994="","MISSING","OK")</f>
        <v>OK</v>
      </c>
      <c r="Q994" s="2" t="str">
        <f aca="false">IF(ISNUMBER(B994),"OK","BAD DATE")</f>
        <v>OK</v>
      </c>
      <c r="R994" s="2" t="str">
        <f aca="false">IF(ROUND(F994,2)=F994,"OK","FIX")</f>
        <v>OK</v>
      </c>
    </row>
    <row r="995" customFormat="false" ht="15" hidden="false" customHeight="false" outlineLevel="0" collapsed="false">
      <c r="A995" s="2" t="s">
        <v>3605</v>
      </c>
      <c r="B995" s="3" t="n">
        <v>45388</v>
      </c>
      <c r="C995" s="2" t="s">
        <v>3606</v>
      </c>
      <c r="D995" s="2" t="s">
        <v>20</v>
      </c>
      <c r="E995" s="2" t="n">
        <v>3</v>
      </c>
      <c r="F995" s="4" t="n">
        <v>267.45</v>
      </c>
      <c r="G995" s="2" t="s">
        <v>3607</v>
      </c>
      <c r="H995" s="2" t="s">
        <v>64</v>
      </c>
      <c r="I995" s="2" t="s">
        <v>54</v>
      </c>
      <c r="J995" s="2" t="s">
        <v>3608</v>
      </c>
      <c r="K995" s="2" t="n">
        <v>5</v>
      </c>
      <c r="L995" s="2" t="s">
        <v>85</v>
      </c>
      <c r="M995" s="2" t="s">
        <v>26</v>
      </c>
      <c r="N995" s="4" t="n">
        <v>802.35</v>
      </c>
      <c r="O995" s="2" t="str">
        <f aca="false">IF(COUNTIF($A$2:$A$1201,A995)&gt;1,"DUPLICATE","Unique")</f>
        <v>Unique</v>
      </c>
      <c r="P995" s="2" t="str">
        <f aca="false">IF(L995="","MISSING","OK")</f>
        <v>OK</v>
      </c>
      <c r="Q995" s="2" t="str">
        <f aca="false">IF(ISNUMBER(B995),"OK","BAD DATE")</f>
        <v>OK</v>
      </c>
      <c r="R995" s="2" t="str">
        <f aca="false">IF(ROUND(F995,2)=F995,"OK","FIX")</f>
        <v>OK</v>
      </c>
    </row>
    <row r="996" customFormat="false" ht="15" hidden="false" customHeight="false" outlineLevel="0" collapsed="false">
      <c r="A996" s="2" t="s">
        <v>3609</v>
      </c>
      <c r="B996" s="3" t="n">
        <v>45470</v>
      </c>
      <c r="C996" s="2" t="s">
        <v>3610</v>
      </c>
      <c r="D996" s="2" t="s">
        <v>36</v>
      </c>
      <c r="E996" s="2" t="n">
        <v>4</v>
      </c>
      <c r="F996" s="4" t="n">
        <v>615.65</v>
      </c>
      <c r="G996" s="2" t="s">
        <v>367</v>
      </c>
      <c r="H996" s="2" t="s">
        <v>22</v>
      </c>
      <c r="I996" s="2" t="s">
        <v>54</v>
      </c>
      <c r="J996" s="2" t="s">
        <v>3611</v>
      </c>
      <c r="K996" s="2" t="n">
        <v>9</v>
      </c>
      <c r="L996" s="2" t="s">
        <v>85</v>
      </c>
      <c r="M996" s="2" t="s">
        <v>80</v>
      </c>
      <c r="N996" s="4" t="n">
        <v>2462.6</v>
      </c>
      <c r="O996" s="2" t="str">
        <f aca="false">IF(COUNTIF($A$2:$A$1201,A996)&gt;1,"DUPLICATE","Unique")</f>
        <v>Unique</v>
      </c>
      <c r="P996" s="2" t="str">
        <f aca="false">IF(L996="","MISSING","OK")</f>
        <v>OK</v>
      </c>
      <c r="Q996" s="2" t="str">
        <f aca="false">IF(ISNUMBER(B996),"OK","BAD DATE")</f>
        <v>OK</v>
      </c>
      <c r="R996" s="2" t="str">
        <f aca="false">IF(ROUND(F996,2)=F996,"OK","FIX")</f>
        <v>OK</v>
      </c>
    </row>
    <row r="997" customFormat="false" ht="15" hidden="false" customHeight="false" outlineLevel="0" collapsed="false">
      <c r="A997" s="2" t="s">
        <v>3612</v>
      </c>
      <c r="B997" s="3" t="n">
        <v>45248</v>
      </c>
      <c r="C997" s="2" t="s">
        <v>3613</v>
      </c>
      <c r="D997" s="2" t="s">
        <v>20</v>
      </c>
      <c r="E997" s="2" t="n">
        <v>2</v>
      </c>
      <c r="F997" s="4" t="n">
        <v>113.29</v>
      </c>
      <c r="G997" s="2" t="s">
        <v>1996</v>
      </c>
      <c r="H997" s="2" t="s">
        <v>69</v>
      </c>
      <c r="I997" s="2" t="s">
        <v>93</v>
      </c>
      <c r="J997" s="2" t="s">
        <v>3614</v>
      </c>
      <c r="K997" s="2" t="n">
        <v>5</v>
      </c>
      <c r="L997" s="2" t="s">
        <v>25</v>
      </c>
      <c r="M997" s="2" t="s">
        <v>49</v>
      </c>
      <c r="N997" s="4" t="n">
        <v>226.58</v>
      </c>
      <c r="O997" s="2" t="str">
        <f aca="false">IF(COUNTIF($A$2:$A$1201,A997)&gt;1,"DUPLICATE","Unique")</f>
        <v>Unique</v>
      </c>
      <c r="P997" s="2" t="str">
        <f aca="false">IF(L997="","MISSING","OK")</f>
        <v>OK</v>
      </c>
      <c r="Q997" s="2" t="str">
        <f aca="false">IF(ISNUMBER(B997),"OK","BAD DATE")</f>
        <v>OK</v>
      </c>
      <c r="R997" s="2" t="str">
        <f aca="false">IF(ROUND(F997,2)=F997,"OK","FIX")</f>
        <v>OK</v>
      </c>
    </row>
    <row r="998" customFormat="false" ht="15" hidden="false" customHeight="false" outlineLevel="0" collapsed="false">
      <c r="A998" s="2" t="s">
        <v>3615</v>
      </c>
      <c r="B998" s="3" t="n">
        <v>45410</v>
      </c>
      <c r="C998" s="2" t="s">
        <v>3616</v>
      </c>
      <c r="D998" s="2" t="s">
        <v>20</v>
      </c>
      <c r="E998" s="2" t="n">
        <v>4</v>
      </c>
      <c r="F998" s="4" t="n">
        <v>473.86</v>
      </c>
      <c r="G998" s="2" t="s">
        <v>1260</v>
      </c>
      <c r="H998" s="2" t="s">
        <v>22</v>
      </c>
      <c r="I998" s="2" t="s">
        <v>54</v>
      </c>
      <c r="J998" s="2" t="s">
        <v>3617</v>
      </c>
      <c r="K998" s="2" t="n">
        <v>7</v>
      </c>
      <c r="L998" s="2" t="s">
        <v>25</v>
      </c>
      <c r="M998" s="2" t="s">
        <v>49</v>
      </c>
      <c r="N998" s="4" t="n">
        <v>1895.44</v>
      </c>
      <c r="O998" s="2" t="str">
        <f aca="false">IF(COUNTIF($A$2:$A$1201,A998)&gt;1,"DUPLICATE","Unique")</f>
        <v>Unique</v>
      </c>
      <c r="P998" s="2" t="str">
        <f aca="false">IF(L998="","MISSING","OK")</f>
        <v>OK</v>
      </c>
      <c r="Q998" s="2" t="str">
        <f aca="false">IF(ISNUMBER(B998),"OK","BAD DATE")</f>
        <v>OK</v>
      </c>
      <c r="R998" s="2" t="str">
        <f aca="false">IF(ROUND(F998,2)=F998,"OK","FIX")</f>
        <v>OK</v>
      </c>
    </row>
    <row r="999" customFormat="false" ht="15" hidden="false" customHeight="false" outlineLevel="0" collapsed="false">
      <c r="A999" s="2" t="s">
        <v>3618</v>
      </c>
      <c r="B999" s="3" t="n">
        <v>45257</v>
      </c>
      <c r="C999" s="2" t="s">
        <v>3619</v>
      </c>
      <c r="D999" s="2" t="s">
        <v>62</v>
      </c>
      <c r="E999" s="2" t="n">
        <v>3</v>
      </c>
      <c r="F999" s="4" t="n">
        <v>444.75</v>
      </c>
      <c r="G999" s="2" t="s">
        <v>1942</v>
      </c>
      <c r="H999" s="2" t="s">
        <v>69</v>
      </c>
      <c r="I999" s="2" t="s">
        <v>54</v>
      </c>
      <c r="J999" s="2" t="s">
        <v>3620</v>
      </c>
      <c r="K999" s="2" t="n">
        <v>6</v>
      </c>
      <c r="L999" s="2" t="s">
        <v>25</v>
      </c>
      <c r="M999" s="2" t="s">
        <v>49</v>
      </c>
      <c r="N999" s="4" t="n">
        <v>1334.25</v>
      </c>
      <c r="O999" s="2" t="str">
        <f aca="false">IF(COUNTIF($A$2:$A$1201,A999)&gt;1,"DUPLICATE","Unique")</f>
        <v>Unique</v>
      </c>
      <c r="P999" s="2" t="str">
        <f aca="false">IF(L999="","MISSING","OK")</f>
        <v>OK</v>
      </c>
      <c r="Q999" s="2" t="str">
        <f aca="false">IF(ISNUMBER(B999),"OK","BAD DATE")</f>
        <v>OK</v>
      </c>
      <c r="R999" s="2" t="str">
        <f aca="false">IF(ROUND(F999,2)=F999,"OK","FIX")</f>
        <v>OK</v>
      </c>
    </row>
    <row r="1000" customFormat="false" ht="15" hidden="false" customHeight="false" outlineLevel="0" collapsed="false">
      <c r="A1000" s="2" t="s">
        <v>3621</v>
      </c>
      <c r="B1000" s="3" t="n">
        <v>45065</v>
      </c>
      <c r="C1000" s="2" t="s">
        <v>3622</v>
      </c>
      <c r="D1000" s="2" t="s">
        <v>29</v>
      </c>
      <c r="E1000" s="2" t="n">
        <v>2</v>
      </c>
      <c r="F1000" s="4" t="n">
        <v>183.67</v>
      </c>
      <c r="G1000" s="2" t="s">
        <v>960</v>
      </c>
      <c r="H1000" s="2" t="s">
        <v>22</v>
      </c>
      <c r="I1000" s="2" t="s">
        <v>39</v>
      </c>
      <c r="J1000" s="2" t="s">
        <v>3623</v>
      </c>
      <c r="K1000" s="2" t="n">
        <v>6</v>
      </c>
      <c r="L1000" s="2" t="s">
        <v>25</v>
      </c>
      <c r="M1000" s="2" t="s">
        <v>80</v>
      </c>
      <c r="N1000" s="4" t="n">
        <v>367.34</v>
      </c>
      <c r="O1000" s="2" t="str">
        <f aca="false">IF(COUNTIF($A$2:$A$1201,A1000)&gt;1,"DUPLICATE","Unique")</f>
        <v>Unique</v>
      </c>
      <c r="P1000" s="2" t="str">
        <f aca="false">IF(L1000="","MISSING","OK")</f>
        <v>OK</v>
      </c>
      <c r="Q1000" s="2" t="str">
        <f aca="false">IF(ISNUMBER(B1000),"OK","BAD DATE")</f>
        <v>OK</v>
      </c>
      <c r="R1000" s="2" t="str">
        <f aca="false">IF(ROUND(F1000,2)=F1000,"OK","FIX")</f>
        <v>OK</v>
      </c>
    </row>
    <row r="1001" customFormat="false" ht="15" hidden="false" customHeight="false" outlineLevel="0" collapsed="false">
      <c r="A1001" s="2" t="s">
        <v>3624</v>
      </c>
      <c r="B1001" s="3" t="n">
        <v>45284</v>
      </c>
      <c r="C1001" s="2" t="s">
        <v>3625</v>
      </c>
      <c r="D1001" s="2" t="s">
        <v>52</v>
      </c>
      <c r="E1001" s="2" t="n">
        <v>1</v>
      </c>
      <c r="F1001" s="4" t="n">
        <v>483.38</v>
      </c>
      <c r="G1001" s="2" t="s">
        <v>1624</v>
      </c>
      <c r="H1001" s="2" t="s">
        <v>69</v>
      </c>
      <c r="I1001" s="2" t="s">
        <v>93</v>
      </c>
      <c r="J1001" s="2" t="s">
        <v>3626</v>
      </c>
      <c r="K1001" s="2" t="n">
        <v>6</v>
      </c>
      <c r="L1001" s="2" t="s">
        <v>41</v>
      </c>
      <c r="M1001" s="2" t="s">
        <v>80</v>
      </c>
      <c r="N1001" s="4" t="n">
        <v>483.38</v>
      </c>
      <c r="O1001" s="2" t="str">
        <f aca="false">IF(COUNTIF($A$2:$A$1201,A1001)&gt;1,"DUPLICATE","Unique")</f>
        <v>Unique</v>
      </c>
      <c r="P1001" s="2" t="str">
        <f aca="false">IF(L1001="","MISSING","OK")</f>
        <v>OK</v>
      </c>
      <c r="Q1001" s="2" t="str">
        <f aca="false">IF(ISNUMBER(B1001),"OK","BAD DATE")</f>
        <v>OK</v>
      </c>
      <c r="R1001" s="2" t="str">
        <f aca="false">IF(ROUND(F1001,2)=F1001,"OK","FIX")</f>
        <v>OK</v>
      </c>
    </row>
    <row r="1002" customFormat="false" ht="15" hidden="false" customHeight="false" outlineLevel="0" collapsed="false">
      <c r="A1002" s="2" t="s">
        <v>3627</v>
      </c>
      <c r="B1002" s="3" t="n">
        <v>45098</v>
      </c>
      <c r="C1002" s="2" t="s">
        <v>3628</v>
      </c>
      <c r="D1002" s="2" t="s">
        <v>52</v>
      </c>
      <c r="E1002" s="2" t="n">
        <v>5</v>
      </c>
      <c r="F1002" s="4" t="n">
        <v>260.93</v>
      </c>
      <c r="G1002" s="2" t="s">
        <v>3629</v>
      </c>
      <c r="H1002" s="2" t="s">
        <v>31</v>
      </c>
      <c r="I1002" s="2" t="s">
        <v>54</v>
      </c>
      <c r="J1002" s="2" t="s">
        <v>3630</v>
      </c>
      <c r="K1002" s="2" t="n">
        <v>9</v>
      </c>
      <c r="L1002" s="2" t="s">
        <v>25</v>
      </c>
      <c r="M1002" s="2" t="s">
        <v>42</v>
      </c>
      <c r="N1002" s="4" t="n">
        <v>1304.65</v>
      </c>
      <c r="O1002" s="2" t="str">
        <f aca="false">IF(COUNTIF($A$2:$A$1201,A1002)&gt;1,"DUPLICATE","Unique")</f>
        <v>Unique</v>
      </c>
      <c r="P1002" s="2" t="str">
        <f aca="false">IF(L1002="","MISSING","OK")</f>
        <v>OK</v>
      </c>
      <c r="Q1002" s="2" t="str">
        <f aca="false">IF(ISNUMBER(B1002),"OK","BAD DATE")</f>
        <v>OK</v>
      </c>
      <c r="R1002" s="2" t="str">
        <f aca="false">IF(ROUND(F1002,2)=F1002,"OK","FIX")</f>
        <v>OK</v>
      </c>
    </row>
    <row r="1003" customFormat="false" ht="15" hidden="false" customHeight="false" outlineLevel="0" collapsed="false">
      <c r="A1003" s="2" t="s">
        <v>3631</v>
      </c>
      <c r="B1003" s="3" t="n">
        <v>45268</v>
      </c>
      <c r="C1003" s="2" t="s">
        <v>3632</v>
      </c>
      <c r="D1003" s="2" t="s">
        <v>52</v>
      </c>
      <c r="E1003" s="2" t="n">
        <v>2</v>
      </c>
      <c r="F1003" s="4" t="n">
        <v>253.68</v>
      </c>
      <c r="G1003" s="2" t="s">
        <v>498</v>
      </c>
      <c r="H1003" s="2" t="s">
        <v>64</v>
      </c>
      <c r="I1003" s="2" t="s">
        <v>23</v>
      </c>
      <c r="J1003" s="2" t="s">
        <v>3633</v>
      </c>
      <c r="K1003" s="2" t="n">
        <v>6</v>
      </c>
      <c r="L1003" s="2"/>
      <c r="M1003" s="2" t="s">
        <v>33</v>
      </c>
      <c r="N1003" s="4" t="n">
        <v>507.36</v>
      </c>
      <c r="O1003" s="2" t="str">
        <f aca="false">IF(COUNTIF($A$2:$A$1201,A1003)&gt;1,"DUPLICATE","Unique")</f>
        <v>Unique</v>
      </c>
      <c r="P1003" s="2" t="str">
        <f aca="false">IF(L1003="","MISSING","OK")</f>
        <v>MISSING</v>
      </c>
      <c r="Q1003" s="2" t="str">
        <f aca="false">IF(ISNUMBER(B1003),"OK","BAD DATE")</f>
        <v>OK</v>
      </c>
      <c r="R1003" s="2" t="str">
        <f aca="false">IF(ROUND(F1003,2)=F1003,"OK","FIX")</f>
        <v>OK</v>
      </c>
    </row>
    <row r="1004" customFormat="false" ht="15" hidden="false" customHeight="false" outlineLevel="0" collapsed="false">
      <c r="A1004" s="2" t="s">
        <v>3634</v>
      </c>
      <c r="B1004" s="3" t="n">
        <v>45827</v>
      </c>
      <c r="C1004" s="2" t="s">
        <v>3635</v>
      </c>
      <c r="D1004" s="2" t="s">
        <v>36</v>
      </c>
      <c r="E1004" s="2" t="n">
        <v>4</v>
      </c>
      <c r="F1004" s="4" t="n">
        <v>699.88</v>
      </c>
      <c r="G1004" s="2" t="s">
        <v>446</v>
      </c>
      <c r="H1004" s="2" t="s">
        <v>69</v>
      </c>
      <c r="I1004" s="2" t="s">
        <v>93</v>
      </c>
      <c r="J1004" s="2" t="s">
        <v>3636</v>
      </c>
      <c r="K1004" s="2" t="n">
        <v>5</v>
      </c>
      <c r="L1004" s="2" t="s">
        <v>85</v>
      </c>
      <c r="M1004" s="2" t="s">
        <v>33</v>
      </c>
      <c r="N1004" s="4" t="n">
        <v>2799.52</v>
      </c>
      <c r="O1004" s="2" t="str">
        <f aca="false">IF(COUNTIF($A$2:$A$1201,A1004)&gt;1,"DUPLICATE","Unique")</f>
        <v>Unique</v>
      </c>
      <c r="P1004" s="2" t="str">
        <f aca="false">IF(L1004="","MISSING","OK")</f>
        <v>OK</v>
      </c>
      <c r="Q1004" s="2" t="str">
        <f aca="false">IF(ISNUMBER(B1004),"OK","BAD DATE")</f>
        <v>OK</v>
      </c>
      <c r="R1004" s="2" t="str">
        <f aca="false">IF(ROUND(F1004,2)=F1004,"OK","FIX")</f>
        <v>OK</v>
      </c>
    </row>
    <row r="1005" customFormat="false" ht="15" hidden="false" customHeight="false" outlineLevel="0" collapsed="false">
      <c r="A1005" s="2" t="s">
        <v>3637</v>
      </c>
      <c r="B1005" s="3" t="n">
        <v>44937</v>
      </c>
      <c r="C1005" s="2" t="s">
        <v>3638</v>
      </c>
      <c r="D1005" s="2" t="s">
        <v>52</v>
      </c>
      <c r="E1005" s="2" t="n">
        <v>5</v>
      </c>
      <c r="F1005" s="4" t="n">
        <v>319.97</v>
      </c>
      <c r="G1005" s="2" t="s">
        <v>3629</v>
      </c>
      <c r="H1005" s="2" t="s">
        <v>69</v>
      </c>
      <c r="I1005" s="2" t="s">
        <v>23</v>
      </c>
      <c r="J1005" s="2" t="s">
        <v>3639</v>
      </c>
      <c r="K1005" s="2" t="n">
        <v>7</v>
      </c>
      <c r="L1005" s="2" t="s">
        <v>25</v>
      </c>
      <c r="M1005" s="2" t="s">
        <v>80</v>
      </c>
      <c r="N1005" s="4" t="n">
        <v>1599.85</v>
      </c>
      <c r="O1005" s="2" t="str">
        <f aca="false">IF(COUNTIF($A$2:$A$1201,A1005)&gt;1,"DUPLICATE","Unique")</f>
        <v>Unique</v>
      </c>
      <c r="P1005" s="2" t="str">
        <f aca="false">IF(L1005="","MISSING","OK")</f>
        <v>OK</v>
      </c>
      <c r="Q1005" s="2" t="str">
        <f aca="false">IF(ISNUMBER(B1005),"OK","BAD DATE")</f>
        <v>OK</v>
      </c>
      <c r="R1005" s="2" t="str">
        <f aca="false">IF(ROUND(F1005,2)=F1005,"OK","FIX")</f>
        <v>OK</v>
      </c>
    </row>
    <row r="1006" customFormat="false" ht="15" hidden="false" customHeight="false" outlineLevel="0" collapsed="false">
      <c r="A1006" s="2" t="s">
        <v>3640</v>
      </c>
      <c r="B1006" s="3" t="n">
        <v>45817</v>
      </c>
      <c r="C1006" s="2" t="s">
        <v>3641</v>
      </c>
      <c r="D1006" s="2" t="s">
        <v>45</v>
      </c>
      <c r="E1006" s="2" t="n">
        <v>4</v>
      </c>
      <c r="F1006" s="4" t="n">
        <v>246.91</v>
      </c>
      <c r="G1006" s="2" t="s">
        <v>149</v>
      </c>
      <c r="H1006" s="2" t="s">
        <v>31</v>
      </c>
      <c r="I1006" s="2" t="s">
        <v>93</v>
      </c>
      <c r="J1006" s="2" t="s">
        <v>3642</v>
      </c>
      <c r="K1006" s="2" t="n">
        <v>8</v>
      </c>
      <c r="L1006" s="2" t="s">
        <v>25</v>
      </c>
      <c r="M1006" s="2" t="s">
        <v>33</v>
      </c>
      <c r="N1006" s="4" t="n">
        <v>987.64</v>
      </c>
      <c r="O1006" s="2" t="str">
        <f aca="false">IF(COUNTIF($A$2:$A$1201,A1006)&gt;1,"DUPLICATE","Unique")</f>
        <v>Unique</v>
      </c>
      <c r="P1006" s="2" t="str">
        <f aca="false">IF(L1006="","MISSING","OK")</f>
        <v>OK</v>
      </c>
      <c r="Q1006" s="2" t="str">
        <f aca="false">IF(ISNUMBER(B1006),"OK","BAD DATE")</f>
        <v>OK</v>
      </c>
      <c r="R1006" s="2" t="str">
        <f aca="false">IF(ROUND(F1006,2)=F1006,"OK","FIX")</f>
        <v>OK</v>
      </c>
    </row>
    <row r="1007" customFormat="false" ht="15" hidden="false" customHeight="false" outlineLevel="0" collapsed="false">
      <c r="A1007" s="2" t="s">
        <v>3643</v>
      </c>
      <c r="B1007" s="3" t="n">
        <v>44987</v>
      </c>
      <c r="C1007" s="2" t="s">
        <v>3644</v>
      </c>
      <c r="D1007" s="2" t="s">
        <v>52</v>
      </c>
      <c r="E1007" s="2" t="n">
        <v>3</v>
      </c>
      <c r="F1007" s="4" t="n">
        <v>392.85</v>
      </c>
      <c r="G1007" s="2" t="s">
        <v>2952</v>
      </c>
      <c r="H1007" s="2" t="s">
        <v>38</v>
      </c>
      <c r="I1007" s="2" t="s">
        <v>47</v>
      </c>
      <c r="J1007" s="2" t="s">
        <v>3645</v>
      </c>
      <c r="K1007" s="2" t="n">
        <v>6</v>
      </c>
      <c r="L1007" s="2"/>
      <c r="M1007" s="2" t="s">
        <v>80</v>
      </c>
      <c r="N1007" s="4" t="n">
        <v>1178.55</v>
      </c>
      <c r="O1007" s="2" t="str">
        <f aca="false">IF(COUNTIF($A$2:$A$1201,A1007)&gt;1,"DUPLICATE","Unique")</f>
        <v>Unique</v>
      </c>
      <c r="P1007" s="2" t="str">
        <f aca="false">IF(L1007="","MISSING","OK")</f>
        <v>MISSING</v>
      </c>
      <c r="Q1007" s="2" t="str">
        <f aca="false">IF(ISNUMBER(B1007),"OK","BAD DATE")</f>
        <v>OK</v>
      </c>
      <c r="R1007" s="2" t="str">
        <f aca="false">IF(ROUND(F1007,2)=F1007,"OK","FIX")</f>
        <v>OK</v>
      </c>
    </row>
    <row r="1008" customFormat="false" ht="15" hidden="false" customHeight="false" outlineLevel="0" collapsed="false">
      <c r="A1008" s="2" t="s">
        <v>3646</v>
      </c>
      <c r="B1008" s="3" t="n">
        <v>45439</v>
      </c>
      <c r="C1008" s="2" t="s">
        <v>3647</v>
      </c>
      <c r="D1008" s="2" t="s">
        <v>36</v>
      </c>
      <c r="E1008" s="2" t="n">
        <v>5</v>
      </c>
      <c r="F1008" s="4" t="n">
        <v>420.98</v>
      </c>
      <c r="G1008" s="2" t="s">
        <v>2523</v>
      </c>
      <c r="H1008" s="2" t="s">
        <v>69</v>
      </c>
      <c r="I1008" s="2" t="s">
        <v>54</v>
      </c>
      <c r="J1008" s="2" t="s">
        <v>3648</v>
      </c>
      <c r="K1008" s="2" t="n">
        <v>7</v>
      </c>
      <c r="L1008" s="2" t="s">
        <v>25</v>
      </c>
      <c r="M1008" s="2" t="s">
        <v>49</v>
      </c>
      <c r="N1008" s="4" t="n">
        <v>2104.9</v>
      </c>
      <c r="O1008" s="2" t="str">
        <f aca="false">IF(COUNTIF($A$2:$A$1201,A1008)&gt;1,"DUPLICATE","Unique")</f>
        <v>Unique</v>
      </c>
      <c r="P1008" s="2" t="str">
        <f aca="false">IF(L1008="","MISSING","OK")</f>
        <v>OK</v>
      </c>
      <c r="Q1008" s="2" t="str">
        <f aca="false">IF(ISNUMBER(B1008),"OK","BAD DATE")</f>
        <v>OK</v>
      </c>
      <c r="R1008" s="2" t="str">
        <f aca="false">IF(ROUND(F1008,2)=F1008,"OK","FIX")</f>
        <v>OK</v>
      </c>
    </row>
    <row r="1009" customFormat="false" ht="15" hidden="false" customHeight="false" outlineLevel="0" collapsed="false">
      <c r="A1009" s="2" t="s">
        <v>3649</v>
      </c>
      <c r="B1009" s="3" t="n">
        <v>45371</v>
      </c>
      <c r="C1009" s="2" t="s">
        <v>1872</v>
      </c>
      <c r="D1009" s="2" t="s">
        <v>20</v>
      </c>
      <c r="E1009" s="2" t="n">
        <v>2</v>
      </c>
      <c r="F1009" s="4" t="n">
        <v>73.26</v>
      </c>
      <c r="G1009" s="2" t="s">
        <v>419</v>
      </c>
      <c r="H1009" s="2" t="s">
        <v>69</v>
      </c>
      <c r="I1009" s="2" t="s">
        <v>93</v>
      </c>
      <c r="J1009" s="2" t="s">
        <v>3650</v>
      </c>
      <c r="K1009" s="2" t="n">
        <v>4</v>
      </c>
      <c r="L1009" s="2" t="s">
        <v>85</v>
      </c>
      <c r="M1009" s="2" t="s">
        <v>49</v>
      </c>
      <c r="N1009" s="4" t="n">
        <v>146.52</v>
      </c>
      <c r="O1009" s="2" t="str">
        <f aca="false">IF(COUNTIF($A$2:$A$1201,A1009)&gt;1,"DUPLICATE","Unique")</f>
        <v>Unique</v>
      </c>
      <c r="P1009" s="2" t="str">
        <f aca="false">IF(L1009="","MISSING","OK")</f>
        <v>OK</v>
      </c>
      <c r="Q1009" s="2" t="str">
        <f aca="false">IF(ISNUMBER(B1009),"OK","BAD DATE")</f>
        <v>OK</v>
      </c>
      <c r="R1009" s="2" t="str">
        <f aca="false">IF(ROUND(F1009,2)=F1009,"OK","FIX")</f>
        <v>OK</v>
      </c>
    </row>
    <row r="1010" customFormat="false" ht="15" hidden="false" customHeight="false" outlineLevel="0" collapsed="false">
      <c r="A1010" s="2" t="s">
        <v>3651</v>
      </c>
      <c r="B1010" s="3" t="n">
        <v>44939</v>
      </c>
      <c r="C1010" s="2" t="s">
        <v>3652</v>
      </c>
      <c r="D1010" s="2" t="s">
        <v>20</v>
      </c>
      <c r="E1010" s="2" t="n">
        <v>3</v>
      </c>
      <c r="F1010" s="4" t="n">
        <v>410.88</v>
      </c>
      <c r="G1010" s="2" t="s">
        <v>2870</v>
      </c>
      <c r="H1010" s="2" t="s">
        <v>69</v>
      </c>
      <c r="I1010" s="2" t="s">
        <v>54</v>
      </c>
      <c r="J1010" s="2" t="s">
        <v>3653</v>
      </c>
      <c r="K1010" s="2" t="n">
        <v>8</v>
      </c>
      <c r="L1010" s="2" t="s">
        <v>41</v>
      </c>
      <c r="M1010" s="2" t="s">
        <v>26</v>
      </c>
      <c r="N1010" s="4" t="n">
        <v>1232.64</v>
      </c>
      <c r="O1010" s="2" t="str">
        <f aca="false">IF(COUNTIF($A$2:$A$1201,A1010)&gt;1,"DUPLICATE","Unique")</f>
        <v>Unique</v>
      </c>
      <c r="P1010" s="2" t="str">
        <f aca="false">IF(L1010="","MISSING","OK")</f>
        <v>OK</v>
      </c>
      <c r="Q1010" s="2" t="str">
        <f aca="false">IF(ISNUMBER(B1010),"OK","BAD DATE")</f>
        <v>OK</v>
      </c>
      <c r="R1010" s="2" t="str">
        <f aca="false">IF(ROUND(F1010,2)=F1010,"OK","FIX")</f>
        <v>OK</v>
      </c>
    </row>
    <row r="1011" customFormat="false" ht="15" hidden="false" customHeight="false" outlineLevel="0" collapsed="false">
      <c r="A1011" s="2" t="s">
        <v>3654</v>
      </c>
      <c r="B1011" s="3" t="n">
        <v>45171</v>
      </c>
      <c r="C1011" s="2" t="s">
        <v>3655</v>
      </c>
      <c r="D1011" s="2" t="s">
        <v>36</v>
      </c>
      <c r="E1011" s="2" t="n">
        <v>2</v>
      </c>
      <c r="F1011" s="4" t="n">
        <v>176.46</v>
      </c>
      <c r="G1011" s="2" t="s">
        <v>1949</v>
      </c>
      <c r="H1011" s="2" t="s">
        <v>38</v>
      </c>
      <c r="I1011" s="2" t="s">
        <v>54</v>
      </c>
      <c r="J1011" s="2" t="s">
        <v>3656</v>
      </c>
      <c r="K1011" s="2" t="n">
        <v>2</v>
      </c>
      <c r="L1011" s="2" t="s">
        <v>41</v>
      </c>
      <c r="M1011" s="2" t="s">
        <v>42</v>
      </c>
      <c r="N1011" s="4" t="n">
        <v>352.92</v>
      </c>
      <c r="O1011" s="2" t="str">
        <f aca="false">IF(COUNTIF($A$2:$A$1201,A1011)&gt;1,"DUPLICATE","Unique")</f>
        <v>Unique</v>
      </c>
      <c r="P1011" s="2" t="str">
        <f aca="false">IF(L1011="","MISSING","OK")</f>
        <v>OK</v>
      </c>
      <c r="Q1011" s="2" t="str">
        <f aca="false">IF(ISNUMBER(B1011),"OK","BAD DATE")</f>
        <v>OK</v>
      </c>
      <c r="R1011" s="2" t="str">
        <f aca="false">IF(ROUND(F1011,2)=F1011,"OK","FIX")</f>
        <v>OK</v>
      </c>
    </row>
    <row r="1012" customFormat="false" ht="15" hidden="false" customHeight="false" outlineLevel="0" collapsed="false">
      <c r="A1012" s="2" t="s">
        <v>3657</v>
      </c>
      <c r="B1012" s="3" t="n">
        <v>45016</v>
      </c>
      <c r="C1012" s="2" t="s">
        <v>3658</v>
      </c>
      <c r="D1012" s="2" t="s">
        <v>20</v>
      </c>
      <c r="E1012" s="2" t="n">
        <v>3</v>
      </c>
      <c r="F1012" s="4" t="n">
        <v>659.57</v>
      </c>
      <c r="G1012" s="2" t="s">
        <v>430</v>
      </c>
      <c r="H1012" s="2" t="s">
        <v>38</v>
      </c>
      <c r="I1012" s="2" t="s">
        <v>39</v>
      </c>
      <c r="J1012" s="2" t="s">
        <v>3659</v>
      </c>
      <c r="K1012" s="2" t="n">
        <v>6</v>
      </c>
      <c r="L1012" s="2" t="s">
        <v>25</v>
      </c>
      <c r="M1012" s="2" t="s">
        <v>42</v>
      </c>
      <c r="N1012" s="4" t="n">
        <v>1978.71</v>
      </c>
      <c r="O1012" s="2" t="str">
        <f aca="false">IF(COUNTIF($A$2:$A$1201,A1012)&gt;1,"DUPLICATE","Unique")</f>
        <v>Unique</v>
      </c>
      <c r="P1012" s="2" t="str">
        <f aca="false">IF(L1012="","MISSING","OK")</f>
        <v>OK</v>
      </c>
      <c r="Q1012" s="2" t="str">
        <f aca="false">IF(ISNUMBER(B1012),"OK","BAD DATE")</f>
        <v>OK</v>
      </c>
      <c r="R1012" s="2" t="str">
        <f aca="false">IF(ROUND(F1012,2)=F1012,"OK","FIX")</f>
        <v>OK</v>
      </c>
    </row>
    <row r="1013" customFormat="false" ht="15" hidden="false" customHeight="false" outlineLevel="0" collapsed="false">
      <c r="A1013" s="2" t="s">
        <v>3660</v>
      </c>
      <c r="B1013" s="3" t="n">
        <v>45629</v>
      </c>
      <c r="C1013" s="2" t="s">
        <v>3661</v>
      </c>
      <c r="D1013" s="2" t="s">
        <v>29</v>
      </c>
      <c r="E1013" s="2" t="n">
        <v>2</v>
      </c>
      <c r="F1013" s="4" t="n">
        <v>478.36</v>
      </c>
      <c r="G1013" s="2" t="s">
        <v>1109</v>
      </c>
      <c r="H1013" s="2" t="s">
        <v>31</v>
      </c>
      <c r="I1013" s="2" t="s">
        <v>23</v>
      </c>
      <c r="J1013" s="2" t="s">
        <v>3662</v>
      </c>
      <c r="K1013" s="2" t="n">
        <v>3</v>
      </c>
      <c r="L1013" s="2"/>
      <c r="M1013" s="2" t="s">
        <v>80</v>
      </c>
      <c r="N1013" s="4" t="n">
        <v>956.72</v>
      </c>
      <c r="O1013" s="2" t="str">
        <f aca="false">IF(COUNTIF($A$2:$A$1201,A1013)&gt;1,"DUPLICATE","Unique")</f>
        <v>Unique</v>
      </c>
      <c r="P1013" s="2" t="str">
        <f aca="false">IF(L1013="","MISSING","OK")</f>
        <v>MISSING</v>
      </c>
      <c r="Q1013" s="2" t="str">
        <f aca="false">IF(ISNUMBER(B1013),"OK","BAD DATE")</f>
        <v>OK</v>
      </c>
      <c r="R1013" s="2" t="str">
        <f aca="false">IF(ROUND(F1013,2)=F1013,"OK","FIX")</f>
        <v>OK</v>
      </c>
    </row>
    <row r="1014" customFormat="false" ht="15" hidden="false" customHeight="false" outlineLevel="0" collapsed="false">
      <c r="A1014" s="2" t="s">
        <v>3663</v>
      </c>
      <c r="B1014" s="3" t="n">
        <v>45629</v>
      </c>
      <c r="C1014" s="2" t="s">
        <v>3664</v>
      </c>
      <c r="D1014" s="2" t="s">
        <v>52</v>
      </c>
      <c r="E1014" s="2" t="n">
        <v>4</v>
      </c>
      <c r="F1014" s="4" t="n">
        <v>30.05</v>
      </c>
      <c r="G1014" s="2" t="s">
        <v>1256</v>
      </c>
      <c r="H1014" s="2" t="s">
        <v>31</v>
      </c>
      <c r="I1014" s="2" t="s">
        <v>47</v>
      </c>
      <c r="J1014" s="2" t="s">
        <v>3665</v>
      </c>
      <c r="K1014" s="2" t="n">
        <v>6</v>
      </c>
      <c r="L1014" s="2"/>
      <c r="M1014" s="2" t="s">
        <v>49</v>
      </c>
      <c r="N1014" s="4" t="n">
        <v>120.2</v>
      </c>
      <c r="O1014" s="2" t="str">
        <f aca="false">IF(COUNTIF($A$2:$A$1201,A1014)&gt;1,"DUPLICATE","Unique")</f>
        <v>Unique</v>
      </c>
      <c r="P1014" s="2" t="str">
        <f aca="false">IF(L1014="","MISSING","OK")</f>
        <v>MISSING</v>
      </c>
      <c r="Q1014" s="2" t="str">
        <f aca="false">IF(ISNUMBER(B1014),"OK","BAD DATE")</f>
        <v>OK</v>
      </c>
      <c r="R1014" s="2" t="str">
        <f aca="false">IF(ROUND(F1014,2)=F1014,"OK","FIX")</f>
        <v>OK</v>
      </c>
    </row>
    <row r="1015" customFormat="false" ht="15" hidden="false" customHeight="false" outlineLevel="0" collapsed="false">
      <c r="A1015" s="2" t="s">
        <v>3666</v>
      </c>
      <c r="B1015" s="3" t="n">
        <v>45773</v>
      </c>
      <c r="C1015" s="2" t="s">
        <v>3667</v>
      </c>
      <c r="D1015" s="2" t="s">
        <v>62</v>
      </c>
      <c r="E1015" s="2" t="n">
        <v>4</v>
      </c>
      <c r="F1015" s="4" t="n">
        <v>300.56</v>
      </c>
      <c r="G1015" s="2" t="s">
        <v>269</v>
      </c>
      <c r="H1015" s="2" t="s">
        <v>69</v>
      </c>
      <c r="I1015" s="2" t="s">
        <v>39</v>
      </c>
      <c r="J1015" s="2" t="s">
        <v>3668</v>
      </c>
      <c r="K1015" s="2" t="n">
        <v>9</v>
      </c>
      <c r="L1015" s="2" t="s">
        <v>41</v>
      </c>
      <c r="M1015" s="2" t="s">
        <v>49</v>
      </c>
      <c r="N1015" s="4" t="n">
        <v>1202.24</v>
      </c>
      <c r="O1015" s="2" t="str">
        <f aca="false">IF(COUNTIF($A$2:$A$1201,A1015)&gt;1,"DUPLICATE","Unique")</f>
        <v>Unique</v>
      </c>
      <c r="P1015" s="2" t="str">
        <f aca="false">IF(L1015="","MISSING","OK")</f>
        <v>OK</v>
      </c>
      <c r="Q1015" s="2" t="str">
        <f aca="false">IF(ISNUMBER(B1015),"OK","BAD DATE")</f>
        <v>OK</v>
      </c>
      <c r="R1015" s="2" t="str">
        <f aca="false">IF(ROUND(F1015,2)=F1015,"OK","FIX")</f>
        <v>OK</v>
      </c>
    </row>
    <row r="1016" customFormat="false" ht="15" hidden="false" customHeight="false" outlineLevel="0" collapsed="false">
      <c r="A1016" s="2" t="s">
        <v>3669</v>
      </c>
      <c r="B1016" s="3" t="n">
        <v>45326</v>
      </c>
      <c r="C1016" s="2" t="s">
        <v>3670</v>
      </c>
      <c r="D1016" s="2" t="s">
        <v>36</v>
      </c>
      <c r="E1016" s="2" t="n">
        <v>5</v>
      </c>
      <c r="F1016" s="4" t="n">
        <v>226.45</v>
      </c>
      <c r="G1016" s="2" t="s">
        <v>1747</v>
      </c>
      <c r="H1016" s="2" t="s">
        <v>22</v>
      </c>
      <c r="I1016" s="2" t="s">
        <v>47</v>
      </c>
      <c r="J1016" s="2" t="s">
        <v>3671</v>
      </c>
      <c r="K1016" s="2" t="n">
        <v>6</v>
      </c>
      <c r="L1016" s="2" t="s">
        <v>41</v>
      </c>
      <c r="M1016" s="2" t="s">
        <v>42</v>
      </c>
      <c r="N1016" s="4" t="n">
        <v>1132.25</v>
      </c>
      <c r="O1016" s="2" t="str">
        <f aca="false">IF(COUNTIF($A$2:$A$1201,A1016)&gt;1,"DUPLICATE","Unique")</f>
        <v>Unique</v>
      </c>
      <c r="P1016" s="2" t="str">
        <f aca="false">IF(L1016="","MISSING","OK")</f>
        <v>OK</v>
      </c>
      <c r="Q1016" s="2" t="str">
        <f aca="false">IF(ISNUMBER(B1016),"OK","BAD DATE")</f>
        <v>OK</v>
      </c>
      <c r="R1016" s="2" t="str">
        <f aca="false">IF(ROUND(F1016,2)=F1016,"OK","FIX")</f>
        <v>OK</v>
      </c>
    </row>
    <row r="1017" customFormat="false" ht="15" hidden="false" customHeight="false" outlineLevel="0" collapsed="false">
      <c r="A1017" s="2" t="s">
        <v>3672</v>
      </c>
      <c r="B1017" s="3" t="n">
        <v>45317</v>
      </c>
      <c r="C1017" s="2" t="s">
        <v>3673</v>
      </c>
      <c r="D1017" s="2" t="s">
        <v>52</v>
      </c>
      <c r="E1017" s="2" t="n">
        <v>2</v>
      </c>
      <c r="F1017" s="4" t="n">
        <v>349.4</v>
      </c>
      <c r="G1017" s="2" t="s">
        <v>2287</v>
      </c>
      <c r="H1017" s="2" t="s">
        <v>31</v>
      </c>
      <c r="I1017" s="2" t="s">
        <v>23</v>
      </c>
      <c r="J1017" s="2" t="s">
        <v>3674</v>
      </c>
      <c r="K1017" s="2" t="n">
        <v>2</v>
      </c>
      <c r="L1017" s="2" t="s">
        <v>25</v>
      </c>
      <c r="M1017" s="2" t="s">
        <v>26</v>
      </c>
      <c r="N1017" s="4" t="n">
        <v>698.8</v>
      </c>
      <c r="O1017" s="2" t="str">
        <f aca="false">IF(COUNTIF($A$2:$A$1201,A1017)&gt;1,"DUPLICATE","Unique")</f>
        <v>Unique</v>
      </c>
      <c r="P1017" s="2" t="str">
        <f aca="false">IF(L1017="","MISSING","OK")</f>
        <v>OK</v>
      </c>
      <c r="Q1017" s="2" t="str">
        <f aca="false">IF(ISNUMBER(B1017),"OK","BAD DATE")</f>
        <v>OK</v>
      </c>
      <c r="R1017" s="2" t="str">
        <f aca="false">IF(ROUND(F1017,2)=F1017,"OK","FIX")</f>
        <v>OK</v>
      </c>
    </row>
    <row r="1018" customFormat="false" ht="15" hidden="false" customHeight="false" outlineLevel="0" collapsed="false">
      <c r="A1018" s="2" t="s">
        <v>3675</v>
      </c>
      <c r="B1018" s="3" t="n">
        <v>45289</v>
      </c>
      <c r="C1018" s="2" t="s">
        <v>3676</v>
      </c>
      <c r="D1018" s="2" t="s">
        <v>36</v>
      </c>
      <c r="E1018" s="2" t="n">
        <v>5</v>
      </c>
      <c r="F1018" s="4" t="n">
        <v>268.78</v>
      </c>
      <c r="G1018" s="2" t="s">
        <v>3677</v>
      </c>
      <c r="H1018" s="2" t="s">
        <v>22</v>
      </c>
      <c r="I1018" s="2" t="s">
        <v>54</v>
      </c>
      <c r="J1018" s="2" t="s">
        <v>3678</v>
      </c>
      <c r="K1018" s="2" t="n">
        <v>7</v>
      </c>
      <c r="L1018" s="2" t="s">
        <v>85</v>
      </c>
      <c r="M1018" s="2" t="s">
        <v>42</v>
      </c>
      <c r="N1018" s="4" t="n">
        <v>1343.9</v>
      </c>
      <c r="O1018" s="2" t="str">
        <f aca="false">IF(COUNTIF($A$2:$A$1201,A1018)&gt;1,"DUPLICATE","Unique")</f>
        <v>Unique</v>
      </c>
      <c r="P1018" s="2" t="str">
        <f aca="false">IF(L1018="","MISSING","OK")</f>
        <v>OK</v>
      </c>
      <c r="Q1018" s="2" t="str">
        <f aca="false">IF(ISNUMBER(B1018),"OK","BAD DATE")</f>
        <v>OK</v>
      </c>
      <c r="R1018" s="2" t="str">
        <f aca="false">IF(ROUND(F1018,2)=F1018,"OK","FIX")</f>
        <v>OK</v>
      </c>
    </row>
    <row r="1019" customFormat="false" ht="15" hidden="false" customHeight="false" outlineLevel="0" collapsed="false">
      <c r="A1019" s="2" t="s">
        <v>3679</v>
      </c>
      <c r="B1019" s="3" t="n">
        <v>45529</v>
      </c>
      <c r="C1019" s="2" t="s">
        <v>3680</v>
      </c>
      <c r="D1019" s="2" t="s">
        <v>45</v>
      </c>
      <c r="E1019" s="2" t="n">
        <v>2</v>
      </c>
      <c r="F1019" s="4" t="n">
        <v>680.85</v>
      </c>
      <c r="G1019" s="2" t="s">
        <v>3681</v>
      </c>
      <c r="H1019" s="2" t="s">
        <v>64</v>
      </c>
      <c r="I1019" s="2" t="s">
        <v>54</v>
      </c>
      <c r="J1019" s="2" t="s">
        <v>3682</v>
      </c>
      <c r="K1019" s="2" t="n">
        <v>6</v>
      </c>
      <c r="L1019" s="2" t="s">
        <v>41</v>
      </c>
      <c r="M1019" s="2" t="s">
        <v>33</v>
      </c>
      <c r="N1019" s="4" t="n">
        <v>1361.7</v>
      </c>
      <c r="O1019" s="2" t="str">
        <f aca="false">IF(COUNTIF($A$2:$A$1201,A1019)&gt;1,"DUPLICATE","Unique")</f>
        <v>Unique</v>
      </c>
      <c r="P1019" s="2" t="str">
        <f aca="false">IF(L1019="","MISSING","OK")</f>
        <v>OK</v>
      </c>
      <c r="Q1019" s="2" t="str">
        <f aca="false">IF(ISNUMBER(B1019),"OK","BAD DATE")</f>
        <v>OK</v>
      </c>
      <c r="R1019" s="2" t="str">
        <f aca="false">IF(ROUND(F1019,2)=F1019,"OK","FIX")</f>
        <v>OK</v>
      </c>
    </row>
    <row r="1020" customFormat="false" ht="15" hidden="false" customHeight="false" outlineLevel="0" collapsed="false">
      <c r="A1020" s="2" t="s">
        <v>3683</v>
      </c>
      <c r="B1020" s="3" t="n">
        <v>45115</v>
      </c>
      <c r="C1020" s="2" t="s">
        <v>3684</v>
      </c>
      <c r="D1020" s="2" t="s">
        <v>62</v>
      </c>
      <c r="E1020" s="2" t="n">
        <v>3</v>
      </c>
      <c r="F1020" s="4" t="n">
        <v>182.48</v>
      </c>
      <c r="G1020" s="2" t="s">
        <v>3685</v>
      </c>
      <c r="H1020" s="2" t="s">
        <v>69</v>
      </c>
      <c r="I1020" s="2" t="s">
        <v>54</v>
      </c>
      <c r="J1020" s="2" t="s">
        <v>3686</v>
      </c>
      <c r="K1020" s="2" t="n">
        <v>3</v>
      </c>
      <c r="L1020" s="2"/>
      <c r="M1020" s="2" t="s">
        <v>26</v>
      </c>
      <c r="N1020" s="4" t="n">
        <v>547.44</v>
      </c>
      <c r="O1020" s="2" t="str">
        <f aca="false">IF(COUNTIF($A$2:$A$1201,A1020)&gt;1,"DUPLICATE","Unique")</f>
        <v>Unique</v>
      </c>
      <c r="P1020" s="2" t="str">
        <f aca="false">IF(L1020="","MISSING","OK")</f>
        <v>MISSING</v>
      </c>
      <c r="Q1020" s="2" t="str">
        <f aca="false">IF(ISNUMBER(B1020),"OK","BAD DATE")</f>
        <v>OK</v>
      </c>
      <c r="R1020" s="2" t="str">
        <f aca="false">IF(ROUND(F1020,2)=F1020,"OK","FIX")</f>
        <v>OK</v>
      </c>
    </row>
    <row r="1021" customFormat="false" ht="15" hidden="false" customHeight="false" outlineLevel="0" collapsed="false">
      <c r="A1021" s="2" t="s">
        <v>3687</v>
      </c>
      <c r="B1021" s="3" t="n">
        <v>45388</v>
      </c>
      <c r="C1021" s="2" t="s">
        <v>3688</v>
      </c>
      <c r="D1021" s="2" t="s">
        <v>77</v>
      </c>
      <c r="E1021" s="2" t="n">
        <v>1</v>
      </c>
      <c r="F1021" s="4" t="n">
        <v>277.09</v>
      </c>
      <c r="G1021" s="2" t="s">
        <v>1352</v>
      </c>
      <c r="H1021" s="2" t="s">
        <v>69</v>
      </c>
      <c r="I1021" s="2" t="s">
        <v>47</v>
      </c>
      <c r="J1021" s="2" t="s">
        <v>3689</v>
      </c>
      <c r="K1021" s="2" t="n">
        <v>2</v>
      </c>
      <c r="L1021" s="2" t="s">
        <v>25</v>
      </c>
      <c r="M1021" s="2" t="s">
        <v>33</v>
      </c>
      <c r="N1021" s="4" t="n">
        <v>277.09</v>
      </c>
      <c r="O1021" s="2" t="str">
        <f aca="false">IF(COUNTIF($A$2:$A$1201,A1021)&gt;1,"DUPLICATE","Unique")</f>
        <v>Unique</v>
      </c>
      <c r="P1021" s="2" t="str">
        <f aca="false">IF(L1021="","MISSING","OK")</f>
        <v>OK</v>
      </c>
      <c r="Q1021" s="2" t="str">
        <f aca="false">IF(ISNUMBER(B1021),"OK","BAD DATE")</f>
        <v>OK</v>
      </c>
      <c r="R1021" s="2" t="str">
        <f aca="false">IF(ROUND(F1021,2)=F1021,"OK","FIX")</f>
        <v>OK</v>
      </c>
    </row>
    <row r="1022" customFormat="false" ht="15" hidden="false" customHeight="false" outlineLevel="0" collapsed="false">
      <c r="A1022" s="2" t="s">
        <v>3690</v>
      </c>
      <c r="B1022" s="3" t="n">
        <v>45404</v>
      </c>
      <c r="C1022" s="2" t="s">
        <v>3691</v>
      </c>
      <c r="D1022" s="2" t="s">
        <v>36</v>
      </c>
      <c r="E1022" s="2" t="n">
        <v>2</v>
      </c>
      <c r="F1022" s="4" t="n">
        <v>26.5</v>
      </c>
      <c r="G1022" s="2" t="s">
        <v>1435</v>
      </c>
      <c r="H1022" s="2" t="s">
        <v>31</v>
      </c>
      <c r="I1022" s="2" t="s">
        <v>54</v>
      </c>
      <c r="J1022" s="2" t="s">
        <v>3692</v>
      </c>
      <c r="K1022" s="2" t="n">
        <v>3</v>
      </c>
      <c r="L1022" s="2" t="s">
        <v>25</v>
      </c>
      <c r="M1022" s="2" t="s">
        <v>26</v>
      </c>
      <c r="N1022" s="4" t="n">
        <v>53</v>
      </c>
      <c r="O1022" s="2" t="str">
        <f aca="false">IF(COUNTIF($A$2:$A$1201,A1022)&gt;1,"DUPLICATE","Unique")</f>
        <v>Unique</v>
      </c>
      <c r="P1022" s="2" t="str">
        <f aca="false">IF(L1022="","MISSING","OK")</f>
        <v>OK</v>
      </c>
      <c r="Q1022" s="2" t="str">
        <f aca="false">IF(ISNUMBER(B1022),"OK","BAD DATE")</f>
        <v>OK</v>
      </c>
      <c r="R1022" s="2" t="str">
        <f aca="false">IF(ROUND(F1022,2)=F1022,"OK","FIX")</f>
        <v>OK</v>
      </c>
    </row>
    <row r="1023" customFormat="false" ht="15" hidden="false" customHeight="false" outlineLevel="0" collapsed="false">
      <c r="A1023" s="2" t="s">
        <v>3693</v>
      </c>
      <c r="B1023" s="3" t="n">
        <v>45222</v>
      </c>
      <c r="C1023" s="2" t="s">
        <v>3694</v>
      </c>
      <c r="D1023" s="2" t="s">
        <v>29</v>
      </c>
      <c r="E1023" s="2" t="n">
        <v>3</v>
      </c>
      <c r="F1023" s="4" t="n">
        <v>315.27</v>
      </c>
      <c r="G1023" s="2" t="s">
        <v>3196</v>
      </c>
      <c r="H1023" s="2" t="s">
        <v>38</v>
      </c>
      <c r="I1023" s="2" t="s">
        <v>39</v>
      </c>
      <c r="J1023" s="2" t="s">
        <v>3695</v>
      </c>
      <c r="K1023" s="2" t="n">
        <v>4</v>
      </c>
      <c r="L1023" s="2" t="s">
        <v>25</v>
      </c>
      <c r="M1023" s="2" t="s">
        <v>42</v>
      </c>
      <c r="N1023" s="4" t="n">
        <v>945.81</v>
      </c>
      <c r="O1023" s="2" t="str">
        <f aca="false">IF(COUNTIF($A$2:$A$1201,A1023)&gt;1,"DUPLICATE","Unique")</f>
        <v>Unique</v>
      </c>
      <c r="P1023" s="2" t="str">
        <f aca="false">IF(L1023="","MISSING","OK")</f>
        <v>OK</v>
      </c>
      <c r="Q1023" s="2" t="str">
        <f aca="false">IF(ISNUMBER(B1023),"OK","BAD DATE")</f>
        <v>OK</v>
      </c>
      <c r="R1023" s="2" t="str">
        <f aca="false">IF(ROUND(F1023,2)=F1023,"OK","FIX")</f>
        <v>OK</v>
      </c>
    </row>
    <row r="1024" customFormat="false" ht="15" hidden="false" customHeight="false" outlineLevel="0" collapsed="false">
      <c r="A1024" s="2" t="s">
        <v>3696</v>
      </c>
      <c r="B1024" s="3" t="n">
        <v>45712</v>
      </c>
      <c r="C1024" s="2" t="s">
        <v>3697</v>
      </c>
      <c r="D1024" s="2" t="s">
        <v>36</v>
      </c>
      <c r="E1024" s="2" t="n">
        <v>3</v>
      </c>
      <c r="F1024" s="4" t="n">
        <v>450.98</v>
      </c>
      <c r="G1024" s="2" t="s">
        <v>2583</v>
      </c>
      <c r="H1024" s="2" t="s">
        <v>38</v>
      </c>
      <c r="I1024" s="2" t="s">
        <v>23</v>
      </c>
      <c r="J1024" s="2" t="s">
        <v>3698</v>
      </c>
      <c r="K1024" s="2" t="n">
        <v>8</v>
      </c>
      <c r="L1024" s="2" t="s">
        <v>25</v>
      </c>
      <c r="M1024" s="2" t="s">
        <v>33</v>
      </c>
      <c r="N1024" s="4" t="n">
        <v>1352.94</v>
      </c>
      <c r="O1024" s="2" t="str">
        <f aca="false">IF(COUNTIF($A$2:$A$1201,A1024)&gt;1,"DUPLICATE","Unique")</f>
        <v>Unique</v>
      </c>
      <c r="P1024" s="2" t="str">
        <f aca="false">IF(L1024="","MISSING","OK")</f>
        <v>OK</v>
      </c>
      <c r="Q1024" s="2" t="str">
        <f aca="false">IF(ISNUMBER(B1024),"OK","BAD DATE")</f>
        <v>OK</v>
      </c>
      <c r="R1024" s="2" t="str">
        <f aca="false">IF(ROUND(F1024,2)=F1024,"OK","FIX")</f>
        <v>OK</v>
      </c>
    </row>
    <row r="1025" customFormat="false" ht="15" hidden="false" customHeight="false" outlineLevel="0" collapsed="false">
      <c r="A1025" s="2" t="s">
        <v>3699</v>
      </c>
      <c r="B1025" s="3" t="n">
        <v>45558</v>
      </c>
      <c r="C1025" s="2" t="s">
        <v>3700</v>
      </c>
      <c r="D1025" s="2" t="s">
        <v>62</v>
      </c>
      <c r="E1025" s="2" t="n">
        <v>5</v>
      </c>
      <c r="F1025" s="4" t="n">
        <v>233.67</v>
      </c>
      <c r="G1025" s="2" t="s">
        <v>395</v>
      </c>
      <c r="H1025" s="2" t="s">
        <v>69</v>
      </c>
      <c r="I1025" s="2" t="s">
        <v>23</v>
      </c>
      <c r="J1025" s="2" t="s">
        <v>3701</v>
      </c>
      <c r="K1025" s="2" t="n">
        <v>10</v>
      </c>
      <c r="L1025" s="2"/>
      <c r="M1025" s="2" t="s">
        <v>33</v>
      </c>
      <c r="N1025" s="4" t="n">
        <v>1168.35</v>
      </c>
      <c r="O1025" s="2" t="str">
        <f aca="false">IF(COUNTIF($A$2:$A$1201,A1025)&gt;1,"DUPLICATE","Unique")</f>
        <v>Unique</v>
      </c>
      <c r="P1025" s="2" t="str">
        <f aca="false">IF(L1025="","MISSING","OK")</f>
        <v>MISSING</v>
      </c>
      <c r="Q1025" s="2" t="str">
        <f aca="false">IF(ISNUMBER(B1025),"OK","BAD DATE")</f>
        <v>OK</v>
      </c>
      <c r="R1025" s="2" t="str">
        <f aca="false">IF(ROUND(F1025,2)=F1025,"OK","FIX")</f>
        <v>OK</v>
      </c>
    </row>
    <row r="1026" customFormat="false" ht="15" hidden="false" customHeight="false" outlineLevel="0" collapsed="false">
      <c r="A1026" s="2" t="s">
        <v>3702</v>
      </c>
      <c r="B1026" s="3" t="n">
        <v>45320</v>
      </c>
      <c r="C1026" s="2" t="s">
        <v>3703</v>
      </c>
      <c r="D1026" s="2" t="s">
        <v>45</v>
      </c>
      <c r="E1026" s="2" t="n">
        <v>3</v>
      </c>
      <c r="F1026" s="4" t="n">
        <v>367.75</v>
      </c>
      <c r="G1026" s="2" t="s">
        <v>1790</v>
      </c>
      <c r="H1026" s="2" t="s">
        <v>69</v>
      </c>
      <c r="I1026" s="2" t="s">
        <v>93</v>
      </c>
      <c r="J1026" s="2" t="s">
        <v>3704</v>
      </c>
      <c r="K1026" s="2" t="n">
        <v>7</v>
      </c>
      <c r="L1026" s="2" t="s">
        <v>41</v>
      </c>
      <c r="M1026" s="2" t="s">
        <v>49</v>
      </c>
      <c r="N1026" s="4" t="n">
        <v>1103.25</v>
      </c>
      <c r="O1026" s="2" t="str">
        <f aca="false">IF(COUNTIF($A$2:$A$1201,A1026)&gt;1,"DUPLICATE","Unique")</f>
        <v>Unique</v>
      </c>
      <c r="P1026" s="2" t="str">
        <f aca="false">IF(L1026="","MISSING","OK")</f>
        <v>OK</v>
      </c>
      <c r="Q1026" s="2" t="str">
        <f aca="false">IF(ISNUMBER(B1026),"OK","BAD DATE")</f>
        <v>OK</v>
      </c>
      <c r="R1026" s="2" t="str">
        <f aca="false">IF(ROUND(F1026,2)=F1026,"OK","FIX")</f>
        <v>OK</v>
      </c>
    </row>
    <row r="1027" customFormat="false" ht="15" hidden="false" customHeight="false" outlineLevel="0" collapsed="false">
      <c r="A1027" s="2" t="s">
        <v>3705</v>
      </c>
      <c r="B1027" s="3" t="n">
        <v>45794</v>
      </c>
      <c r="C1027" s="2" t="s">
        <v>3706</v>
      </c>
      <c r="D1027" s="2" t="s">
        <v>45</v>
      </c>
      <c r="E1027" s="2" t="n">
        <v>1</v>
      </c>
      <c r="F1027" s="4" t="n">
        <v>23.53</v>
      </c>
      <c r="G1027" s="2" t="s">
        <v>630</v>
      </c>
      <c r="H1027" s="2" t="s">
        <v>64</v>
      </c>
      <c r="I1027" s="2" t="s">
        <v>54</v>
      </c>
      <c r="J1027" s="2" t="s">
        <v>3707</v>
      </c>
      <c r="K1027" s="2" t="n">
        <v>2</v>
      </c>
      <c r="L1027" s="2" t="s">
        <v>41</v>
      </c>
      <c r="M1027" s="2" t="s">
        <v>26</v>
      </c>
      <c r="N1027" s="4" t="n">
        <v>23.53</v>
      </c>
      <c r="O1027" s="2" t="str">
        <f aca="false">IF(COUNTIF($A$2:$A$1201,A1027)&gt;1,"DUPLICATE","Unique")</f>
        <v>Unique</v>
      </c>
      <c r="P1027" s="2" t="str">
        <f aca="false">IF(L1027="","MISSING","OK")</f>
        <v>OK</v>
      </c>
      <c r="Q1027" s="2" t="str">
        <f aca="false">IF(ISNUMBER(B1027),"OK","BAD DATE")</f>
        <v>OK</v>
      </c>
      <c r="R1027" s="2" t="str">
        <f aca="false">IF(ROUND(F1027,2)=F1027,"OK","FIX")</f>
        <v>OK</v>
      </c>
    </row>
    <row r="1028" customFormat="false" ht="15" hidden="false" customHeight="false" outlineLevel="0" collapsed="false">
      <c r="A1028" s="2" t="s">
        <v>3708</v>
      </c>
      <c r="B1028" s="3" t="n">
        <v>45047</v>
      </c>
      <c r="C1028" s="2" t="s">
        <v>3709</v>
      </c>
      <c r="D1028" s="2" t="s">
        <v>20</v>
      </c>
      <c r="E1028" s="2" t="n">
        <v>1</v>
      </c>
      <c r="F1028" s="4" t="n">
        <v>677.48</v>
      </c>
      <c r="G1028" s="2" t="s">
        <v>510</v>
      </c>
      <c r="H1028" s="2" t="s">
        <v>31</v>
      </c>
      <c r="I1028" s="2" t="s">
        <v>54</v>
      </c>
      <c r="J1028" s="2" t="s">
        <v>3710</v>
      </c>
      <c r="K1028" s="2" t="n">
        <v>1</v>
      </c>
      <c r="L1028" s="2" t="s">
        <v>85</v>
      </c>
      <c r="M1028" s="2" t="s">
        <v>49</v>
      </c>
      <c r="N1028" s="4" t="n">
        <v>677.48</v>
      </c>
      <c r="O1028" s="2" t="str">
        <f aca="false">IF(COUNTIF($A$2:$A$1201,A1028)&gt;1,"DUPLICATE","Unique")</f>
        <v>Unique</v>
      </c>
      <c r="P1028" s="2" t="str">
        <f aca="false">IF(L1028="","MISSING","OK")</f>
        <v>OK</v>
      </c>
      <c r="Q1028" s="2" t="str">
        <f aca="false">IF(ISNUMBER(B1028),"OK","BAD DATE")</f>
        <v>OK</v>
      </c>
      <c r="R1028" s="2" t="str">
        <f aca="false">IF(ROUND(F1028,2)=F1028,"OK","FIX")</f>
        <v>OK</v>
      </c>
    </row>
    <row r="1029" customFormat="false" ht="15" hidden="false" customHeight="false" outlineLevel="0" collapsed="false">
      <c r="A1029" s="2" t="s">
        <v>3711</v>
      </c>
      <c r="B1029" s="3" t="n">
        <v>45433</v>
      </c>
      <c r="C1029" s="2" t="s">
        <v>3712</v>
      </c>
      <c r="D1029" s="2" t="s">
        <v>62</v>
      </c>
      <c r="E1029" s="2" t="n">
        <v>4</v>
      </c>
      <c r="F1029" s="4" t="n">
        <v>554.83</v>
      </c>
      <c r="G1029" s="2" t="s">
        <v>2802</v>
      </c>
      <c r="H1029" s="2" t="s">
        <v>69</v>
      </c>
      <c r="I1029" s="2" t="s">
        <v>47</v>
      </c>
      <c r="J1029" s="2" t="s">
        <v>3713</v>
      </c>
      <c r="K1029" s="2" t="n">
        <v>6</v>
      </c>
      <c r="L1029" s="2"/>
      <c r="M1029" s="2" t="s">
        <v>80</v>
      </c>
      <c r="N1029" s="4" t="n">
        <v>2219.32</v>
      </c>
      <c r="O1029" s="2" t="str">
        <f aca="false">IF(COUNTIF($A$2:$A$1201,A1029)&gt;1,"DUPLICATE","Unique")</f>
        <v>Unique</v>
      </c>
      <c r="P1029" s="2" t="str">
        <f aca="false">IF(L1029="","MISSING","OK")</f>
        <v>MISSING</v>
      </c>
      <c r="Q1029" s="2" t="str">
        <f aca="false">IF(ISNUMBER(B1029),"OK","BAD DATE")</f>
        <v>OK</v>
      </c>
      <c r="R1029" s="2" t="str">
        <f aca="false">IF(ROUND(F1029,2)=F1029,"OK","FIX")</f>
        <v>OK</v>
      </c>
    </row>
    <row r="1030" customFormat="false" ht="15" hidden="false" customHeight="false" outlineLevel="0" collapsed="false">
      <c r="A1030" s="2" t="s">
        <v>3714</v>
      </c>
      <c r="B1030" s="3" t="n">
        <v>44974</v>
      </c>
      <c r="C1030" s="2" t="s">
        <v>3715</v>
      </c>
      <c r="D1030" s="2" t="s">
        <v>77</v>
      </c>
      <c r="E1030" s="2" t="n">
        <v>4</v>
      </c>
      <c r="F1030" s="4" t="n">
        <v>440.31</v>
      </c>
      <c r="G1030" s="2" t="s">
        <v>941</v>
      </c>
      <c r="H1030" s="2" t="s">
        <v>69</v>
      </c>
      <c r="I1030" s="2" t="s">
        <v>39</v>
      </c>
      <c r="J1030" s="2" t="s">
        <v>3716</v>
      </c>
      <c r="K1030" s="2" t="n">
        <v>6</v>
      </c>
      <c r="L1030" s="2"/>
      <c r="M1030" s="2" t="s">
        <v>26</v>
      </c>
      <c r="N1030" s="4" t="n">
        <v>1761.24</v>
      </c>
      <c r="O1030" s="2" t="str">
        <f aca="false">IF(COUNTIF($A$2:$A$1201,A1030)&gt;1,"DUPLICATE","Unique")</f>
        <v>Unique</v>
      </c>
      <c r="P1030" s="2" t="str">
        <f aca="false">IF(L1030="","MISSING","OK")</f>
        <v>MISSING</v>
      </c>
      <c r="Q1030" s="2" t="str">
        <f aca="false">IF(ISNUMBER(B1030),"OK","BAD DATE")</f>
        <v>OK</v>
      </c>
      <c r="R1030" s="2" t="str">
        <f aca="false">IF(ROUND(F1030,2)=F1030,"OK","FIX")</f>
        <v>OK</v>
      </c>
    </row>
    <row r="1031" customFormat="false" ht="15" hidden="false" customHeight="false" outlineLevel="0" collapsed="false">
      <c r="A1031" s="2" t="s">
        <v>3717</v>
      </c>
      <c r="B1031" s="3" t="n">
        <v>45717</v>
      </c>
      <c r="C1031" s="2" t="s">
        <v>3718</v>
      </c>
      <c r="D1031" s="2" t="s">
        <v>77</v>
      </c>
      <c r="E1031" s="2" t="n">
        <v>1</v>
      </c>
      <c r="F1031" s="4" t="n">
        <v>87.06</v>
      </c>
      <c r="G1031" s="2" t="s">
        <v>3487</v>
      </c>
      <c r="H1031" s="2" t="s">
        <v>38</v>
      </c>
      <c r="I1031" s="2" t="s">
        <v>23</v>
      </c>
      <c r="J1031" s="2" t="s">
        <v>3719</v>
      </c>
      <c r="K1031" s="2" t="n">
        <v>4</v>
      </c>
      <c r="L1031" s="2" t="s">
        <v>41</v>
      </c>
      <c r="M1031" s="2" t="s">
        <v>42</v>
      </c>
      <c r="N1031" s="4" t="n">
        <v>87.06</v>
      </c>
      <c r="O1031" s="2" t="str">
        <f aca="false">IF(COUNTIF($A$2:$A$1201,A1031)&gt;1,"DUPLICATE","Unique")</f>
        <v>Unique</v>
      </c>
      <c r="P1031" s="2" t="str">
        <f aca="false">IF(L1031="","MISSING","OK")</f>
        <v>OK</v>
      </c>
      <c r="Q1031" s="2" t="str">
        <f aca="false">IF(ISNUMBER(B1031),"OK","BAD DATE")</f>
        <v>OK</v>
      </c>
      <c r="R1031" s="2" t="str">
        <f aca="false">IF(ROUND(F1031,2)=F1031,"OK","FIX")</f>
        <v>OK</v>
      </c>
    </row>
    <row r="1032" customFormat="false" ht="15" hidden="false" customHeight="false" outlineLevel="0" collapsed="false">
      <c r="A1032" s="2" t="s">
        <v>3720</v>
      </c>
      <c r="B1032" s="3" t="n">
        <v>45201</v>
      </c>
      <c r="C1032" s="2" t="s">
        <v>3721</v>
      </c>
      <c r="D1032" s="2" t="s">
        <v>29</v>
      </c>
      <c r="E1032" s="2" t="n">
        <v>4</v>
      </c>
      <c r="F1032" s="4" t="n">
        <v>245.28</v>
      </c>
      <c r="G1032" s="2" t="s">
        <v>3722</v>
      </c>
      <c r="H1032" s="2" t="s">
        <v>38</v>
      </c>
      <c r="I1032" s="2" t="s">
        <v>54</v>
      </c>
      <c r="J1032" s="2" t="s">
        <v>3723</v>
      </c>
      <c r="K1032" s="2" t="n">
        <v>6</v>
      </c>
      <c r="L1032" s="2" t="s">
        <v>85</v>
      </c>
      <c r="M1032" s="2" t="s">
        <v>42</v>
      </c>
      <c r="N1032" s="4" t="n">
        <v>981.12</v>
      </c>
      <c r="O1032" s="2" t="str">
        <f aca="false">IF(COUNTIF($A$2:$A$1201,A1032)&gt;1,"DUPLICATE","Unique")</f>
        <v>Unique</v>
      </c>
      <c r="P1032" s="2" t="str">
        <f aca="false">IF(L1032="","MISSING","OK")</f>
        <v>OK</v>
      </c>
      <c r="Q1032" s="2" t="str">
        <f aca="false">IF(ISNUMBER(B1032),"OK","BAD DATE")</f>
        <v>OK</v>
      </c>
      <c r="R1032" s="2" t="str">
        <f aca="false">IF(ROUND(F1032,2)=F1032,"OK","FIX")</f>
        <v>OK</v>
      </c>
    </row>
    <row r="1033" customFormat="false" ht="15" hidden="false" customHeight="false" outlineLevel="0" collapsed="false">
      <c r="A1033" s="2" t="s">
        <v>3724</v>
      </c>
      <c r="B1033" s="3" t="n">
        <v>44985</v>
      </c>
      <c r="C1033" s="2" t="s">
        <v>3725</v>
      </c>
      <c r="D1033" s="2" t="s">
        <v>29</v>
      </c>
      <c r="E1033" s="2" t="n">
        <v>5</v>
      </c>
      <c r="F1033" s="4" t="n">
        <v>664.51</v>
      </c>
      <c r="G1033" s="2" t="s">
        <v>3726</v>
      </c>
      <c r="H1033" s="2" t="s">
        <v>22</v>
      </c>
      <c r="I1033" s="2" t="s">
        <v>93</v>
      </c>
      <c r="J1033" s="2" t="s">
        <v>3727</v>
      </c>
      <c r="K1033" s="2" t="n">
        <v>8</v>
      </c>
      <c r="L1033" s="2" t="s">
        <v>25</v>
      </c>
      <c r="M1033" s="2" t="s">
        <v>42</v>
      </c>
      <c r="N1033" s="4" t="n">
        <v>3322.55</v>
      </c>
      <c r="O1033" s="2" t="str">
        <f aca="false">IF(COUNTIF($A$2:$A$1201,A1033)&gt;1,"DUPLICATE","Unique")</f>
        <v>Unique</v>
      </c>
      <c r="P1033" s="2" t="str">
        <f aca="false">IF(L1033="","MISSING","OK")</f>
        <v>OK</v>
      </c>
      <c r="Q1033" s="2" t="str">
        <f aca="false">IF(ISNUMBER(B1033),"OK","BAD DATE")</f>
        <v>OK</v>
      </c>
      <c r="R1033" s="2" t="str">
        <f aca="false">IF(ROUND(F1033,2)=F1033,"OK","FIX")</f>
        <v>OK</v>
      </c>
    </row>
    <row r="1034" customFormat="false" ht="15" hidden="false" customHeight="false" outlineLevel="0" collapsed="false">
      <c r="A1034" s="2" t="s">
        <v>3728</v>
      </c>
      <c r="B1034" s="3" t="n">
        <v>45036</v>
      </c>
      <c r="C1034" s="2" t="s">
        <v>3729</v>
      </c>
      <c r="D1034" s="2" t="s">
        <v>45</v>
      </c>
      <c r="E1034" s="2" t="n">
        <v>1</v>
      </c>
      <c r="F1034" s="4" t="n">
        <v>618.68</v>
      </c>
      <c r="G1034" s="2" t="s">
        <v>1137</v>
      </c>
      <c r="H1034" s="2" t="s">
        <v>31</v>
      </c>
      <c r="I1034" s="2" t="s">
        <v>54</v>
      </c>
      <c r="J1034" s="2" t="s">
        <v>3730</v>
      </c>
      <c r="K1034" s="2" t="n">
        <v>6</v>
      </c>
      <c r="L1034" s="2" t="s">
        <v>85</v>
      </c>
      <c r="M1034" s="2" t="s">
        <v>33</v>
      </c>
      <c r="N1034" s="4" t="n">
        <v>618.68</v>
      </c>
      <c r="O1034" s="2" t="str">
        <f aca="false">IF(COUNTIF($A$2:$A$1201,A1034)&gt;1,"DUPLICATE","Unique")</f>
        <v>Unique</v>
      </c>
      <c r="P1034" s="2" t="str">
        <f aca="false">IF(L1034="","MISSING","OK")</f>
        <v>OK</v>
      </c>
      <c r="Q1034" s="2" t="str">
        <f aca="false">IF(ISNUMBER(B1034),"OK","BAD DATE")</f>
        <v>OK</v>
      </c>
      <c r="R1034" s="2" t="str">
        <f aca="false">IF(ROUND(F1034,2)=F1034,"OK","FIX")</f>
        <v>OK</v>
      </c>
    </row>
    <row r="1035" customFormat="false" ht="15" hidden="false" customHeight="false" outlineLevel="0" collapsed="false">
      <c r="A1035" s="2" t="s">
        <v>3731</v>
      </c>
      <c r="B1035" s="3" t="n">
        <v>45650</v>
      </c>
      <c r="C1035" s="2" t="s">
        <v>3732</v>
      </c>
      <c r="D1035" s="2" t="s">
        <v>20</v>
      </c>
      <c r="E1035" s="2" t="n">
        <v>1</v>
      </c>
      <c r="F1035" s="4" t="n">
        <v>370.85</v>
      </c>
      <c r="G1035" s="2" t="s">
        <v>3733</v>
      </c>
      <c r="H1035" s="2" t="s">
        <v>64</v>
      </c>
      <c r="I1035" s="2" t="s">
        <v>54</v>
      </c>
      <c r="J1035" s="2" t="s">
        <v>3734</v>
      </c>
      <c r="K1035" s="2" t="n">
        <v>2</v>
      </c>
      <c r="L1035" s="2" t="s">
        <v>41</v>
      </c>
      <c r="M1035" s="2" t="s">
        <v>33</v>
      </c>
      <c r="N1035" s="4" t="n">
        <v>370.85</v>
      </c>
      <c r="O1035" s="2" t="str">
        <f aca="false">IF(COUNTIF($A$2:$A$1201,A1035)&gt;1,"DUPLICATE","Unique")</f>
        <v>Unique</v>
      </c>
      <c r="P1035" s="2" t="str">
        <f aca="false">IF(L1035="","MISSING","OK")</f>
        <v>OK</v>
      </c>
      <c r="Q1035" s="2" t="str">
        <f aca="false">IF(ISNUMBER(B1035),"OK","BAD DATE")</f>
        <v>OK</v>
      </c>
      <c r="R1035" s="2" t="str">
        <f aca="false">IF(ROUND(F1035,2)=F1035,"OK","FIX")</f>
        <v>OK</v>
      </c>
    </row>
    <row r="1036" customFormat="false" ht="15" hidden="false" customHeight="false" outlineLevel="0" collapsed="false">
      <c r="A1036" s="2" t="s">
        <v>3735</v>
      </c>
      <c r="B1036" s="3" t="n">
        <v>45459</v>
      </c>
      <c r="C1036" s="2" t="s">
        <v>3736</v>
      </c>
      <c r="D1036" s="2" t="s">
        <v>52</v>
      </c>
      <c r="E1036" s="2" t="n">
        <v>4</v>
      </c>
      <c r="F1036" s="4" t="n">
        <v>517.98</v>
      </c>
      <c r="G1036" s="2" t="s">
        <v>3737</v>
      </c>
      <c r="H1036" s="2" t="s">
        <v>69</v>
      </c>
      <c r="I1036" s="2" t="s">
        <v>39</v>
      </c>
      <c r="J1036" s="2" t="s">
        <v>3738</v>
      </c>
      <c r="K1036" s="2" t="n">
        <v>8</v>
      </c>
      <c r="L1036" s="2" t="s">
        <v>41</v>
      </c>
      <c r="M1036" s="2" t="s">
        <v>49</v>
      </c>
      <c r="N1036" s="4" t="n">
        <v>2071.92</v>
      </c>
      <c r="O1036" s="2" t="str">
        <f aca="false">IF(COUNTIF($A$2:$A$1201,A1036)&gt;1,"DUPLICATE","Unique")</f>
        <v>Unique</v>
      </c>
      <c r="P1036" s="2" t="str">
        <f aca="false">IF(L1036="","MISSING","OK")</f>
        <v>OK</v>
      </c>
      <c r="Q1036" s="2" t="str">
        <f aca="false">IF(ISNUMBER(B1036),"OK","BAD DATE")</f>
        <v>OK</v>
      </c>
      <c r="R1036" s="2" t="str">
        <f aca="false">IF(ROUND(F1036,2)=F1036,"OK","FIX")</f>
        <v>OK</v>
      </c>
    </row>
    <row r="1037" customFormat="false" ht="15" hidden="false" customHeight="false" outlineLevel="0" collapsed="false">
      <c r="A1037" s="2" t="s">
        <v>3739</v>
      </c>
      <c r="B1037" s="3" t="n">
        <v>45242</v>
      </c>
      <c r="C1037" s="2" t="s">
        <v>3740</v>
      </c>
      <c r="D1037" s="2" t="s">
        <v>62</v>
      </c>
      <c r="E1037" s="2" t="n">
        <v>4</v>
      </c>
      <c r="F1037" s="4" t="n">
        <v>506.11</v>
      </c>
      <c r="G1037" s="2" t="s">
        <v>3741</v>
      </c>
      <c r="H1037" s="2" t="s">
        <v>69</v>
      </c>
      <c r="I1037" s="2" t="s">
        <v>39</v>
      </c>
      <c r="J1037" s="2" t="s">
        <v>3742</v>
      </c>
      <c r="K1037" s="2" t="n">
        <v>5</v>
      </c>
      <c r="L1037" s="2"/>
      <c r="M1037" s="2" t="s">
        <v>33</v>
      </c>
      <c r="N1037" s="4" t="n">
        <v>2024.44</v>
      </c>
      <c r="O1037" s="2" t="str">
        <f aca="false">IF(COUNTIF($A$2:$A$1201,A1037)&gt;1,"DUPLICATE","Unique")</f>
        <v>Unique</v>
      </c>
      <c r="P1037" s="2" t="str">
        <f aca="false">IF(L1037="","MISSING","OK")</f>
        <v>MISSING</v>
      </c>
      <c r="Q1037" s="2" t="str">
        <f aca="false">IF(ISNUMBER(B1037),"OK","BAD DATE")</f>
        <v>OK</v>
      </c>
      <c r="R1037" s="2" t="str">
        <f aca="false">IF(ROUND(F1037,2)=F1037,"OK","FIX")</f>
        <v>OK</v>
      </c>
    </row>
    <row r="1038" customFormat="false" ht="15" hidden="false" customHeight="false" outlineLevel="0" collapsed="false">
      <c r="A1038" s="2" t="s">
        <v>3743</v>
      </c>
      <c r="B1038" s="3" t="n">
        <v>45443</v>
      </c>
      <c r="C1038" s="2" t="s">
        <v>3744</v>
      </c>
      <c r="D1038" s="2" t="s">
        <v>29</v>
      </c>
      <c r="E1038" s="2" t="n">
        <v>3</v>
      </c>
      <c r="F1038" s="4" t="n">
        <v>413.83</v>
      </c>
      <c r="G1038" s="2" t="s">
        <v>316</v>
      </c>
      <c r="H1038" s="2" t="s">
        <v>64</v>
      </c>
      <c r="I1038" s="2" t="s">
        <v>23</v>
      </c>
      <c r="J1038" s="2" t="s">
        <v>3745</v>
      </c>
      <c r="K1038" s="2" t="n">
        <v>8</v>
      </c>
      <c r="L1038" s="2" t="s">
        <v>25</v>
      </c>
      <c r="M1038" s="2" t="s">
        <v>49</v>
      </c>
      <c r="N1038" s="4" t="n">
        <v>1241.49</v>
      </c>
      <c r="O1038" s="2" t="str">
        <f aca="false">IF(COUNTIF($A$2:$A$1201,A1038)&gt;1,"DUPLICATE","Unique")</f>
        <v>Unique</v>
      </c>
      <c r="P1038" s="2" t="str">
        <f aca="false">IF(L1038="","MISSING","OK")</f>
        <v>OK</v>
      </c>
      <c r="Q1038" s="2" t="str">
        <f aca="false">IF(ISNUMBER(B1038),"OK","BAD DATE")</f>
        <v>OK</v>
      </c>
      <c r="R1038" s="2" t="str">
        <f aca="false">IF(ROUND(F1038,2)=F1038,"OK","FIX")</f>
        <v>OK</v>
      </c>
    </row>
    <row r="1039" customFormat="false" ht="15" hidden="false" customHeight="false" outlineLevel="0" collapsed="false">
      <c r="A1039" s="2" t="s">
        <v>3746</v>
      </c>
      <c r="B1039" s="3" t="n">
        <v>45273</v>
      </c>
      <c r="C1039" s="2" t="s">
        <v>3747</v>
      </c>
      <c r="D1039" s="2" t="s">
        <v>52</v>
      </c>
      <c r="E1039" s="2" t="n">
        <v>1</v>
      </c>
      <c r="F1039" s="4" t="n">
        <v>249.81</v>
      </c>
      <c r="G1039" s="2" t="s">
        <v>2569</v>
      </c>
      <c r="H1039" s="2" t="s">
        <v>69</v>
      </c>
      <c r="I1039" s="2" t="s">
        <v>93</v>
      </c>
      <c r="J1039" s="2" t="s">
        <v>3748</v>
      </c>
      <c r="K1039" s="2" t="n">
        <v>1</v>
      </c>
      <c r="L1039" s="2" t="s">
        <v>25</v>
      </c>
      <c r="M1039" s="2" t="s">
        <v>80</v>
      </c>
      <c r="N1039" s="4" t="n">
        <v>249.81</v>
      </c>
      <c r="O1039" s="2" t="str">
        <f aca="false">IF(COUNTIF($A$2:$A$1201,A1039)&gt;1,"DUPLICATE","Unique")</f>
        <v>Unique</v>
      </c>
      <c r="P1039" s="2" t="str">
        <f aca="false">IF(L1039="","MISSING","OK")</f>
        <v>OK</v>
      </c>
      <c r="Q1039" s="2" t="str">
        <f aca="false">IF(ISNUMBER(B1039),"OK","BAD DATE")</f>
        <v>OK</v>
      </c>
      <c r="R1039" s="2" t="str">
        <f aca="false">IF(ROUND(F1039,2)=F1039,"OK","FIX")</f>
        <v>OK</v>
      </c>
    </row>
    <row r="1040" customFormat="false" ht="15" hidden="false" customHeight="false" outlineLevel="0" collapsed="false">
      <c r="A1040" s="2" t="s">
        <v>3749</v>
      </c>
      <c r="B1040" s="3" t="n">
        <v>45731</v>
      </c>
      <c r="C1040" s="2" t="s">
        <v>3750</v>
      </c>
      <c r="D1040" s="2" t="s">
        <v>36</v>
      </c>
      <c r="E1040" s="2" t="n">
        <v>3</v>
      </c>
      <c r="F1040" s="4" t="n">
        <v>362.53</v>
      </c>
      <c r="G1040" s="2" t="s">
        <v>3751</v>
      </c>
      <c r="H1040" s="2" t="s">
        <v>22</v>
      </c>
      <c r="I1040" s="2" t="s">
        <v>47</v>
      </c>
      <c r="J1040" s="2" t="s">
        <v>3752</v>
      </c>
      <c r="K1040" s="2" t="n">
        <v>5</v>
      </c>
      <c r="L1040" s="2"/>
      <c r="M1040" s="2" t="s">
        <v>49</v>
      </c>
      <c r="N1040" s="4" t="n">
        <v>1087.59</v>
      </c>
      <c r="O1040" s="2" t="str">
        <f aca="false">IF(COUNTIF($A$2:$A$1201,A1040)&gt;1,"DUPLICATE","Unique")</f>
        <v>Unique</v>
      </c>
      <c r="P1040" s="2" t="str">
        <f aca="false">IF(L1040="","MISSING","OK")</f>
        <v>MISSING</v>
      </c>
      <c r="Q1040" s="2" t="str">
        <f aca="false">IF(ISNUMBER(B1040),"OK","BAD DATE")</f>
        <v>OK</v>
      </c>
      <c r="R1040" s="2" t="str">
        <f aca="false">IF(ROUND(F1040,2)=F1040,"OK","FIX")</f>
        <v>OK</v>
      </c>
    </row>
    <row r="1041" customFormat="false" ht="15" hidden="false" customHeight="false" outlineLevel="0" collapsed="false">
      <c r="A1041" s="2" t="s">
        <v>3753</v>
      </c>
      <c r="B1041" s="3" t="n">
        <v>45836</v>
      </c>
      <c r="C1041" s="2" t="s">
        <v>3754</v>
      </c>
      <c r="D1041" s="2" t="s">
        <v>77</v>
      </c>
      <c r="E1041" s="2" t="n">
        <v>2</v>
      </c>
      <c r="F1041" s="4" t="n">
        <v>299.23</v>
      </c>
      <c r="G1041" s="2" t="s">
        <v>3755</v>
      </c>
      <c r="H1041" s="2" t="s">
        <v>38</v>
      </c>
      <c r="I1041" s="2" t="s">
        <v>39</v>
      </c>
      <c r="J1041" s="2" t="s">
        <v>3756</v>
      </c>
      <c r="K1041" s="2" t="n">
        <v>2</v>
      </c>
      <c r="L1041" s="2" t="s">
        <v>85</v>
      </c>
      <c r="M1041" s="2" t="s">
        <v>26</v>
      </c>
      <c r="N1041" s="4" t="n">
        <v>598.46</v>
      </c>
      <c r="O1041" s="2" t="str">
        <f aca="false">IF(COUNTIF($A$2:$A$1201,A1041)&gt;1,"DUPLICATE","Unique")</f>
        <v>Unique</v>
      </c>
      <c r="P1041" s="2" t="str">
        <f aca="false">IF(L1041="","MISSING","OK")</f>
        <v>OK</v>
      </c>
      <c r="Q1041" s="2" t="str">
        <f aca="false">IF(ISNUMBER(B1041),"OK","BAD DATE")</f>
        <v>OK</v>
      </c>
      <c r="R1041" s="2" t="str">
        <f aca="false">IF(ROUND(F1041,2)=F1041,"OK","FIX")</f>
        <v>OK</v>
      </c>
    </row>
    <row r="1042" customFormat="false" ht="15" hidden="false" customHeight="false" outlineLevel="0" collapsed="false">
      <c r="A1042" s="2" t="s">
        <v>3757</v>
      </c>
      <c r="B1042" s="3" t="n">
        <v>45245</v>
      </c>
      <c r="C1042" s="2" t="s">
        <v>3758</v>
      </c>
      <c r="D1042" s="2" t="s">
        <v>36</v>
      </c>
      <c r="E1042" s="2" t="n">
        <v>1</v>
      </c>
      <c r="F1042" s="4" t="n">
        <v>536.07</v>
      </c>
      <c r="G1042" s="2" t="s">
        <v>2120</v>
      </c>
      <c r="H1042" s="2" t="s">
        <v>22</v>
      </c>
      <c r="I1042" s="2" t="s">
        <v>54</v>
      </c>
      <c r="J1042" s="2" t="s">
        <v>3759</v>
      </c>
      <c r="K1042" s="2" t="n">
        <v>5</v>
      </c>
      <c r="L1042" s="2" t="s">
        <v>41</v>
      </c>
      <c r="M1042" s="2" t="s">
        <v>80</v>
      </c>
      <c r="N1042" s="4" t="n">
        <v>536.07</v>
      </c>
      <c r="O1042" s="2" t="str">
        <f aca="false">IF(COUNTIF($A$2:$A$1201,A1042)&gt;1,"DUPLICATE","Unique")</f>
        <v>Unique</v>
      </c>
      <c r="P1042" s="2" t="str">
        <f aca="false">IF(L1042="","MISSING","OK")</f>
        <v>OK</v>
      </c>
      <c r="Q1042" s="2" t="str">
        <f aca="false">IF(ISNUMBER(B1042),"OK","BAD DATE")</f>
        <v>OK</v>
      </c>
      <c r="R1042" s="2" t="str">
        <f aca="false">IF(ROUND(F1042,2)=F1042,"OK","FIX")</f>
        <v>OK</v>
      </c>
    </row>
    <row r="1043" customFormat="false" ht="15" hidden="false" customHeight="false" outlineLevel="0" collapsed="false">
      <c r="A1043" s="2" t="s">
        <v>3760</v>
      </c>
      <c r="B1043" s="3" t="n">
        <v>44968</v>
      </c>
      <c r="C1043" s="2" t="s">
        <v>3761</v>
      </c>
      <c r="D1043" s="2" t="s">
        <v>20</v>
      </c>
      <c r="E1043" s="2" t="n">
        <v>4</v>
      </c>
      <c r="F1043" s="4" t="n">
        <v>558.9</v>
      </c>
      <c r="G1043" s="2" t="s">
        <v>933</v>
      </c>
      <c r="H1043" s="2" t="s">
        <v>64</v>
      </c>
      <c r="I1043" s="2" t="s">
        <v>23</v>
      </c>
      <c r="J1043" s="2" t="s">
        <v>3762</v>
      </c>
      <c r="K1043" s="2" t="n">
        <v>9</v>
      </c>
      <c r="L1043" s="2" t="s">
        <v>85</v>
      </c>
      <c r="M1043" s="2" t="s">
        <v>80</v>
      </c>
      <c r="N1043" s="4" t="n">
        <v>2235.6</v>
      </c>
      <c r="O1043" s="2" t="str">
        <f aca="false">IF(COUNTIF($A$2:$A$1201,A1043)&gt;1,"DUPLICATE","Unique")</f>
        <v>Unique</v>
      </c>
      <c r="P1043" s="2" t="str">
        <f aca="false">IF(L1043="","MISSING","OK")</f>
        <v>OK</v>
      </c>
      <c r="Q1043" s="2" t="str">
        <f aca="false">IF(ISNUMBER(B1043),"OK","BAD DATE")</f>
        <v>OK</v>
      </c>
      <c r="R1043" s="2" t="str">
        <f aca="false">IF(ROUND(F1043,2)=F1043,"OK","FIX")</f>
        <v>OK</v>
      </c>
    </row>
    <row r="1044" customFormat="false" ht="15" hidden="false" customHeight="false" outlineLevel="0" collapsed="false">
      <c r="A1044" s="2" t="s">
        <v>3763</v>
      </c>
      <c r="B1044" s="3" t="n">
        <v>45635</v>
      </c>
      <c r="C1044" s="2" t="s">
        <v>3764</v>
      </c>
      <c r="D1044" s="2" t="s">
        <v>36</v>
      </c>
      <c r="E1044" s="2" t="n">
        <v>2</v>
      </c>
      <c r="F1044" s="4" t="n">
        <v>409.75</v>
      </c>
      <c r="G1044" s="2" t="s">
        <v>1285</v>
      </c>
      <c r="H1044" s="2" t="s">
        <v>22</v>
      </c>
      <c r="I1044" s="2" t="s">
        <v>23</v>
      </c>
      <c r="J1044" s="2" t="s">
        <v>3765</v>
      </c>
      <c r="K1044" s="2" t="n">
        <v>2</v>
      </c>
      <c r="L1044" s="2" t="s">
        <v>85</v>
      </c>
      <c r="M1044" s="2" t="s">
        <v>49</v>
      </c>
      <c r="N1044" s="4" t="n">
        <v>819.5</v>
      </c>
      <c r="O1044" s="2" t="str">
        <f aca="false">IF(COUNTIF($A$2:$A$1201,A1044)&gt;1,"DUPLICATE","Unique")</f>
        <v>Unique</v>
      </c>
      <c r="P1044" s="2" t="str">
        <f aca="false">IF(L1044="","MISSING","OK")</f>
        <v>OK</v>
      </c>
      <c r="Q1044" s="2" t="str">
        <f aca="false">IF(ISNUMBER(B1044),"OK","BAD DATE")</f>
        <v>OK</v>
      </c>
      <c r="R1044" s="2" t="str">
        <f aca="false">IF(ROUND(F1044,2)=F1044,"OK","FIX")</f>
        <v>OK</v>
      </c>
    </row>
    <row r="1045" customFormat="false" ht="15" hidden="false" customHeight="false" outlineLevel="0" collapsed="false">
      <c r="A1045" s="2" t="s">
        <v>3766</v>
      </c>
      <c r="B1045" s="3" t="n">
        <v>45668</v>
      </c>
      <c r="C1045" s="2" t="s">
        <v>3767</v>
      </c>
      <c r="D1045" s="2" t="s">
        <v>36</v>
      </c>
      <c r="E1045" s="2" t="n">
        <v>2</v>
      </c>
      <c r="F1045" s="4" t="n">
        <v>179.96</v>
      </c>
      <c r="G1045" s="2" t="s">
        <v>3526</v>
      </c>
      <c r="H1045" s="2" t="s">
        <v>64</v>
      </c>
      <c r="I1045" s="2" t="s">
        <v>23</v>
      </c>
      <c r="J1045" s="2" t="s">
        <v>3768</v>
      </c>
      <c r="K1045" s="2" t="n">
        <v>5</v>
      </c>
      <c r="L1045" s="2"/>
      <c r="M1045" s="2" t="s">
        <v>26</v>
      </c>
      <c r="N1045" s="4" t="n">
        <v>359.92</v>
      </c>
      <c r="O1045" s="2" t="str">
        <f aca="false">IF(COUNTIF($A$2:$A$1201,A1045)&gt;1,"DUPLICATE","Unique")</f>
        <v>Unique</v>
      </c>
      <c r="P1045" s="2" t="str">
        <f aca="false">IF(L1045="","MISSING","OK")</f>
        <v>MISSING</v>
      </c>
      <c r="Q1045" s="2" t="str">
        <f aca="false">IF(ISNUMBER(B1045),"OK","BAD DATE")</f>
        <v>OK</v>
      </c>
      <c r="R1045" s="2" t="str">
        <f aca="false">IF(ROUND(F1045,2)=F1045,"OK","FIX")</f>
        <v>OK</v>
      </c>
    </row>
    <row r="1046" customFormat="false" ht="15" hidden="false" customHeight="false" outlineLevel="0" collapsed="false">
      <c r="A1046" s="2" t="s">
        <v>3769</v>
      </c>
      <c r="B1046" s="3" t="n">
        <v>45830</v>
      </c>
      <c r="C1046" s="2" t="s">
        <v>3770</v>
      </c>
      <c r="D1046" s="2" t="s">
        <v>52</v>
      </c>
      <c r="E1046" s="2" t="n">
        <v>1</v>
      </c>
      <c r="F1046" s="4" t="n">
        <v>38.49</v>
      </c>
      <c r="G1046" s="2" t="s">
        <v>3771</v>
      </c>
      <c r="H1046" s="2" t="s">
        <v>38</v>
      </c>
      <c r="I1046" s="2" t="s">
        <v>54</v>
      </c>
      <c r="J1046" s="2" t="s">
        <v>3772</v>
      </c>
      <c r="K1046" s="2" t="n">
        <v>4</v>
      </c>
      <c r="L1046" s="2" t="s">
        <v>41</v>
      </c>
      <c r="M1046" s="2" t="s">
        <v>33</v>
      </c>
      <c r="N1046" s="4" t="n">
        <v>38.49</v>
      </c>
      <c r="O1046" s="2" t="str">
        <f aca="false">IF(COUNTIF($A$2:$A$1201,A1046)&gt;1,"DUPLICATE","Unique")</f>
        <v>Unique</v>
      </c>
      <c r="P1046" s="2" t="str">
        <f aca="false">IF(L1046="","MISSING","OK")</f>
        <v>OK</v>
      </c>
      <c r="Q1046" s="2" t="str">
        <f aca="false">IF(ISNUMBER(B1046),"OK","BAD DATE")</f>
        <v>OK</v>
      </c>
      <c r="R1046" s="2" t="str">
        <f aca="false">IF(ROUND(F1046,2)=F1046,"OK","FIX")</f>
        <v>OK</v>
      </c>
    </row>
    <row r="1047" customFormat="false" ht="15" hidden="false" customHeight="false" outlineLevel="0" collapsed="false">
      <c r="A1047" s="2" t="s">
        <v>3773</v>
      </c>
      <c r="B1047" s="3" t="n">
        <v>45555</v>
      </c>
      <c r="C1047" s="2" t="s">
        <v>3774</v>
      </c>
      <c r="D1047" s="2" t="s">
        <v>62</v>
      </c>
      <c r="E1047" s="2" t="n">
        <v>5</v>
      </c>
      <c r="F1047" s="4" t="n">
        <v>316.4</v>
      </c>
      <c r="G1047" s="2" t="s">
        <v>3775</v>
      </c>
      <c r="H1047" s="2" t="s">
        <v>64</v>
      </c>
      <c r="I1047" s="2" t="s">
        <v>47</v>
      </c>
      <c r="J1047" s="2" t="s">
        <v>3776</v>
      </c>
      <c r="K1047" s="2" t="n">
        <v>7</v>
      </c>
      <c r="L1047" s="2"/>
      <c r="M1047" s="2" t="s">
        <v>42</v>
      </c>
      <c r="N1047" s="4" t="n">
        <v>1582</v>
      </c>
      <c r="O1047" s="2" t="str">
        <f aca="false">IF(COUNTIF($A$2:$A$1201,A1047)&gt;1,"DUPLICATE","Unique")</f>
        <v>Unique</v>
      </c>
      <c r="P1047" s="2" t="str">
        <f aca="false">IF(L1047="","MISSING","OK")</f>
        <v>MISSING</v>
      </c>
      <c r="Q1047" s="2" t="str">
        <f aca="false">IF(ISNUMBER(B1047),"OK","BAD DATE")</f>
        <v>OK</v>
      </c>
      <c r="R1047" s="2" t="str">
        <f aca="false">IF(ROUND(F1047,2)=F1047,"OK","FIX")</f>
        <v>OK</v>
      </c>
    </row>
    <row r="1048" customFormat="false" ht="15" hidden="false" customHeight="false" outlineLevel="0" collapsed="false">
      <c r="A1048" s="2" t="s">
        <v>3777</v>
      </c>
      <c r="B1048" s="3" t="n">
        <v>45572</v>
      </c>
      <c r="C1048" s="2" t="s">
        <v>3778</v>
      </c>
      <c r="D1048" s="2" t="s">
        <v>36</v>
      </c>
      <c r="E1048" s="2" t="n">
        <v>3</v>
      </c>
      <c r="F1048" s="4" t="n">
        <v>547.15</v>
      </c>
      <c r="G1048" s="2" t="s">
        <v>3779</v>
      </c>
      <c r="H1048" s="2" t="s">
        <v>31</v>
      </c>
      <c r="I1048" s="2" t="s">
        <v>23</v>
      </c>
      <c r="J1048" s="2" t="s">
        <v>3780</v>
      </c>
      <c r="K1048" s="2" t="n">
        <v>4</v>
      </c>
      <c r="L1048" s="2" t="s">
        <v>85</v>
      </c>
      <c r="M1048" s="2" t="s">
        <v>26</v>
      </c>
      <c r="N1048" s="4" t="n">
        <v>1641.45</v>
      </c>
      <c r="O1048" s="2" t="str">
        <f aca="false">IF(COUNTIF($A$2:$A$1201,A1048)&gt;1,"DUPLICATE","Unique")</f>
        <v>Unique</v>
      </c>
      <c r="P1048" s="2" t="str">
        <f aca="false">IF(L1048="","MISSING","OK")</f>
        <v>OK</v>
      </c>
      <c r="Q1048" s="2" t="str">
        <f aca="false">IF(ISNUMBER(B1048),"OK","BAD DATE")</f>
        <v>OK</v>
      </c>
      <c r="R1048" s="2" t="str">
        <f aca="false">IF(ROUND(F1048,2)=F1048,"OK","FIX")</f>
        <v>OK</v>
      </c>
    </row>
    <row r="1049" customFormat="false" ht="15" hidden="false" customHeight="false" outlineLevel="0" collapsed="false">
      <c r="A1049" s="2" t="s">
        <v>3781</v>
      </c>
      <c r="B1049" s="3" t="n">
        <v>45100</v>
      </c>
      <c r="C1049" s="2" t="s">
        <v>3782</v>
      </c>
      <c r="D1049" s="2" t="s">
        <v>45</v>
      </c>
      <c r="E1049" s="2" t="n">
        <v>4</v>
      </c>
      <c r="F1049" s="4" t="n">
        <v>540.34</v>
      </c>
      <c r="G1049" s="2" t="s">
        <v>3783</v>
      </c>
      <c r="H1049" s="2" t="s">
        <v>64</v>
      </c>
      <c r="I1049" s="2" t="s">
        <v>23</v>
      </c>
      <c r="J1049" s="2" t="s">
        <v>3784</v>
      </c>
      <c r="K1049" s="2" t="n">
        <v>6</v>
      </c>
      <c r="L1049" s="2" t="s">
        <v>85</v>
      </c>
      <c r="M1049" s="2" t="s">
        <v>33</v>
      </c>
      <c r="N1049" s="4" t="n">
        <v>2161.36</v>
      </c>
      <c r="O1049" s="2" t="str">
        <f aca="false">IF(COUNTIF($A$2:$A$1201,A1049)&gt;1,"DUPLICATE","Unique")</f>
        <v>Unique</v>
      </c>
      <c r="P1049" s="2" t="str">
        <f aca="false">IF(L1049="","MISSING","OK")</f>
        <v>OK</v>
      </c>
      <c r="Q1049" s="2" t="str">
        <f aca="false">IF(ISNUMBER(B1049),"OK","BAD DATE")</f>
        <v>OK</v>
      </c>
      <c r="R1049" s="2" t="str">
        <f aca="false">IF(ROUND(F1049,2)=F1049,"OK","FIX")</f>
        <v>OK</v>
      </c>
    </row>
    <row r="1050" customFormat="false" ht="15" hidden="false" customHeight="false" outlineLevel="0" collapsed="false">
      <c r="A1050" s="2" t="s">
        <v>3785</v>
      </c>
      <c r="B1050" s="3" t="n">
        <v>45544</v>
      </c>
      <c r="C1050" s="2" t="s">
        <v>3786</v>
      </c>
      <c r="D1050" s="2" t="s">
        <v>20</v>
      </c>
      <c r="E1050" s="2" t="n">
        <v>4</v>
      </c>
      <c r="F1050" s="4" t="n">
        <v>73.65</v>
      </c>
      <c r="G1050" s="2" t="s">
        <v>3787</v>
      </c>
      <c r="H1050" s="2" t="s">
        <v>22</v>
      </c>
      <c r="I1050" s="2" t="s">
        <v>23</v>
      </c>
      <c r="J1050" s="2" t="s">
        <v>3788</v>
      </c>
      <c r="K1050" s="2" t="n">
        <v>9</v>
      </c>
      <c r="L1050" s="2"/>
      <c r="M1050" s="2" t="s">
        <v>80</v>
      </c>
      <c r="N1050" s="4" t="n">
        <v>294.6</v>
      </c>
      <c r="O1050" s="2" t="str">
        <f aca="false">IF(COUNTIF($A$2:$A$1201,A1050)&gt;1,"DUPLICATE","Unique")</f>
        <v>Unique</v>
      </c>
      <c r="P1050" s="2" t="str">
        <f aca="false">IF(L1050="","MISSING","OK")</f>
        <v>MISSING</v>
      </c>
      <c r="Q1050" s="2" t="str">
        <f aca="false">IF(ISNUMBER(B1050),"OK","BAD DATE")</f>
        <v>OK</v>
      </c>
      <c r="R1050" s="2" t="str">
        <f aca="false">IF(ROUND(F1050,2)=F1050,"OK","FIX")</f>
        <v>OK</v>
      </c>
    </row>
    <row r="1051" customFormat="false" ht="15" hidden="false" customHeight="false" outlineLevel="0" collapsed="false">
      <c r="A1051" s="2" t="s">
        <v>3789</v>
      </c>
      <c r="B1051" s="3" t="n">
        <v>45491</v>
      </c>
      <c r="C1051" s="2" t="s">
        <v>3790</v>
      </c>
      <c r="D1051" s="2" t="s">
        <v>77</v>
      </c>
      <c r="E1051" s="2" t="n">
        <v>5</v>
      </c>
      <c r="F1051" s="4" t="n">
        <v>391.86</v>
      </c>
      <c r="G1051" s="2" t="s">
        <v>125</v>
      </c>
      <c r="H1051" s="2" t="s">
        <v>38</v>
      </c>
      <c r="I1051" s="2" t="s">
        <v>23</v>
      </c>
      <c r="J1051" s="2" t="s">
        <v>3791</v>
      </c>
      <c r="K1051" s="2" t="n">
        <v>6</v>
      </c>
      <c r="L1051" s="2"/>
      <c r="M1051" s="2" t="s">
        <v>26</v>
      </c>
      <c r="N1051" s="4" t="n">
        <v>1959.3</v>
      </c>
      <c r="O1051" s="2" t="str">
        <f aca="false">IF(COUNTIF($A$2:$A$1201,A1051)&gt;1,"DUPLICATE","Unique")</f>
        <v>Unique</v>
      </c>
      <c r="P1051" s="2" t="str">
        <f aca="false">IF(L1051="","MISSING","OK")</f>
        <v>MISSING</v>
      </c>
      <c r="Q1051" s="2" t="str">
        <f aca="false">IF(ISNUMBER(B1051),"OK","BAD DATE")</f>
        <v>OK</v>
      </c>
      <c r="R1051" s="2" t="str">
        <f aca="false">IF(ROUND(F1051,2)=F1051,"OK","FIX")</f>
        <v>OK</v>
      </c>
    </row>
    <row r="1052" customFormat="false" ht="15" hidden="false" customHeight="false" outlineLevel="0" collapsed="false">
      <c r="A1052" s="2" t="s">
        <v>3792</v>
      </c>
      <c r="B1052" s="3" t="n">
        <v>45158</v>
      </c>
      <c r="C1052" s="2" t="s">
        <v>3793</v>
      </c>
      <c r="D1052" s="2" t="s">
        <v>62</v>
      </c>
      <c r="E1052" s="2" t="n">
        <v>5</v>
      </c>
      <c r="F1052" s="4" t="n">
        <v>69.7</v>
      </c>
      <c r="G1052" s="2" t="s">
        <v>2033</v>
      </c>
      <c r="H1052" s="2" t="s">
        <v>31</v>
      </c>
      <c r="I1052" s="2" t="s">
        <v>47</v>
      </c>
      <c r="J1052" s="2" t="s">
        <v>3794</v>
      </c>
      <c r="K1052" s="2" t="n">
        <v>9</v>
      </c>
      <c r="L1052" s="2"/>
      <c r="M1052" s="2" t="s">
        <v>26</v>
      </c>
      <c r="N1052" s="4" t="n">
        <v>348.5</v>
      </c>
      <c r="O1052" s="2" t="str">
        <f aca="false">IF(COUNTIF($A$2:$A$1201,A1052)&gt;1,"DUPLICATE","Unique")</f>
        <v>Unique</v>
      </c>
      <c r="P1052" s="2" t="str">
        <f aca="false">IF(L1052="","MISSING","OK")</f>
        <v>MISSING</v>
      </c>
      <c r="Q1052" s="2" t="str">
        <f aca="false">IF(ISNUMBER(B1052),"OK","BAD DATE")</f>
        <v>OK</v>
      </c>
      <c r="R1052" s="2" t="str">
        <f aca="false">IF(ROUND(F1052,2)=F1052,"OK","FIX")</f>
        <v>OK</v>
      </c>
    </row>
    <row r="1053" customFormat="false" ht="15" hidden="false" customHeight="false" outlineLevel="0" collapsed="false">
      <c r="A1053" s="2" t="s">
        <v>3795</v>
      </c>
      <c r="B1053" s="3" t="n">
        <v>45721</v>
      </c>
      <c r="C1053" s="2" t="s">
        <v>3796</v>
      </c>
      <c r="D1053" s="2" t="s">
        <v>20</v>
      </c>
      <c r="E1053" s="2" t="n">
        <v>5</v>
      </c>
      <c r="F1053" s="4" t="n">
        <v>26.43</v>
      </c>
      <c r="G1053" s="2" t="s">
        <v>3797</v>
      </c>
      <c r="H1053" s="2" t="s">
        <v>64</v>
      </c>
      <c r="I1053" s="2" t="s">
        <v>23</v>
      </c>
      <c r="J1053" s="2" t="s">
        <v>3798</v>
      </c>
      <c r="K1053" s="2" t="n">
        <v>5</v>
      </c>
      <c r="L1053" s="2" t="s">
        <v>41</v>
      </c>
      <c r="M1053" s="2" t="s">
        <v>49</v>
      </c>
      <c r="N1053" s="4" t="n">
        <v>132.15</v>
      </c>
      <c r="O1053" s="2" t="str">
        <f aca="false">IF(COUNTIF($A$2:$A$1201,A1053)&gt;1,"DUPLICATE","Unique")</f>
        <v>Unique</v>
      </c>
      <c r="P1053" s="2" t="str">
        <f aca="false">IF(L1053="","MISSING","OK")</f>
        <v>OK</v>
      </c>
      <c r="Q1053" s="2" t="str">
        <f aca="false">IF(ISNUMBER(B1053),"OK","BAD DATE")</f>
        <v>OK</v>
      </c>
      <c r="R1053" s="2" t="str">
        <f aca="false">IF(ROUND(F1053,2)=F1053,"OK","FIX")</f>
        <v>OK</v>
      </c>
    </row>
    <row r="1054" customFormat="false" ht="15" hidden="false" customHeight="false" outlineLevel="0" collapsed="false">
      <c r="A1054" s="2" t="s">
        <v>3799</v>
      </c>
      <c r="B1054" s="3" t="n">
        <v>45180</v>
      </c>
      <c r="C1054" s="2" t="s">
        <v>3800</v>
      </c>
      <c r="D1054" s="2" t="s">
        <v>36</v>
      </c>
      <c r="E1054" s="2" t="n">
        <v>1</v>
      </c>
      <c r="F1054" s="4" t="n">
        <v>531.74</v>
      </c>
      <c r="G1054" s="2" t="s">
        <v>3801</v>
      </c>
      <c r="H1054" s="2" t="s">
        <v>31</v>
      </c>
      <c r="I1054" s="2" t="s">
        <v>23</v>
      </c>
      <c r="J1054" s="2" t="s">
        <v>3802</v>
      </c>
      <c r="K1054" s="2" t="n">
        <v>1</v>
      </c>
      <c r="L1054" s="2" t="s">
        <v>85</v>
      </c>
      <c r="M1054" s="2" t="s">
        <v>80</v>
      </c>
      <c r="N1054" s="4" t="n">
        <v>531.74</v>
      </c>
      <c r="O1054" s="2" t="str">
        <f aca="false">IF(COUNTIF($A$2:$A$1201,A1054)&gt;1,"DUPLICATE","Unique")</f>
        <v>Unique</v>
      </c>
      <c r="P1054" s="2" t="str">
        <f aca="false">IF(L1054="","MISSING","OK")</f>
        <v>OK</v>
      </c>
      <c r="Q1054" s="2" t="str">
        <f aca="false">IF(ISNUMBER(B1054),"OK","BAD DATE")</f>
        <v>OK</v>
      </c>
      <c r="R1054" s="2" t="str">
        <f aca="false">IF(ROUND(F1054,2)=F1054,"OK","FIX")</f>
        <v>OK</v>
      </c>
    </row>
    <row r="1055" customFormat="false" ht="15" hidden="false" customHeight="false" outlineLevel="0" collapsed="false">
      <c r="A1055" s="2" t="s">
        <v>3803</v>
      </c>
      <c r="B1055" s="3" t="n">
        <v>45550</v>
      </c>
      <c r="C1055" s="2" t="s">
        <v>3804</v>
      </c>
      <c r="D1055" s="2" t="s">
        <v>29</v>
      </c>
      <c r="E1055" s="2" t="n">
        <v>2</v>
      </c>
      <c r="F1055" s="4" t="n">
        <v>496.62</v>
      </c>
      <c r="G1055" s="2" t="s">
        <v>3435</v>
      </c>
      <c r="H1055" s="2" t="s">
        <v>31</v>
      </c>
      <c r="I1055" s="2" t="s">
        <v>93</v>
      </c>
      <c r="J1055" s="2" t="s">
        <v>3805</v>
      </c>
      <c r="K1055" s="2" t="n">
        <v>2</v>
      </c>
      <c r="L1055" s="2" t="s">
        <v>25</v>
      </c>
      <c r="M1055" s="2" t="s">
        <v>26</v>
      </c>
      <c r="N1055" s="4" t="n">
        <v>993.24</v>
      </c>
      <c r="O1055" s="2" t="str">
        <f aca="false">IF(COUNTIF($A$2:$A$1201,A1055)&gt;1,"DUPLICATE","Unique")</f>
        <v>Unique</v>
      </c>
      <c r="P1055" s="2" t="str">
        <f aca="false">IF(L1055="","MISSING","OK")</f>
        <v>OK</v>
      </c>
      <c r="Q1055" s="2" t="str">
        <f aca="false">IF(ISNUMBER(B1055),"OK","BAD DATE")</f>
        <v>OK</v>
      </c>
      <c r="R1055" s="2" t="str">
        <f aca="false">IF(ROUND(F1055,2)=F1055,"OK","FIX")</f>
        <v>OK</v>
      </c>
    </row>
    <row r="1056" customFormat="false" ht="15" hidden="false" customHeight="false" outlineLevel="0" collapsed="false">
      <c r="A1056" s="2" t="s">
        <v>3806</v>
      </c>
      <c r="B1056" s="3" t="n">
        <v>45259</v>
      </c>
      <c r="C1056" s="2" t="s">
        <v>3807</v>
      </c>
      <c r="D1056" s="2" t="s">
        <v>52</v>
      </c>
      <c r="E1056" s="2" t="n">
        <v>1</v>
      </c>
      <c r="F1056" s="4" t="n">
        <v>660.66</v>
      </c>
      <c r="G1056" s="2" t="s">
        <v>383</v>
      </c>
      <c r="H1056" s="2" t="s">
        <v>22</v>
      </c>
      <c r="I1056" s="2" t="s">
        <v>54</v>
      </c>
      <c r="J1056" s="2" t="s">
        <v>3808</v>
      </c>
      <c r="K1056" s="2" t="n">
        <v>3</v>
      </c>
      <c r="L1056" s="2" t="s">
        <v>85</v>
      </c>
      <c r="M1056" s="2" t="s">
        <v>26</v>
      </c>
      <c r="N1056" s="4" t="n">
        <v>660.66</v>
      </c>
      <c r="O1056" s="2" t="str">
        <f aca="false">IF(COUNTIF($A$2:$A$1201,A1056)&gt;1,"DUPLICATE","Unique")</f>
        <v>Unique</v>
      </c>
      <c r="P1056" s="2" t="str">
        <f aca="false">IF(L1056="","MISSING","OK")</f>
        <v>OK</v>
      </c>
      <c r="Q1056" s="2" t="str">
        <f aca="false">IF(ISNUMBER(B1056),"OK","BAD DATE")</f>
        <v>OK</v>
      </c>
      <c r="R1056" s="2" t="str">
        <f aca="false">IF(ROUND(F1056,2)=F1056,"OK","FIX")</f>
        <v>OK</v>
      </c>
    </row>
    <row r="1057" customFormat="false" ht="15" hidden="false" customHeight="false" outlineLevel="0" collapsed="false">
      <c r="A1057" s="2" t="s">
        <v>3809</v>
      </c>
      <c r="B1057" s="3" t="n">
        <v>45222</v>
      </c>
      <c r="C1057" s="2" t="s">
        <v>3810</v>
      </c>
      <c r="D1057" s="2" t="s">
        <v>20</v>
      </c>
      <c r="E1057" s="2" t="n">
        <v>4</v>
      </c>
      <c r="F1057" s="4" t="n">
        <v>274.82</v>
      </c>
      <c r="G1057" s="2" t="s">
        <v>2120</v>
      </c>
      <c r="H1057" s="2" t="s">
        <v>22</v>
      </c>
      <c r="I1057" s="2" t="s">
        <v>54</v>
      </c>
      <c r="J1057" s="2" t="s">
        <v>3811</v>
      </c>
      <c r="K1057" s="2" t="n">
        <v>9</v>
      </c>
      <c r="L1057" s="2" t="s">
        <v>85</v>
      </c>
      <c r="M1057" s="2" t="s">
        <v>42</v>
      </c>
      <c r="N1057" s="4" t="n">
        <v>1099.28</v>
      </c>
      <c r="O1057" s="2" t="str">
        <f aca="false">IF(COUNTIF($A$2:$A$1201,A1057)&gt;1,"DUPLICATE","Unique")</f>
        <v>Unique</v>
      </c>
      <c r="P1057" s="2" t="str">
        <f aca="false">IF(L1057="","MISSING","OK")</f>
        <v>OK</v>
      </c>
      <c r="Q1057" s="2" t="str">
        <f aca="false">IF(ISNUMBER(B1057),"OK","BAD DATE")</f>
        <v>OK</v>
      </c>
      <c r="R1057" s="2" t="str">
        <f aca="false">IF(ROUND(F1057,2)=F1057,"OK","FIX")</f>
        <v>OK</v>
      </c>
    </row>
    <row r="1058" customFormat="false" ht="15" hidden="false" customHeight="false" outlineLevel="0" collapsed="false">
      <c r="A1058" s="2" t="s">
        <v>3812</v>
      </c>
      <c r="B1058" s="3" t="n">
        <v>45457</v>
      </c>
      <c r="C1058" s="2" t="s">
        <v>3813</v>
      </c>
      <c r="D1058" s="2" t="s">
        <v>29</v>
      </c>
      <c r="E1058" s="2" t="n">
        <v>2</v>
      </c>
      <c r="F1058" s="4" t="n">
        <v>486.35</v>
      </c>
      <c r="G1058" s="2" t="s">
        <v>723</v>
      </c>
      <c r="H1058" s="2" t="s">
        <v>31</v>
      </c>
      <c r="I1058" s="2" t="s">
        <v>93</v>
      </c>
      <c r="J1058" s="2" t="s">
        <v>3814</v>
      </c>
      <c r="K1058" s="2" t="n">
        <v>6</v>
      </c>
      <c r="L1058" s="2" t="s">
        <v>25</v>
      </c>
      <c r="M1058" s="2" t="s">
        <v>33</v>
      </c>
      <c r="N1058" s="4" t="n">
        <v>972.7</v>
      </c>
      <c r="O1058" s="2" t="str">
        <f aca="false">IF(COUNTIF($A$2:$A$1201,A1058)&gt;1,"DUPLICATE","Unique")</f>
        <v>Unique</v>
      </c>
      <c r="P1058" s="2" t="str">
        <f aca="false">IF(L1058="","MISSING","OK")</f>
        <v>OK</v>
      </c>
      <c r="Q1058" s="2" t="str">
        <f aca="false">IF(ISNUMBER(B1058),"OK","BAD DATE")</f>
        <v>OK</v>
      </c>
      <c r="R1058" s="2" t="str">
        <f aca="false">IF(ROUND(F1058,2)=F1058,"OK","FIX")</f>
        <v>OK</v>
      </c>
    </row>
    <row r="1059" customFormat="false" ht="15" hidden="false" customHeight="false" outlineLevel="0" collapsed="false">
      <c r="A1059" s="2" t="s">
        <v>3815</v>
      </c>
      <c r="B1059" s="3" t="n">
        <v>45559</v>
      </c>
      <c r="C1059" s="2" t="s">
        <v>3816</v>
      </c>
      <c r="D1059" s="2" t="s">
        <v>62</v>
      </c>
      <c r="E1059" s="2" t="n">
        <v>3</v>
      </c>
      <c r="F1059" s="4" t="n">
        <v>428.88</v>
      </c>
      <c r="G1059" s="2" t="s">
        <v>708</v>
      </c>
      <c r="H1059" s="2" t="s">
        <v>22</v>
      </c>
      <c r="I1059" s="2" t="s">
        <v>23</v>
      </c>
      <c r="J1059" s="2" t="s">
        <v>3817</v>
      </c>
      <c r="K1059" s="2" t="n">
        <v>3</v>
      </c>
      <c r="L1059" s="2" t="s">
        <v>85</v>
      </c>
      <c r="M1059" s="2" t="s">
        <v>49</v>
      </c>
      <c r="N1059" s="4" t="n">
        <v>1286.64</v>
      </c>
      <c r="O1059" s="2" t="str">
        <f aca="false">IF(COUNTIF($A$2:$A$1201,A1059)&gt;1,"DUPLICATE","Unique")</f>
        <v>Unique</v>
      </c>
      <c r="P1059" s="2" t="str">
        <f aca="false">IF(L1059="","MISSING","OK")</f>
        <v>OK</v>
      </c>
      <c r="Q1059" s="2" t="str">
        <f aca="false">IF(ISNUMBER(B1059),"OK","BAD DATE")</f>
        <v>OK</v>
      </c>
      <c r="R1059" s="2" t="str">
        <f aca="false">IF(ROUND(F1059,2)=F1059,"OK","FIX")</f>
        <v>OK</v>
      </c>
    </row>
    <row r="1060" customFormat="false" ht="15" hidden="false" customHeight="false" outlineLevel="0" collapsed="false">
      <c r="A1060" s="2" t="s">
        <v>3818</v>
      </c>
      <c r="B1060" s="3" t="n">
        <v>45177</v>
      </c>
      <c r="C1060" s="2" t="s">
        <v>3819</v>
      </c>
      <c r="D1060" s="2" t="s">
        <v>77</v>
      </c>
      <c r="E1060" s="2" t="n">
        <v>2</v>
      </c>
      <c r="F1060" s="4" t="n">
        <v>412.14</v>
      </c>
      <c r="G1060" s="2" t="s">
        <v>1085</v>
      </c>
      <c r="H1060" s="2" t="s">
        <v>38</v>
      </c>
      <c r="I1060" s="2" t="s">
        <v>47</v>
      </c>
      <c r="J1060" s="2" t="s">
        <v>3820</v>
      </c>
      <c r="K1060" s="2" t="n">
        <v>2</v>
      </c>
      <c r="L1060" s="2" t="s">
        <v>41</v>
      </c>
      <c r="M1060" s="2" t="s">
        <v>26</v>
      </c>
      <c r="N1060" s="4" t="n">
        <v>824.28</v>
      </c>
      <c r="O1060" s="2" t="str">
        <f aca="false">IF(COUNTIF($A$2:$A$1201,A1060)&gt;1,"DUPLICATE","Unique")</f>
        <v>Unique</v>
      </c>
      <c r="P1060" s="2" t="str">
        <f aca="false">IF(L1060="","MISSING","OK")</f>
        <v>OK</v>
      </c>
      <c r="Q1060" s="2" t="str">
        <f aca="false">IF(ISNUMBER(B1060),"OK","BAD DATE")</f>
        <v>OK</v>
      </c>
      <c r="R1060" s="2" t="str">
        <f aca="false">IF(ROUND(F1060,2)=F1060,"OK","FIX")</f>
        <v>OK</v>
      </c>
    </row>
    <row r="1061" customFormat="false" ht="15" hidden="false" customHeight="false" outlineLevel="0" collapsed="false">
      <c r="A1061" s="2" t="s">
        <v>3821</v>
      </c>
      <c r="B1061" s="3" t="n">
        <v>45557</v>
      </c>
      <c r="C1061" s="2" t="s">
        <v>3822</v>
      </c>
      <c r="D1061" s="2" t="s">
        <v>77</v>
      </c>
      <c r="E1061" s="2" t="n">
        <v>1</v>
      </c>
      <c r="F1061" s="4" t="n">
        <v>265.64</v>
      </c>
      <c r="G1061" s="2" t="s">
        <v>3823</v>
      </c>
      <c r="H1061" s="2" t="s">
        <v>38</v>
      </c>
      <c r="I1061" s="2" t="s">
        <v>47</v>
      </c>
      <c r="J1061" s="2" t="s">
        <v>3824</v>
      </c>
      <c r="K1061" s="2" t="n">
        <v>3</v>
      </c>
      <c r="L1061" s="2" t="s">
        <v>85</v>
      </c>
      <c r="M1061" s="2" t="s">
        <v>26</v>
      </c>
      <c r="N1061" s="4" t="n">
        <v>265.64</v>
      </c>
      <c r="O1061" s="2" t="str">
        <f aca="false">IF(COUNTIF($A$2:$A$1201,A1061)&gt;1,"DUPLICATE","Unique")</f>
        <v>Unique</v>
      </c>
      <c r="P1061" s="2" t="str">
        <f aca="false">IF(L1061="","MISSING","OK")</f>
        <v>OK</v>
      </c>
      <c r="Q1061" s="2" t="str">
        <f aca="false">IF(ISNUMBER(B1061),"OK","BAD DATE")</f>
        <v>OK</v>
      </c>
      <c r="R1061" s="2" t="str">
        <f aca="false">IF(ROUND(F1061,2)=F1061,"OK","FIX")</f>
        <v>OK</v>
      </c>
    </row>
    <row r="1062" customFormat="false" ht="15" hidden="false" customHeight="false" outlineLevel="0" collapsed="false">
      <c r="A1062" s="2" t="s">
        <v>3825</v>
      </c>
      <c r="B1062" s="3" t="n">
        <v>45419</v>
      </c>
      <c r="C1062" s="2" t="s">
        <v>3826</v>
      </c>
      <c r="D1062" s="2" t="s">
        <v>36</v>
      </c>
      <c r="E1062" s="2" t="n">
        <v>2</v>
      </c>
      <c r="F1062" s="4" t="n">
        <v>273.43</v>
      </c>
      <c r="G1062" s="2" t="s">
        <v>1384</v>
      </c>
      <c r="H1062" s="2" t="s">
        <v>69</v>
      </c>
      <c r="I1062" s="2" t="s">
        <v>23</v>
      </c>
      <c r="J1062" s="2" t="s">
        <v>3827</v>
      </c>
      <c r="K1062" s="2" t="n">
        <v>7</v>
      </c>
      <c r="L1062" s="2" t="s">
        <v>85</v>
      </c>
      <c r="M1062" s="2" t="s">
        <v>33</v>
      </c>
      <c r="N1062" s="4" t="n">
        <v>546.86</v>
      </c>
      <c r="O1062" s="2" t="str">
        <f aca="false">IF(COUNTIF($A$2:$A$1201,A1062)&gt;1,"DUPLICATE","Unique")</f>
        <v>Unique</v>
      </c>
      <c r="P1062" s="2" t="str">
        <f aca="false">IF(L1062="","MISSING","OK")</f>
        <v>OK</v>
      </c>
      <c r="Q1062" s="2" t="str">
        <f aca="false">IF(ISNUMBER(B1062),"OK","BAD DATE")</f>
        <v>OK</v>
      </c>
      <c r="R1062" s="2" t="str">
        <f aca="false">IF(ROUND(F1062,2)=F1062,"OK","FIX")</f>
        <v>OK</v>
      </c>
    </row>
    <row r="1063" customFormat="false" ht="15" hidden="false" customHeight="false" outlineLevel="0" collapsed="false">
      <c r="A1063" s="2" t="s">
        <v>3828</v>
      </c>
      <c r="B1063" s="3" t="n">
        <v>45686</v>
      </c>
      <c r="C1063" s="2" t="s">
        <v>3829</v>
      </c>
      <c r="D1063" s="2" t="s">
        <v>62</v>
      </c>
      <c r="E1063" s="2" t="n">
        <v>5</v>
      </c>
      <c r="F1063" s="4" t="n">
        <v>131.7</v>
      </c>
      <c r="G1063" s="2" t="s">
        <v>173</v>
      </c>
      <c r="H1063" s="2" t="s">
        <v>69</v>
      </c>
      <c r="I1063" s="2" t="s">
        <v>23</v>
      </c>
      <c r="J1063" s="2" t="s">
        <v>3830</v>
      </c>
      <c r="K1063" s="2" t="n">
        <v>8</v>
      </c>
      <c r="L1063" s="2" t="s">
        <v>41</v>
      </c>
      <c r="M1063" s="2" t="s">
        <v>80</v>
      </c>
      <c r="N1063" s="4" t="n">
        <v>658.5</v>
      </c>
      <c r="O1063" s="2" t="str">
        <f aca="false">IF(COUNTIF($A$2:$A$1201,A1063)&gt;1,"DUPLICATE","Unique")</f>
        <v>Unique</v>
      </c>
      <c r="P1063" s="2" t="str">
        <f aca="false">IF(L1063="","MISSING","OK")</f>
        <v>OK</v>
      </c>
      <c r="Q1063" s="2" t="str">
        <f aca="false">IF(ISNUMBER(B1063),"OK","BAD DATE")</f>
        <v>OK</v>
      </c>
      <c r="R1063" s="2" t="str">
        <f aca="false">IF(ROUND(F1063,2)=F1063,"OK","FIX")</f>
        <v>OK</v>
      </c>
    </row>
    <row r="1064" customFormat="false" ht="15" hidden="false" customHeight="false" outlineLevel="0" collapsed="false">
      <c r="A1064" s="2" t="s">
        <v>3831</v>
      </c>
      <c r="B1064" s="3" t="n">
        <v>45161</v>
      </c>
      <c r="C1064" s="2" t="s">
        <v>3832</v>
      </c>
      <c r="D1064" s="2" t="s">
        <v>45</v>
      </c>
      <c r="E1064" s="2" t="n">
        <v>5</v>
      </c>
      <c r="F1064" s="4" t="n">
        <v>85.52</v>
      </c>
      <c r="G1064" s="2" t="s">
        <v>1256</v>
      </c>
      <c r="H1064" s="2" t="s">
        <v>64</v>
      </c>
      <c r="I1064" s="2" t="s">
        <v>39</v>
      </c>
      <c r="J1064" s="2" t="s">
        <v>3833</v>
      </c>
      <c r="K1064" s="2" t="n">
        <v>5</v>
      </c>
      <c r="L1064" s="2"/>
      <c r="M1064" s="2" t="s">
        <v>49</v>
      </c>
      <c r="N1064" s="4" t="n">
        <v>427.6</v>
      </c>
      <c r="O1064" s="2" t="str">
        <f aca="false">IF(COUNTIF($A$2:$A$1201,A1064)&gt;1,"DUPLICATE","Unique")</f>
        <v>Unique</v>
      </c>
      <c r="P1064" s="2" t="str">
        <f aca="false">IF(L1064="","MISSING","OK")</f>
        <v>MISSING</v>
      </c>
      <c r="Q1064" s="2" t="str">
        <f aca="false">IF(ISNUMBER(B1064),"OK","BAD DATE")</f>
        <v>OK</v>
      </c>
      <c r="R1064" s="2" t="str">
        <f aca="false">IF(ROUND(F1064,2)=F1064,"OK","FIX")</f>
        <v>OK</v>
      </c>
    </row>
    <row r="1065" customFormat="false" ht="15" hidden="false" customHeight="false" outlineLevel="0" collapsed="false">
      <c r="A1065" s="2" t="s">
        <v>3834</v>
      </c>
      <c r="B1065" s="3" t="n">
        <v>45462</v>
      </c>
      <c r="C1065" s="2" t="s">
        <v>3835</v>
      </c>
      <c r="D1065" s="2" t="s">
        <v>77</v>
      </c>
      <c r="E1065" s="2" t="n">
        <v>2</v>
      </c>
      <c r="F1065" s="4" t="n">
        <v>320.68</v>
      </c>
      <c r="G1065" s="2" t="s">
        <v>712</v>
      </c>
      <c r="H1065" s="2" t="s">
        <v>38</v>
      </c>
      <c r="I1065" s="2" t="s">
        <v>23</v>
      </c>
      <c r="J1065" s="2" t="s">
        <v>3836</v>
      </c>
      <c r="K1065" s="2" t="n">
        <v>5</v>
      </c>
      <c r="L1065" s="2" t="s">
        <v>41</v>
      </c>
      <c r="M1065" s="2" t="s">
        <v>33</v>
      </c>
      <c r="N1065" s="4" t="n">
        <v>641.36</v>
      </c>
      <c r="O1065" s="2" t="str">
        <f aca="false">IF(COUNTIF($A$2:$A$1201,A1065)&gt;1,"DUPLICATE","Unique")</f>
        <v>Unique</v>
      </c>
      <c r="P1065" s="2" t="str">
        <f aca="false">IF(L1065="","MISSING","OK")</f>
        <v>OK</v>
      </c>
      <c r="Q1065" s="2" t="str">
        <f aca="false">IF(ISNUMBER(B1065),"OK","BAD DATE")</f>
        <v>OK</v>
      </c>
      <c r="R1065" s="2" t="str">
        <f aca="false">IF(ROUND(F1065,2)=F1065,"OK","FIX")</f>
        <v>OK</v>
      </c>
    </row>
    <row r="1066" customFormat="false" ht="15" hidden="false" customHeight="false" outlineLevel="0" collapsed="false">
      <c r="A1066" s="2" t="s">
        <v>3837</v>
      </c>
      <c r="B1066" s="3" t="n">
        <v>45700</v>
      </c>
      <c r="C1066" s="2" t="s">
        <v>3838</v>
      </c>
      <c r="D1066" s="2" t="s">
        <v>62</v>
      </c>
      <c r="E1066" s="2" t="n">
        <v>4</v>
      </c>
      <c r="F1066" s="4" t="n">
        <v>198.81</v>
      </c>
      <c r="G1066" s="2" t="s">
        <v>1109</v>
      </c>
      <c r="H1066" s="2" t="s">
        <v>69</v>
      </c>
      <c r="I1066" s="2" t="s">
        <v>47</v>
      </c>
      <c r="J1066" s="2" t="s">
        <v>3839</v>
      </c>
      <c r="K1066" s="2" t="n">
        <v>9</v>
      </c>
      <c r="L1066" s="2" t="s">
        <v>41</v>
      </c>
      <c r="M1066" s="2" t="s">
        <v>33</v>
      </c>
      <c r="N1066" s="4" t="n">
        <v>795.24</v>
      </c>
      <c r="O1066" s="2" t="str">
        <f aca="false">IF(COUNTIF($A$2:$A$1201,A1066)&gt;1,"DUPLICATE","Unique")</f>
        <v>Unique</v>
      </c>
      <c r="P1066" s="2" t="str">
        <f aca="false">IF(L1066="","MISSING","OK")</f>
        <v>OK</v>
      </c>
      <c r="Q1066" s="2" t="str">
        <f aca="false">IF(ISNUMBER(B1066),"OK","BAD DATE")</f>
        <v>OK</v>
      </c>
      <c r="R1066" s="2" t="str">
        <f aca="false">IF(ROUND(F1066,2)=F1066,"OK","FIX")</f>
        <v>OK</v>
      </c>
    </row>
    <row r="1067" customFormat="false" ht="15" hidden="false" customHeight="false" outlineLevel="0" collapsed="false">
      <c r="A1067" s="2" t="s">
        <v>3840</v>
      </c>
      <c r="B1067" s="3" t="n">
        <v>45229</v>
      </c>
      <c r="C1067" s="2" t="s">
        <v>3841</v>
      </c>
      <c r="D1067" s="2" t="s">
        <v>52</v>
      </c>
      <c r="E1067" s="2" t="n">
        <v>5</v>
      </c>
      <c r="F1067" s="4" t="n">
        <v>666.8</v>
      </c>
      <c r="G1067" s="2" t="s">
        <v>1656</v>
      </c>
      <c r="H1067" s="2" t="s">
        <v>22</v>
      </c>
      <c r="I1067" s="2" t="s">
        <v>54</v>
      </c>
      <c r="J1067" s="2" t="s">
        <v>3842</v>
      </c>
      <c r="K1067" s="2" t="n">
        <v>7</v>
      </c>
      <c r="L1067" s="2" t="s">
        <v>25</v>
      </c>
      <c r="M1067" s="2" t="s">
        <v>33</v>
      </c>
      <c r="N1067" s="4" t="n">
        <v>3334</v>
      </c>
      <c r="O1067" s="2" t="str">
        <f aca="false">IF(COUNTIF($A$2:$A$1201,A1067)&gt;1,"DUPLICATE","Unique")</f>
        <v>Unique</v>
      </c>
      <c r="P1067" s="2" t="str">
        <f aca="false">IF(L1067="","MISSING","OK")</f>
        <v>OK</v>
      </c>
      <c r="Q1067" s="2" t="str">
        <f aca="false">IF(ISNUMBER(B1067),"OK","BAD DATE")</f>
        <v>OK</v>
      </c>
      <c r="R1067" s="2" t="str">
        <f aca="false">IF(ROUND(F1067,2)=F1067,"OK","FIX")</f>
        <v>OK</v>
      </c>
    </row>
    <row r="1068" customFormat="false" ht="15" hidden="false" customHeight="false" outlineLevel="0" collapsed="false">
      <c r="A1068" s="2" t="s">
        <v>3843</v>
      </c>
      <c r="B1068" s="3" t="n">
        <v>45280</v>
      </c>
      <c r="C1068" s="2" t="s">
        <v>3844</v>
      </c>
      <c r="D1068" s="2" t="s">
        <v>77</v>
      </c>
      <c r="E1068" s="2" t="n">
        <v>1</v>
      </c>
      <c r="F1068" s="4" t="n">
        <v>355.09</v>
      </c>
      <c r="G1068" s="2" t="s">
        <v>2590</v>
      </c>
      <c r="H1068" s="2" t="s">
        <v>22</v>
      </c>
      <c r="I1068" s="2" t="s">
        <v>39</v>
      </c>
      <c r="J1068" s="2" t="s">
        <v>3845</v>
      </c>
      <c r="K1068" s="2" t="n">
        <v>5</v>
      </c>
      <c r="L1068" s="2" t="s">
        <v>25</v>
      </c>
      <c r="M1068" s="2" t="s">
        <v>26</v>
      </c>
      <c r="N1068" s="4" t="n">
        <v>355.09</v>
      </c>
      <c r="O1068" s="2" t="str">
        <f aca="false">IF(COUNTIF($A$2:$A$1201,A1068)&gt;1,"DUPLICATE","Unique")</f>
        <v>Unique</v>
      </c>
      <c r="P1068" s="2" t="str">
        <f aca="false">IF(L1068="","MISSING","OK")</f>
        <v>OK</v>
      </c>
      <c r="Q1068" s="2" t="str">
        <f aca="false">IF(ISNUMBER(B1068),"OK","BAD DATE")</f>
        <v>OK</v>
      </c>
      <c r="R1068" s="2" t="str">
        <f aca="false">IF(ROUND(F1068,2)=F1068,"OK","FIX")</f>
        <v>OK</v>
      </c>
    </row>
    <row r="1069" customFormat="false" ht="15" hidden="false" customHeight="false" outlineLevel="0" collapsed="false">
      <c r="A1069" s="2" t="s">
        <v>3846</v>
      </c>
      <c r="B1069" s="3" t="n">
        <v>45083</v>
      </c>
      <c r="C1069" s="2" t="s">
        <v>3847</v>
      </c>
      <c r="D1069" s="2" t="s">
        <v>29</v>
      </c>
      <c r="E1069" s="2" t="n">
        <v>2</v>
      </c>
      <c r="F1069" s="4" t="n">
        <v>316.2</v>
      </c>
      <c r="G1069" s="2" t="s">
        <v>320</v>
      </c>
      <c r="H1069" s="2" t="s">
        <v>31</v>
      </c>
      <c r="I1069" s="2" t="s">
        <v>47</v>
      </c>
      <c r="J1069" s="2" t="s">
        <v>3848</v>
      </c>
      <c r="K1069" s="2" t="n">
        <v>2</v>
      </c>
      <c r="L1069" s="2"/>
      <c r="M1069" s="2" t="s">
        <v>26</v>
      </c>
      <c r="N1069" s="4" t="n">
        <v>632.4</v>
      </c>
      <c r="O1069" s="2" t="str">
        <f aca="false">IF(COUNTIF($A$2:$A$1201,A1069)&gt;1,"DUPLICATE","Unique")</f>
        <v>Unique</v>
      </c>
      <c r="P1069" s="2" t="str">
        <f aca="false">IF(L1069="","MISSING","OK")</f>
        <v>MISSING</v>
      </c>
      <c r="Q1069" s="2" t="str">
        <f aca="false">IF(ISNUMBER(B1069),"OK","BAD DATE")</f>
        <v>OK</v>
      </c>
      <c r="R1069" s="2" t="str">
        <f aca="false">IF(ROUND(F1069,2)=F1069,"OK","FIX")</f>
        <v>OK</v>
      </c>
    </row>
    <row r="1070" customFormat="false" ht="15" hidden="false" customHeight="false" outlineLevel="0" collapsed="false">
      <c r="A1070" s="2" t="s">
        <v>3849</v>
      </c>
      <c r="B1070" s="3" t="n">
        <v>45507</v>
      </c>
      <c r="C1070" s="2" t="s">
        <v>3850</v>
      </c>
      <c r="D1070" s="2" t="s">
        <v>62</v>
      </c>
      <c r="E1070" s="2" t="n">
        <v>1</v>
      </c>
      <c r="F1070" s="4" t="n">
        <v>133.39</v>
      </c>
      <c r="G1070" s="2" t="s">
        <v>3851</v>
      </c>
      <c r="H1070" s="2" t="s">
        <v>22</v>
      </c>
      <c r="I1070" s="2" t="s">
        <v>23</v>
      </c>
      <c r="J1070" s="2" t="s">
        <v>3852</v>
      </c>
      <c r="K1070" s="2" t="n">
        <v>2</v>
      </c>
      <c r="L1070" s="2" t="s">
        <v>25</v>
      </c>
      <c r="M1070" s="2" t="s">
        <v>33</v>
      </c>
      <c r="N1070" s="4" t="n">
        <v>133.39</v>
      </c>
      <c r="O1070" s="2" t="str">
        <f aca="false">IF(COUNTIF($A$2:$A$1201,A1070)&gt;1,"DUPLICATE","Unique")</f>
        <v>Unique</v>
      </c>
      <c r="P1070" s="2" t="str">
        <f aca="false">IF(L1070="","MISSING","OK")</f>
        <v>OK</v>
      </c>
      <c r="Q1070" s="2" t="str">
        <f aca="false">IF(ISNUMBER(B1070),"OK","BAD DATE")</f>
        <v>OK</v>
      </c>
      <c r="R1070" s="2" t="str">
        <f aca="false">IF(ROUND(F1070,2)=F1070,"OK","FIX")</f>
        <v>OK</v>
      </c>
    </row>
    <row r="1071" customFormat="false" ht="15" hidden="false" customHeight="false" outlineLevel="0" collapsed="false">
      <c r="A1071" s="2" t="s">
        <v>3853</v>
      </c>
      <c r="B1071" s="3" t="n">
        <v>44982</v>
      </c>
      <c r="C1071" s="2" t="s">
        <v>3854</v>
      </c>
      <c r="D1071" s="2" t="s">
        <v>20</v>
      </c>
      <c r="E1071" s="2" t="n">
        <v>1</v>
      </c>
      <c r="F1071" s="4" t="n">
        <v>454.23</v>
      </c>
      <c r="G1071" s="2" t="s">
        <v>972</v>
      </c>
      <c r="H1071" s="2" t="s">
        <v>64</v>
      </c>
      <c r="I1071" s="2" t="s">
        <v>47</v>
      </c>
      <c r="J1071" s="2" t="s">
        <v>3855</v>
      </c>
      <c r="K1071" s="2" t="n">
        <v>3</v>
      </c>
      <c r="L1071" s="2"/>
      <c r="M1071" s="2" t="s">
        <v>49</v>
      </c>
      <c r="N1071" s="4" t="n">
        <v>454.23</v>
      </c>
      <c r="O1071" s="2" t="str">
        <f aca="false">IF(COUNTIF($A$2:$A$1201,A1071)&gt;1,"DUPLICATE","Unique")</f>
        <v>Unique</v>
      </c>
      <c r="P1071" s="2" t="str">
        <f aca="false">IF(L1071="","MISSING","OK")</f>
        <v>MISSING</v>
      </c>
      <c r="Q1071" s="2" t="str">
        <f aca="false">IF(ISNUMBER(B1071),"OK","BAD DATE")</f>
        <v>OK</v>
      </c>
      <c r="R1071" s="2" t="str">
        <f aca="false">IF(ROUND(F1071,2)=F1071,"OK","FIX")</f>
        <v>OK</v>
      </c>
    </row>
    <row r="1072" customFormat="false" ht="15" hidden="false" customHeight="false" outlineLevel="0" collapsed="false">
      <c r="A1072" s="2" t="s">
        <v>3856</v>
      </c>
      <c r="B1072" s="3" t="n">
        <v>45541</v>
      </c>
      <c r="C1072" s="2" t="s">
        <v>3857</v>
      </c>
      <c r="D1072" s="2" t="s">
        <v>77</v>
      </c>
      <c r="E1072" s="2" t="n">
        <v>4</v>
      </c>
      <c r="F1072" s="4" t="n">
        <v>491.29</v>
      </c>
      <c r="G1072" s="2" t="s">
        <v>363</v>
      </c>
      <c r="H1072" s="2" t="s">
        <v>22</v>
      </c>
      <c r="I1072" s="2" t="s">
        <v>93</v>
      </c>
      <c r="J1072" s="2" t="s">
        <v>3858</v>
      </c>
      <c r="K1072" s="2" t="n">
        <v>6</v>
      </c>
      <c r="L1072" s="2"/>
      <c r="M1072" s="2" t="s">
        <v>42</v>
      </c>
      <c r="N1072" s="4" t="n">
        <v>1965.16</v>
      </c>
      <c r="O1072" s="2" t="str">
        <f aca="false">IF(COUNTIF($A$2:$A$1201,A1072)&gt;1,"DUPLICATE","Unique")</f>
        <v>Unique</v>
      </c>
      <c r="P1072" s="2" t="str">
        <f aca="false">IF(L1072="","MISSING","OK")</f>
        <v>MISSING</v>
      </c>
      <c r="Q1072" s="2" t="str">
        <f aca="false">IF(ISNUMBER(B1072),"OK","BAD DATE")</f>
        <v>OK</v>
      </c>
      <c r="R1072" s="2" t="str">
        <f aca="false">IF(ROUND(F1072,2)=F1072,"OK","FIX")</f>
        <v>OK</v>
      </c>
    </row>
    <row r="1073" customFormat="false" ht="15" hidden="false" customHeight="false" outlineLevel="0" collapsed="false">
      <c r="A1073" s="2" t="s">
        <v>3859</v>
      </c>
      <c r="B1073" s="3" t="n">
        <v>45832</v>
      </c>
      <c r="C1073" s="2" t="s">
        <v>3860</v>
      </c>
      <c r="D1073" s="2" t="s">
        <v>29</v>
      </c>
      <c r="E1073" s="2" t="n">
        <v>2</v>
      </c>
      <c r="F1073" s="4" t="n">
        <v>255.14</v>
      </c>
      <c r="G1073" s="2" t="s">
        <v>1459</v>
      </c>
      <c r="H1073" s="2" t="s">
        <v>69</v>
      </c>
      <c r="I1073" s="2" t="s">
        <v>23</v>
      </c>
      <c r="J1073" s="2" t="s">
        <v>3861</v>
      </c>
      <c r="K1073" s="2" t="n">
        <v>2</v>
      </c>
      <c r="L1073" s="2"/>
      <c r="M1073" s="2" t="s">
        <v>80</v>
      </c>
      <c r="N1073" s="4" t="n">
        <v>510.28</v>
      </c>
      <c r="O1073" s="2" t="str">
        <f aca="false">IF(COUNTIF($A$2:$A$1201,A1073)&gt;1,"DUPLICATE","Unique")</f>
        <v>Unique</v>
      </c>
      <c r="P1073" s="2" t="str">
        <f aca="false">IF(L1073="","MISSING","OK")</f>
        <v>MISSING</v>
      </c>
      <c r="Q1073" s="2" t="str">
        <f aca="false">IF(ISNUMBER(B1073),"OK","BAD DATE")</f>
        <v>OK</v>
      </c>
      <c r="R1073" s="2" t="str">
        <f aca="false">IF(ROUND(F1073,2)=F1073,"OK","FIX")</f>
        <v>OK</v>
      </c>
    </row>
    <row r="1074" customFormat="false" ht="15" hidden="false" customHeight="false" outlineLevel="0" collapsed="false">
      <c r="A1074" s="2" t="s">
        <v>3862</v>
      </c>
      <c r="B1074" s="3" t="n">
        <v>44983</v>
      </c>
      <c r="C1074" s="2" t="s">
        <v>3863</v>
      </c>
      <c r="D1074" s="2" t="s">
        <v>20</v>
      </c>
      <c r="E1074" s="2" t="n">
        <v>1</v>
      </c>
      <c r="F1074" s="4" t="n">
        <v>392.61</v>
      </c>
      <c r="G1074" s="2" t="s">
        <v>1062</v>
      </c>
      <c r="H1074" s="2" t="s">
        <v>64</v>
      </c>
      <c r="I1074" s="2" t="s">
        <v>39</v>
      </c>
      <c r="J1074" s="2" t="s">
        <v>3864</v>
      </c>
      <c r="K1074" s="2" t="n">
        <v>4</v>
      </c>
      <c r="L1074" s="2" t="s">
        <v>25</v>
      </c>
      <c r="M1074" s="2" t="s">
        <v>33</v>
      </c>
      <c r="N1074" s="4" t="n">
        <v>392.61</v>
      </c>
      <c r="O1074" s="2" t="str">
        <f aca="false">IF(COUNTIF($A$2:$A$1201,A1074)&gt;1,"DUPLICATE","Unique")</f>
        <v>Unique</v>
      </c>
      <c r="P1074" s="2" t="str">
        <f aca="false">IF(L1074="","MISSING","OK")</f>
        <v>OK</v>
      </c>
      <c r="Q1074" s="2" t="str">
        <f aca="false">IF(ISNUMBER(B1074),"OK","BAD DATE")</f>
        <v>OK</v>
      </c>
      <c r="R1074" s="2" t="str">
        <f aca="false">IF(ROUND(F1074,2)=F1074,"OK","FIX")</f>
        <v>OK</v>
      </c>
    </row>
    <row r="1075" customFormat="false" ht="15" hidden="false" customHeight="false" outlineLevel="0" collapsed="false">
      <c r="A1075" s="2" t="s">
        <v>3865</v>
      </c>
      <c r="B1075" s="3" t="n">
        <v>45576</v>
      </c>
      <c r="C1075" s="2" t="s">
        <v>3866</v>
      </c>
      <c r="D1075" s="2" t="s">
        <v>36</v>
      </c>
      <c r="E1075" s="2" t="n">
        <v>4</v>
      </c>
      <c r="F1075" s="4" t="n">
        <v>362.06</v>
      </c>
      <c r="G1075" s="2" t="s">
        <v>1040</v>
      </c>
      <c r="H1075" s="2" t="s">
        <v>22</v>
      </c>
      <c r="I1075" s="2" t="s">
        <v>47</v>
      </c>
      <c r="J1075" s="2" t="s">
        <v>3867</v>
      </c>
      <c r="K1075" s="2" t="n">
        <v>4</v>
      </c>
      <c r="L1075" s="2"/>
      <c r="M1075" s="2" t="s">
        <v>49</v>
      </c>
      <c r="N1075" s="4" t="n">
        <v>1448.24</v>
      </c>
      <c r="O1075" s="2" t="str">
        <f aca="false">IF(COUNTIF($A$2:$A$1201,A1075)&gt;1,"DUPLICATE","Unique")</f>
        <v>Unique</v>
      </c>
      <c r="P1075" s="2" t="str">
        <f aca="false">IF(L1075="","MISSING","OK")</f>
        <v>MISSING</v>
      </c>
      <c r="Q1075" s="2" t="str">
        <f aca="false">IF(ISNUMBER(B1075),"OK","BAD DATE")</f>
        <v>OK</v>
      </c>
      <c r="R1075" s="2" t="str">
        <f aca="false">IF(ROUND(F1075,2)=F1075,"OK","FIX")</f>
        <v>OK</v>
      </c>
    </row>
    <row r="1076" customFormat="false" ht="15" hidden="false" customHeight="false" outlineLevel="0" collapsed="false">
      <c r="A1076" s="2" t="s">
        <v>3868</v>
      </c>
      <c r="B1076" s="3" t="n">
        <v>45422</v>
      </c>
      <c r="C1076" s="2" t="s">
        <v>3869</v>
      </c>
      <c r="D1076" s="2" t="s">
        <v>29</v>
      </c>
      <c r="E1076" s="2" t="n">
        <v>1</v>
      </c>
      <c r="F1076" s="4" t="n">
        <v>222.73</v>
      </c>
      <c r="G1076" s="2" t="s">
        <v>3870</v>
      </c>
      <c r="H1076" s="2" t="s">
        <v>31</v>
      </c>
      <c r="I1076" s="2" t="s">
        <v>47</v>
      </c>
      <c r="J1076" s="2" t="s">
        <v>3871</v>
      </c>
      <c r="K1076" s="2" t="n">
        <v>4</v>
      </c>
      <c r="L1076" s="2"/>
      <c r="M1076" s="2" t="s">
        <v>80</v>
      </c>
      <c r="N1076" s="4" t="n">
        <v>222.73</v>
      </c>
      <c r="O1076" s="2" t="str">
        <f aca="false">IF(COUNTIF($A$2:$A$1201,A1076)&gt;1,"DUPLICATE","Unique")</f>
        <v>Unique</v>
      </c>
      <c r="P1076" s="2" t="str">
        <f aca="false">IF(L1076="","MISSING","OK")</f>
        <v>MISSING</v>
      </c>
      <c r="Q1076" s="2" t="str">
        <f aca="false">IF(ISNUMBER(B1076),"OK","BAD DATE")</f>
        <v>OK</v>
      </c>
      <c r="R1076" s="2" t="str">
        <f aca="false">IF(ROUND(F1076,2)=F1076,"OK","FIX")</f>
        <v>OK</v>
      </c>
    </row>
    <row r="1077" customFormat="false" ht="15" hidden="false" customHeight="false" outlineLevel="0" collapsed="false">
      <c r="A1077" s="2" t="s">
        <v>3872</v>
      </c>
      <c r="B1077" s="3" t="n">
        <v>45535</v>
      </c>
      <c r="C1077" s="2" t="s">
        <v>3873</v>
      </c>
      <c r="D1077" s="2" t="s">
        <v>20</v>
      </c>
      <c r="E1077" s="2" t="n">
        <v>2</v>
      </c>
      <c r="F1077" s="4" t="n">
        <v>552.63</v>
      </c>
      <c r="G1077" s="2" t="s">
        <v>841</v>
      </c>
      <c r="H1077" s="2" t="s">
        <v>22</v>
      </c>
      <c r="I1077" s="2" t="s">
        <v>54</v>
      </c>
      <c r="J1077" s="2" t="s">
        <v>3874</v>
      </c>
      <c r="K1077" s="2" t="n">
        <v>7</v>
      </c>
      <c r="L1077" s="2" t="s">
        <v>85</v>
      </c>
      <c r="M1077" s="2" t="s">
        <v>26</v>
      </c>
      <c r="N1077" s="4" t="n">
        <v>1105.26</v>
      </c>
      <c r="O1077" s="2" t="str">
        <f aca="false">IF(COUNTIF($A$2:$A$1201,A1077)&gt;1,"DUPLICATE","Unique")</f>
        <v>Unique</v>
      </c>
      <c r="P1077" s="2" t="str">
        <f aca="false">IF(L1077="","MISSING","OK")</f>
        <v>OK</v>
      </c>
      <c r="Q1077" s="2" t="str">
        <f aca="false">IF(ISNUMBER(B1077),"OK","BAD DATE")</f>
        <v>OK</v>
      </c>
      <c r="R1077" s="2" t="str">
        <f aca="false">IF(ROUND(F1077,2)=F1077,"OK","FIX")</f>
        <v>OK</v>
      </c>
    </row>
    <row r="1078" customFormat="false" ht="15" hidden="false" customHeight="false" outlineLevel="0" collapsed="false">
      <c r="A1078" s="2" t="s">
        <v>3875</v>
      </c>
      <c r="B1078" s="3" t="n">
        <v>45054</v>
      </c>
      <c r="C1078" s="2" t="s">
        <v>3876</v>
      </c>
      <c r="D1078" s="2" t="s">
        <v>62</v>
      </c>
      <c r="E1078" s="2" t="n">
        <v>4</v>
      </c>
      <c r="F1078" s="4" t="n">
        <v>686.61</v>
      </c>
      <c r="G1078" s="2" t="s">
        <v>3722</v>
      </c>
      <c r="H1078" s="2" t="s">
        <v>69</v>
      </c>
      <c r="I1078" s="2" t="s">
        <v>23</v>
      </c>
      <c r="J1078" s="2" t="s">
        <v>3877</v>
      </c>
      <c r="K1078" s="2" t="n">
        <v>6</v>
      </c>
      <c r="L1078" s="2"/>
      <c r="M1078" s="2" t="s">
        <v>33</v>
      </c>
      <c r="N1078" s="4" t="n">
        <v>2746.44</v>
      </c>
      <c r="O1078" s="2" t="str">
        <f aca="false">IF(COUNTIF($A$2:$A$1201,A1078)&gt;1,"DUPLICATE","Unique")</f>
        <v>Unique</v>
      </c>
      <c r="P1078" s="2" t="str">
        <f aca="false">IF(L1078="","MISSING","OK")</f>
        <v>MISSING</v>
      </c>
      <c r="Q1078" s="2" t="str">
        <f aca="false">IF(ISNUMBER(B1078),"OK","BAD DATE")</f>
        <v>OK</v>
      </c>
      <c r="R1078" s="2" t="str">
        <f aca="false">IF(ROUND(F1078,2)=F1078,"OK","FIX")</f>
        <v>OK</v>
      </c>
    </row>
    <row r="1079" customFormat="false" ht="15" hidden="false" customHeight="false" outlineLevel="0" collapsed="false">
      <c r="A1079" s="2" t="s">
        <v>3878</v>
      </c>
      <c r="B1079" s="3" t="n">
        <v>45723</v>
      </c>
      <c r="C1079" s="2" t="s">
        <v>3879</v>
      </c>
      <c r="D1079" s="2" t="s">
        <v>52</v>
      </c>
      <c r="E1079" s="2" t="n">
        <v>3</v>
      </c>
      <c r="F1079" s="4" t="n">
        <v>305.16</v>
      </c>
      <c r="G1079" s="2" t="s">
        <v>494</v>
      </c>
      <c r="H1079" s="2" t="s">
        <v>38</v>
      </c>
      <c r="I1079" s="2" t="s">
        <v>39</v>
      </c>
      <c r="J1079" s="2" t="s">
        <v>3880</v>
      </c>
      <c r="K1079" s="2" t="n">
        <v>8</v>
      </c>
      <c r="L1079" s="2" t="s">
        <v>25</v>
      </c>
      <c r="M1079" s="2" t="s">
        <v>33</v>
      </c>
      <c r="N1079" s="4" t="n">
        <v>915.48</v>
      </c>
      <c r="O1079" s="2" t="str">
        <f aca="false">IF(COUNTIF($A$2:$A$1201,A1079)&gt;1,"DUPLICATE","Unique")</f>
        <v>Unique</v>
      </c>
      <c r="P1079" s="2" t="str">
        <f aca="false">IF(L1079="","MISSING","OK")</f>
        <v>OK</v>
      </c>
      <c r="Q1079" s="2" t="str">
        <f aca="false">IF(ISNUMBER(B1079),"OK","BAD DATE")</f>
        <v>OK</v>
      </c>
      <c r="R1079" s="2" t="str">
        <f aca="false">IF(ROUND(F1079,2)=F1079,"OK","FIX")</f>
        <v>OK</v>
      </c>
    </row>
    <row r="1080" customFormat="false" ht="15" hidden="false" customHeight="false" outlineLevel="0" collapsed="false">
      <c r="A1080" s="2" t="s">
        <v>3881</v>
      </c>
      <c r="B1080" s="3" t="n">
        <v>45003</v>
      </c>
      <c r="C1080" s="2" t="s">
        <v>3882</v>
      </c>
      <c r="D1080" s="2" t="s">
        <v>77</v>
      </c>
      <c r="E1080" s="2" t="n">
        <v>1</v>
      </c>
      <c r="F1080" s="4" t="n">
        <v>41.09</v>
      </c>
      <c r="G1080" s="2" t="s">
        <v>153</v>
      </c>
      <c r="H1080" s="2" t="s">
        <v>31</v>
      </c>
      <c r="I1080" s="2" t="s">
        <v>47</v>
      </c>
      <c r="J1080" s="2" t="s">
        <v>3883</v>
      </c>
      <c r="K1080" s="2" t="n">
        <v>4</v>
      </c>
      <c r="L1080" s="2" t="s">
        <v>85</v>
      </c>
      <c r="M1080" s="2" t="s">
        <v>42</v>
      </c>
      <c r="N1080" s="4" t="n">
        <v>41.09</v>
      </c>
      <c r="O1080" s="2" t="str">
        <f aca="false">IF(COUNTIF($A$2:$A$1201,A1080)&gt;1,"DUPLICATE","Unique")</f>
        <v>Unique</v>
      </c>
      <c r="P1080" s="2" t="str">
        <f aca="false">IF(L1080="","MISSING","OK")</f>
        <v>OK</v>
      </c>
      <c r="Q1080" s="2" t="str">
        <f aca="false">IF(ISNUMBER(B1080),"OK","BAD DATE")</f>
        <v>OK</v>
      </c>
      <c r="R1080" s="2" t="str">
        <f aca="false">IF(ROUND(F1080,2)=F1080,"OK","FIX")</f>
        <v>OK</v>
      </c>
    </row>
    <row r="1081" customFormat="false" ht="15" hidden="false" customHeight="false" outlineLevel="0" collapsed="false">
      <c r="A1081" s="2" t="s">
        <v>3884</v>
      </c>
      <c r="B1081" s="3" t="n">
        <v>45463</v>
      </c>
      <c r="C1081" s="2" t="s">
        <v>3885</v>
      </c>
      <c r="D1081" s="2" t="s">
        <v>29</v>
      </c>
      <c r="E1081" s="2" t="n">
        <v>5</v>
      </c>
      <c r="F1081" s="4" t="n">
        <v>634</v>
      </c>
      <c r="G1081" s="2" t="s">
        <v>3374</v>
      </c>
      <c r="H1081" s="2" t="s">
        <v>64</v>
      </c>
      <c r="I1081" s="2" t="s">
        <v>54</v>
      </c>
      <c r="J1081" s="2" t="s">
        <v>3886</v>
      </c>
      <c r="K1081" s="2" t="n">
        <v>8</v>
      </c>
      <c r="L1081" s="2"/>
      <c r="M1081" s="2" t="s">
        <v>42</v>
      </c>
      <c r="N1081" s="4" t="n">
        <v>3170</v>
      </c>
      <c r="O1081" s="2" t="str">
        <f aca="false">IF(COUNTIF($A$2:$A$1201,A1081)&gt;1,"DUPLICATE","Unique")</f>
        <v>Unique</v>
      </c>
      <c r="P1081" s="2" t="str">
        <f aca="false">IF(L1081="","MISSING","OK")</f>
        <v>MISSING</v>
      </c>
      <c r="Q1081" s="2" t="str">
        <f aca="false">IF(ISNUMBER(B1081),"OK","BAD DATE")</f>
        <v>OK</v>
      </c>
      <c r="R1081" s="2" t="str">
        <f aca="false">IF(ROUND(F1081,2)=F1081,"OK","FIX")</f>
        <v>OK</v>
      </c>
    </row>
    <row r="1082" customFormat="false" ht="15" hidden="false" customHeight="false" outlineLevel="0" collapsed="false">
      <c r="A1082" s="2" t="s">
        <v>3887</v>
      </c>
      <c r="B1082" s="3" t="n">
        <v>44946</v>
      </c>
      <c r="C1082" s="2" t="s">
        <v>3888</v>
      </c>
      <c r="D1082" s="2" t="s">
        <v>62</v>
      </c>
      <c r="E1082" s="2" t="n">
        <v>5</v>
      </c>
      <c r="F1082" s="4" t="n">
        <v>464.74</v>
      </c>
      <c r="G1082" s="2" t="s">
        <v>3889</v>
      </c>
      <c r="H1082" s="2" t="s">
        <v>64</v>
      </c>
      <c r="I1082" s="2" t="s">
        <v>54</v>
      </c>
      <c r="J1082" s="2" t="s">
        <v>3890</v>
      </c>
      <c r="K1082" s="2" t="n">
        <v>7</v>
      </c>
      <c r="L1082" s="2"/>
      <c r="M1082" s="2" t="s">
        <v>33</v>
      </c>
      <c r="N1082" s="4" t="n">
        <v>2323.7</v>
      </c>
      <c r="O1082" s="2" t="str">
        <f aca="false">IF(COUNTIF($A$2:$A$1201,A1082)&gt;1,"DUPLICATE","Unique")</f>
        <v>Unique</v>
      </c>
      <c r="P1082" s="2" t="str">
        <f aca="false">IF(L1082="","MISSING","OK")</f>
        <v>MISSING</v>
      </c>
      <c r="Q1082" s="2" t="str">
        <f aca="false">IF(ISNUMBER(B1082),"OK","BAD DATE")</f>
        <v>OK</v>
      </c>
      <c r="R1082" s="2" t="str">
        <f aca="false">IF(ROUND(F1082,2)=F1082,"OK","FIX")</f>
        <v>OK</v>
      </c>
    </row>
    <row r="1083" customFormat="false" ht="15" hidden="false" customHeight="false" outlineLevel="0" collapsed="false">
      <c r="A1083" s="2" t="s">
        <v>3891</v>
      </c>
      <c r="B1083" s="3" t="n">
        <v>45037</v>
      </c>
      <c r="C1083" s="2" t="s">
        <v>3892</v>
      </c>
      <c r="D1083" s="2" t="s">
        <v>20</v>
      </c>
      <c r="E1083" s="2" t="n">
        <v>4</v>
      </c>
      <c r="F1083" s="4" t="n">
        <v>425.6</v>
      </c>
      <c r="G1083" s="2" t="s">
        <v>1392</v>
      </c>
      <c r="H1083" s="2" t="s">
        <v>38</v>
      </c>
      <c r="I1083" s="2" t="s">
        <v>93</v>
      </c>
      <c r="J1083" s="2" t="s">
        <v>3893</v>
      </c>
      <c r="K1083" s="2" t="n">
        <v>5</v>
      </c>
      <c r="L1083" s="2" t="s">
        <v>41</v>
      </c>
      <c r="M1083" s="2" t="s">
        <v>80</v>
      </c>
      <c r="N1083" s="4" t="n">
        <v>1702.4</v>
      </c>
      <c r="O1083" s="2" t="str">
        <f aca="false">IF(COUNTIF($A$2:$A$1201,A1083)&gt;1,"DUPLICATE","Unique")</f>
        <v>Unique</v>
      </c>
      <c r="P1083" s="2" t="str">
        <f aca="false">IF(L1083="","MISSING","OK")</f>
        <v>OK</v>
      </c>
      <c r="Q1083" s="2" t="str">
        <f aca="false">IF(ISNUMBER(B1083),"OK","BAD DATE")</f>
        <v>OK</v>
      </c>
      <c r="R1083" s="2" t="str">
        <f aca="false">IF(ROUND(F1083,2)=F1083,"OK","FIX")</f>
        <v>OK</v>
      </c>
    </row>
    <row r="1084" customFormat="false" ht="15" hidden="false" customHeight="false" outlineLevel="0" collapsed="false">
      <c r="A1084" s="2" t="s">
        <v>3894</v>
      </c>
      <c r="B1084" s="3" t="n">
        <v>45205</v>
      </c>
      <c r="C1084" s="2" t="s">
        <v>3895</v>
      </c>
      <c r="D1084" s="2" t="s">
        <v>45</v>
      </c>
      <c r="E1084" s="2" t="n">
        <v>3</v>
      </c>
      <c r="F1084" s="4" t="n">
        <v>573.22</v>
      </c>
      <c r="G1084" s="2" t="s">
        <v>3755</v>
      </c>
      <c r="H1084" s="2" t="s">
        <v>22</v>
      </c>
      <c r="I1084" s="2" t="s">
        <v>93</v>
      </c>
      <c r="J1084" s="2" t="s">
        <v>3896</v>
      </c>
      <c r="K1084" s="2" t="n">
        <v>5</v>
      </c>
      <c r="L1084" s="2" t="s">
        <v>25</v>
      </c>
      <c r="M1084" s="2" t="s">
        <v>42</v>
      </c>
      <c r="N1084" s="4" t="n">
        <v>1719.66</v>
      </c>
      <c r="O1084" s="2" t="str">
        <f aca="false">IF(COUNTIF($A$2:$A$1201,A1084)&gt;1,"DUPLICATE","Unique")</f>
        <v>Unique</v>
      </c>
      <c r="P1084" s="2" t="str">
        <f aca="false">IF(L1084="","MISSING","OK")</f>
        <v>OK</v>
      </c>
      <c r="Q1084" s="2" t="str">
        <f aca="false">IF(ISNUMBER(B1084),"OK","BAD DATE")</f>
        <v>OK</v>
      </c>
      <c r="R1084" s="2" t="str">
        <f aca="false">IF(ROUND(F1084,2)=F1084,"OK","FIX")</f>
        <v>OK</v>
      </c>
    </row>
    <row r="1085" customFormat="false" ht="15" hidden="false" customHeight="false" outlineLevel="0" collapsed="false">
      <c r="A1085" s="2" t="s">
        <v>3897</v>
      </c>
      <c r="B1085" s="3" t="n">
        <v>45482</v>
      </c>
      <c r="C1085" s="2" t="s">
        <v>3898</v>
      </c>
      <c r="D1085" s="2" t="s">
        <v>45</v>
      </c>
      <c r="E1085" s="2" t="n">
        <v>1</v>
      </c>
      <c r="F1085" s="4" t="n">
        <v>123.28</v>
      </c>
      <c r="G1085" s="2" t="s">
        <v>165</v>
      </c>
      <c r="H1085" s="2" t="s">
        <v>38</v>
      </c>
      <c r="I1085" s="2" t="s">
        <v>54</v>
      </c>
      <c r="J1085" s="2" t="s">
        <v>3899</v>
      </c>
      <c r="K1085" s="2" t="n">
        <v>3</v>
      </c>
      <c r="L1085" s="2" t="s">
        <v>25</v>
      </c>
      <c r="M1085" s="2" t="s">
        <v>42</v>
      </c>
      <c r="N1085" s="4" t="n">
        <v>123.28</v>
      </c>
      <c r="O1085" s="2" t="str">
        <f aca="false">IF(COUNTIF($A$2:$A$1201,A1085)&gt;1,"DUPLICATE","Unique")</f>
        <v>Unique</v>
      </c>
      <c r="P1085" s="2" t="str">
        <f aca="false">IF(L1085="","MISSING","OK")</f>
        <v>OK</v>
      </c>
      <c r="Q1085" s="2" t="str">
        <f aca="false">IF(ISNUMBER(B1085),"OK","BAD DATE")</f>
        <v>OK</v>
      </c>
      <c r="R1085" s="2" t="str">
        <f aca="false">IF(ROUND(F1085,2)=F1085,"OK","FIX")</f>
        <v>OK</v>
      </c>
    </row>
    <row r="1086" customFormat="false" ht="15" hidden="false" customHeight="false" outlineLevel="0" collapsed="false">
      <c r="A1086" s="2" t="s">
        <v>3900</v>
      </c>
      <c r="B1086" s="3" t="n">
        <v>44934</v>
      </c>
      <c r="C1086" s="2" t="s">
        <v>3901</v>
      </c>
      <c r="D1086" s="2" t="s">
        <v>29</v>
      </c>
      <c r="E1086" s="2" t="n">
        <v>1</v>
      </c>
      <c r="F1086" s="4" t="n">
        <v>70.82</v>
      </c>
      <c r="G1086" s="2" t="s">
        <v>185</v>
      </c>
      <c r="H1086" s="2" t="s">
        <v>64</v>
      </c>
      <c r="I1086" s="2" t="s">
        <v>93</v>
      </c>
      <c r="J1086" s="2" t="s">
        <v>3902</v>
      </c>
      <c r="K1086" s="2" t="n">
        <v>1</v>
      </c>
      <c r="L1086" s="2" t="s">
        <v>85</v>
      </c>
      <c r="M1086" s="2" t="s">
        <v>26</v>
      </c>
      <c r="N1086" s="4" t="n">
        <v>70.82</v>
      </c>
      <c r="O1086" s="2" t="str">
        <f aca="false">IF(COUNTIF($A$2:$A$1201,A1086)&gt;1,"DUPLICATE","Unique")</f>
        <v>Unique</v>
      </c>
      <c r="P1086" s="2" t="str">
        <f aca="false">IF(L1086="","MISSING","OK")</f>
        <v>OK</v>
      </c>
      <c r="Q1086" s="2" t="str">
        <f aca="false">IF(ISNUMBER(B1086),"OK","BAD DATE")</f>
        <v>OK</v>
      </c>
      <c r="R1086" s="2" t="str">
        <f aca="false">IF(ROUND(F1086,2)=F1086,"OK","FIX")</f>
        <v>OK</v>
      </c>
    </row>
    <row r="1087" customFormat="false" ht="15" hidden="false" customHeight="false" outlineLevel="0" collapsed="false">
      <c r="A1087" s="2" t="s">
        <v>3903</v>
      </c>
      <c r="B1087" s="3" t="n">
        <v>45067</v>
      </c>
      <c r="C1087" s="2" t="s">
        <v>3904</v>
      </c>
      <c r="D1087" s="2" t="s">
        <v>52</v>
      </c>
      <c r="E1087" s="2" t="n">
        <v>2</v>
      </c>
      <c r="F1087" s="4" t="n">
        <v>646.69</v>
      </c>
      <c r="G1087" s="2" t="s">
        <v>618</v>
      </c>
      <c r="H1087" s="2" t="s">
        <v>22</v>
      </c>
      <c r="I1087" s="2" t="s">
        <v>23</v>
      </c>
      <c r="J1087" s="2" t="s">
        <v>3905</v>
      </c>
      <c r="K1087" s="2" t="n">
        <v>7</v>
      </c>
      <c r="L1087" s="2" t="s">
        <v>85</v>
      </c>
      <c r="M1087" s="2" t="s">
        <v>26</v>
      </c>
      <c r="N1087" s="4" t="n">
        <v>1293.38</v>
      </c>
      <c r="O1087" s="2" t="str">
        <f aca="false">IF(COUNTIF($A$2:$A$1201,A1087)&gt;1,"DUPLICATE","Unique")</f>
        <v>Unique</v>
      </c>
      <c r="P1087" s="2" t="str">
        <f aca="false">IF(L1087="","MISSING","OK")</f>
        <v>OK</v>
      </c>
      <c r="Q1087" s="2" t="str">
        <f aca="false">IF(ISNUMBER(B1087),"OK","BAD DATE")</f>
        <v>OK</v>
      </c>
      <c r="R1087" s="2" t="str">
        <f aca="false">IF(ROUND(F1087,2)=F1087,"OK","FIX")</f>
        <v>OK</v>
      </c>
    </row>
    <row r="1088" customFormat="false" ht="15" hidden="false" customHeight="false" outlineLevel="0" collapsed="false">
      <c r="A1088" s="2" t="s">
        <v>3906</v>
      </c>
      <c r="B1088" s="3" t="n">
        <v>45283</v>
      </c>
      <c r="C1088" s="2" t="s">
        <v>3907</v>
      </c>
      <c r="D1088" s="2" t="s">
        <v>36</v>
      </c>
      <c r="E1088" s="2" t="n">
        <v>2</v>
      </c>
      <c r="F1088" s="4" t="n">
        <v>513.42</v>
      </c>
      <c r="G1088" s="2" t="s">
        <v>3908</v>
      </c>
      <c r="H1088" s="2" t="s">
        <v>31</v>
      </c>
      <c r="I1088" s="2" t="s">
        <v>93</v>
      </c>
      <c r="J1088" s="2" t="s">
        <v>3909</v>
      </c>
      <c r="K1088" s="2" t="n">
        <v>5</v>
      </c>
      <c r="L1088" s="2" t="s">
        <v>85</v>
      </c>
      <c r="M1088" s="2" t="s">
        <v>26</v>
      </c>
      <c r="N1088" s="4" t="n">
        <v>1026.84</v>
      </c>
      <c r="O1088" s="2" t="str">
        <f aca="false">IF(COUNTIF($A$2:$A$1201,A1088)&gt;1,"DUPLICATE","Unique")</f>
        <v>Unique</v>
      </c>
      <c r="P1088" s="2" t="str">
        <f aca="false">IF(L1088="","MISSING","OK")</f>
        <v>OK</v>
      </c>
      <c r="Q1088" s="2" t="str">
        <f aca="false">IF(ISNUMBER(B1088),"OK","BAD DATE")</f>
        <v>OK</v>
      </c>
      <c r="R1088" s="2" t="str">
        <f aca="false">IF(ROUND(F1088,2)=F1088,"OK","FIX")</f>
        <v>OK</v>
      </c>
    </row>
    <row r="1089" customFormat="false" ht="15" hidden="false" customHeight="false" outlineLevel="0" collapsed="false">
      <c r="A1089" s="2" t="s">
        <v>3910</v>
      </c>
      <c r="B1089" s="3" t="n">
        <v>45739</v>
      </c>
      <c r="C1089" s="2" t="s">
        <v>3911</v>
      </c>
      <c r="D1089" s="2" t="s">
        <v>62</v>
      </c>
      <c r="E1089" s="2" t="n">
        <v>4</v>
      </c>
      <c r="F1089" s="4" t="n">
        <v>693.07</v>
      </c>
      <c r="G1089" s="2" t="s">
        <v>3912</v>
      </c>
      <c r="H1089" s="2" t="s">
        <v>31</v>
      </c>
      <c r="I1089" s="2" t="s">
        <v>23</v>
      </c>
      <c r="J1089" s="2" t="s">
        <v>3913</v>
      </c>
      <c r="K1089" s="2" t="n">
        <v>8</v>
      </c>
      <c r="L1089" s="2" t="s">
        <v>25</v>
      </c>
      <c r="M1089" s="2" t="s">
        <v>26</v>
      </c>
      <c r="N1089" s="4" t="n">
        <v>2772.28</v>
      </c>
      <c r="O1089" s="2" t="str">
        <f aca="false">IF(COUNTIF($A$2:$A$1201,A1089)&gt;1,"DUPLICATE","Unique")</f>
        <v>Unique</v>
      </c>
      <c r="P1089" s="2" t="str">
        <f aca="false">IF(L1089="","MISSING","OK")</f>
        <v>OK</v>
      </c>
      <c r="Q1089" s="2" t="str">
        <f aca="false">IF(ISNUMBER(B1089),"OK","BAD DATE")</f>
        <v>OK</v>
      </c>
      <c r="R1089" s="2" t="str">
        <f aca="false">IF(ROUND(F1089,2)=F1089,"OK","FIX")</f>
        <v>OK</v>
      </c>
    </row>
    <row r="1090" customFormat="false" ht="15" hidden="false" customHeight="false" outlineLevel="0" collapsed="false">
      <c r="A1090" s="2" t="s">
        <v>3914</v>
      </c>
      <c r="B1090" s="3" t="n">
        <v>45260</v>
      </c>
      <c r="C1090" s="2" t="s">
        <v>3915</v>
      </c>
      <c r="D1090" s="2" t="s">
        <v>77</v>
      </c>
      <c r="E1090" s="2" t="n">
        <v>3</v>
      </c>
      <c r="F1090" s="4" t="n">
        <v>491.43</v>
      </c>
      <c r="G1090" s="2" t="s">
        <v>3916</v>
      </c>
      <c r="H1090" s="2" t="s">
        <v>64</v>
      </c>
      <c r="I1090" s="2" t="s">
        <v>23</v>
      </c>
      <c r="J1090" s="2" t="s">
        <v>3917</v>
      </c>
      <c r="K1090" s="2" t="n">
        <v>6</v>
      </c>
      <c r="L1090" s="2" t="s">
        <v>85</v>
      </c>
      <c r="M1090" s="2" t="s">
        <v>26</v>
      </c>
      <c r="N1090" s="4" t="n">
        <v>1474.29</v>
      </c>
      <c r="O1090" s="2" t="str">
        <f aca="false">IF(COUNTIF($A$2:$A$1201,A1090)&gt;1,"DUPLICATE","Unique")</f>
        <v>Unique</v>
      </c>
      <c r="P1090" s="2" t="str">
        <f aca="false">IF(L1090="","MISSING","OK")</f>
        <v>OK</v>
      </c>
      <c r="Q1090" s="2" t="str">
        <f aca="false">IF(ISNUMBER(B1090),"OK","BAD DATE")</f>
        <v>OK</v>
      </c>
      <c r="R1090" s="2" t="str">
        <f aca="false">IF(ROUND(F1090,2)=F1090,"OK","FIX")</f>
        <v>OK</v>
      </c>
    </row>
    <row r="1091" customFormat="false" ht="15" hidden="false" customHeight="false" outlineLevel="0" collapsed="false">
      <c r="A1091" s="2" t="s">
        <v>3918</v>
      </c>
      <c r="B1091" s="3" t="n">
        <v>45731</v>
      </c>
      <c r="C1091" s="2" t="s">
        <v>3919</v>
      </c>
      <c r="D1091" s="2" t="s">
        <v>36</v>
      </c>
      <c r="E1091" s="2" t="n">
        <v>2</v>
      </c>
      <c r="F1091" s="4" t="n">
        <v>599.74</v>
      </c>
      <c r="G1091" s="2" t="s">
        <v>309</v>
      </c>
      <c r="H1091" s="2" t="s">
        <v>64</v>
      </c>
      <c r="I1091" s="2" t="s">
        <v>23</v>
      </c>
      <c r="J1091" s="2" t="s">
        <v>3920</v>
      </c>
      <c r="K1091" s="2" t="n">
        <v>2</v>
      </c>
      <c r="L1091" s="2"/>
      <c r="M1091" s="2" t="s">
        <v>26</v>
      </c>
      <c r="N1091" s="4" t="n">
        <v>1199.48</v>
      </c>
      <c r="O1091" s="2" t="str">
        <f aca="false">IF(COUNTIF($A$2:$A$1201,A1091)&gt;1,"DUPLICATE","Unique")</f>
        <v>Unique</v>
      </c>
      <c r="P1091" s="2" t="str">
        <f aca="false">IF(L1091="","MISSING","OK")</f>
        <v>MISSING</v>
      </c>
      <c r="Q1091" s="2" t="str">
        <f aca="false">IF(ISNUMBER(B1091),"OK","BAD DATE")</f>
        <v>OK</v>
      </c>
      <c r="R1091" s="2" t="str">
        <f aca="false">IF(ROUND(F1091,2)=F1091,"OK","FIX")</f>
        <v>OK</v>
      </c>
    </row>
    <row r="1092" customFormat="false" ht="15" hidden="false" customHeight="false" outlineLevel="0" collapsed="false">
      <c r="A1092" s="2" t="s">
        <v>3921</v>
      </c>
      <c r="B1092" s="3" t="n">
        <v>44982</v>
      </c>
      <c r="C1092" s="2" t="s">
        <v>3922</v>
      </c>
      <c r="D1092" s="2" t="s">
        <v>20</v>
      </c>
      <c r="E1092" s="2" t="n">
        <v>2</v>
      </c>
      <c r="F1092" s="4" t="n">
        <v>650.25</v>
      </c>
      <c r="G1092" s="2" t="s">
        <v>169</v>
      </c>
      <c r="H1092" s="2" t="s">
        <v>64</v>
      </c>
      <c r="I1092" s="2" t="s">
        <v>47</v>
      </c>
      <c r="J1092" s="2" t="s">
        <v>3923</v>
      </c>
      <c r="K1092" s="2" t="n">
        <v>6</v>
      </c>
      <c r="L1092" s="2"/>
      <c r="M1092" s="2" t="s">
        <v>26</v>
      </c>
      <c r="N1092" s="4" t="n">
        <v>1300.5</v>
      </c>
      <c r="O1092" s="2" t="str">
        <f aca="false">IF(COUNTIF($A$2:$A$1201,A1092)&gt;1,"DUPLICATE","Unique")</f>
        <v>Unique</v>
      </c>
      <c r="P1092" s="2" t="str">
        <f aca="false">IF(L1092="","MISSING","OK")</f>
        <v>MISSING</v>
      </c>
      <c r="Q1092" s="2" t="str">
        <f aca="false">IF(ISNUMBER(B1092),"OK","BAD DATE")</f>
        <v>OK</v>
      </c>
      <c r="R1092" s="2" t="str">
        <f aca="false">IF(ROUND(F1092,2)=F1092,"OK","FIX")</f>
        <v>OK</v>
      </c>
    </row>
    <row r="1093" customFormat="false" ht="15" hidden="false" customHeight="false" outlineLevel="0" collapsed="false">
      <c r="A1093" s="2" t="s">
        <v>3924</v>
      </c>
      <c r="B1093" s="3" t="n">
        <v>45573</v>
      </c>
      <c r="C1093" s="2" t="s">
        <v>3925</v>
      </c>
      <c r="D1093" s="2" t="s">
        <v>62</v>
      </c>
      <c r="E1093" s="2" t="n">
        <v>3</v>
      </c>
      <c r="F1093" s="4" t="n">
        <v>209.48</v>
      </c>
      <c r="G1093" s="2" t="s">
        <v>1613</v>
      </c>
      <c r="H1093" s="2" t="s">
        <v>22</v>
      </c>
      <c r="I1093" s="2" t="s">
        <v>93</v>
      </c>
      <c r="J1093" s="2" t="s">
        <v>3926</v>
      </c>
      <c r="K1093" s="2" t="n">
        <v>4</v>
      </c>
      <c r="L1093" s="2"/>
      <c r="M1093" s="2" t="s">
        <v>42</v>
      </c>
      <c r="N1093" s="4" t="n">
        <v>628.44</v>
      </c>
      <c r="O1093" s="2" t="str">
        <f aca="false">IF(COUNTIF($A$2:$A$1201,A1093)&gt;1,"DUPLICATE","Unique")</f>
        <v>Unique</v>
      </c>
      <c r="P1093" s="2" t="str">
        <f aca="false">IF(L1093="","MISSING","OK")</f>
        <v>MISSING</v>
      </c>
      <c r="Q1093" s="2" t="str">
        <f aca="false">IF(ISNUMBER(B1093),"OK","BAD DATE")</f>
        <v>OK</v>
      </c>
      <c r="R1093" s="2" t="str">
        <f aca="false">IF(ROUND(F1093,2)=F1093,"OK","FIX")</f>
        <v>OK</v>
      </c>
    </row>
    <row r="1094" customFormat="false" ht="15" hidden="false" customHeight="false" outlineLevel="0" collapsed="false">
      <c r="A1094" s="2" t="s">
        <v>3927</v>
      </c>
      <c r="B1094" s="3" t="n">
        <v>45159</v>
      </c>
      <c r="C1094" s="2" t="s">
        <v>3928</v>
      </c>
      <c r="D1094" s="2" t="s">
        <v>62</v>
      </c>
      <c r="E1094" s="2" t="n">
        <v>5</v>
      </c>
      <c r="F1094" s="4" t="n">
        <v>209.2</v>
      </c>
      <c r="G1094" s="2" t="s">
        <v>161</v>
      </c>
      <c r="H1094" s="2" t="s">
        <v>22</v>
      </c>
      <c r="I1094" s="2" t="s">
        <v>54</v>
      </c>
      <c r="J1094" s="2" t="s">
        <v>3929</v>
      </c>
      <c r="K1094" s="2" t="n">
        <v>6</v>
      </c>
      <c r="L1094" s="2" t="s">
        <v>85</v>
      </c>
      <c r="M1094" s="2" t="s">
        <v>42</v>
      </c>
      <c r="N1094" s="4" t="n">
        <v>1046</v>
      </c>
      <c r="O1094" s="2" t="str">
        <f aca="false">IF(COUNTIF($A$2:$A$1201,A1094)&gt;1,"DUPLICATE","Unique")</f>
        <v>Unique</v>
      </c>
      <c r="P1094" s="2" t="str">
        <f aca="false">IF(L1094="","MISSING","OK")</f>
        <v>OK</v>
      </c>
      <c r="Q1094" s="2" t="str">
        <f aca="false">IF(ISNUMBER(B1094),"OK","BAD DATE")</f>
        <v>OK</v>
      </c>
      <c r="R1094" s="2" t="str">
        <f aca="false">IF(ROUND(F1094,2)=F1094,"OK","FIX")</f>
        <v>OK</v>
      </c>
    </row>
    <row r="1095" customFormat="false" ht="15" hidden="false" customHeight="false" outlineLevel="0" collapsed="false">
      <c r="A1095" s="2" t="s">
        <v>3930</v>
      </c>
      <c r="B1095" s="3" t="n">
        <v>45086</v>
      </c>
      <c r="C1095" s="2" t="s">
        <v>3931</v>
      </c>
      <c r="D1095" s="2" t="s">
        <v>29</v>
      </c>
      <c r="E1095" s="2" t="n">
        <v>4</v>
      </c>
      <c r="F1095" s="4" t="n">
        <v>197.36</v>
      </c>
      <c r="G1095" s="2" t="s">
        <v>3932</v>
      </c>
      <c r="H1095" s="2" t="s">
        <v>64</v>
      </c>
      <c r="I1095" s="2" t="s">
        <v>47</v>
      </c>
      <c r="J1095" s="2" t="s">
        <v>3933</v>
      </c>
      <c r="K1095" s="2" t="n">
        <v>9</v>
      </c>
      <c r="L1095" s="2" t="s">
        <v>41</v>
      </c>
      <c r="M1095" s="2" t="s">
        <v>26</v>
      </c>
      <c r="N1095" s="4" t="n">
        <v>789.44</v>
      </c>
      <c r="O1095" s="2" t="str">
        <f aca="false">IF(COUNTIF($A$2:$A$1201,A1095)&gt;1,"DUPLICATE","Unique")</f>
        <v>Unique</v>
      </c>
      <c r="P1095" s="2" t="str">
        <f aca="false">IF(L1095="","MISSING","OK")</f>
        <v>OK</v>
      </c>
      <c r="Q1095" s="2" t="str">
        <f aca="false">IF(ISNUMBER(B1095),"OK","BAD DATE")</f>
        <v>OK</v>
      </c>
      <c r="R1095" s="2" t="str">
        <f aca="false">IF(ROUND(F1095,2)=F1095,"OK","FIX")</f>
        <v>OK</v>
      </c>
    </row>
    <row r="1096" customFormat="false" ht="15" hidden="false" customHeight="false" outlineLevel="0" collapsed="false">
      <c r="A1096" s="2" t="s">
        <v>3934</v>
      </c>
      <c r="B1096" s="3" t="n">
        <v>45105</v>
      </c>
      <c r="C1096" s="2" t="s">
        <v>3935</v>
      </c>
      <c r="D1096" s="2" t="s">
        <v>52</v>
      </c>
      <c r="E1096" s="2" t="n">
        <v>4</v>
      </c>
      <c r="F1096" s="4" t="n">
        <v>648.91</v>
      </c>
      <c r="G1096" s="2" t="s">
        <v>3936</v>
      </c>
      <c r="H1096" s="2" t="s">
        <v>38</v>
      </c>
      <c r="I1096" s="2" t="s">
        <v>23</v>
      </c>
      <c r="J1096" s="2" t="s">
        <v>3937</v>
      </c>
      <c r="K1096" s="2" t="n">
        <v>6</v>
      </c>
      <c r="L1096" s="2" t="s">
        <v>25</v>
      </c>
      <c r="M1096" s="2" t="s">
        <v>26</v>
      </c>
      <c r="N1096" s="4" t="n">
        <v>2595.64</v>
      </c>
      <c r="O1096" s="2" t="str">
        <f aca="false">IF(COUNTIF($A$2:$A$1201,A1096)&gt;1,"DUPLICATE","Unique")</f>
        <v>Unique</v>
      </c>
      <c r="P1096" s="2" t="str">
        <f aca="false">IF(L1096="","MISSING","OK")</f>
        <v>OK</v>
      </c>
      <c r="Q1096" s="2" t="str">
        <f aca="false">IF(ISNUMBER(B1096),"OK","BAD DATE")</f>
        <v>OK</v>
      </c>
      <c r="R1096" s="2" t="str">
        <f aca="false">IF(ROUND(F1096,2)=F1096,"OK","FIX")</f>
        <v>OK</v>
      </c>
    </row>
    <row r="1097" customFormat="false" ht="15" hidden="false" customHeight="false" outlineLevel="0" collapsed="false">
      <c r="A1097" s="2" t="s">
        <v>3938</v>
      </c>
      <c r="B1097" s="3" t="n">
        <v>45405</v>
      </c>
      <c r="C1097" s="2" t="s">
        <v>3939</v>
      </c>
      <c r="D1097" s="2" t="s">
        <v>29</v>
      </c>
      <c r="E1097" s="2" t="n">
        <v>2</v>
      </c>
      <c r="F1097" s="4" t="n">
        <v>441.54</v>
      </c>
      <c r="G1097" s="2" t="s">
        <v>3940</v>
      </c>
      <c r="H1097" s="2" t="s">
        <v>31</v>
      </c>
      <c r="I1097" s="2" t="s">
        <v>54</v>
      </c>
      <c r="J1097" s="2" t="s">
        <v>3941</v>
      </c>
      <c r="K1097" s="2" t="n">
        <v>2</v>
      </c>
      <c r="L1097" s="2" t="s">
        <v>25</v>
      </c>
      <c r="M1097" s="2" t="s">
        <v>42</v>
      </c>
      <c r="N1097" s="4" t="n">
        <v>883.08</v>
      </c>
      <c r="O1097" s="2" t="str">
        <f aca="false">IF(COUNTIF($A$2:$A$1201,A1097)&gt;1,"DUPLICATE","Unique")</f>
        <v>Unique</v>
      </c>
      <c r="P1097" s="2" t="str">
        <f aca="false">IF(L1097="","MISSING","OK")</f>
        <v>OK</v>
      </c>
      <c r="Q1097" s="2" t="str">
        <f aca="false">IF(ISNUMBER(B1097),"OK","BAD DATE")</f>
        <v>OK</v>
      </c>
      <c r="R1097" s="2" t="str">
        <f aca="false">IF(ROUND(F1097,2)=F1097,"OK","FIX")</f>
        <v>OK</v>
      </c>
    </row>
    <row r="1098" customFormat="false" ht="15" hidden="false" customHeight="false" outlineLevel="0" collapsed="false">
      <c r="A1098" s="2" t="s">
        <v>3942</v>
      </c>
      <c r="B1098" s="3" t="n">
        <v>45780</v>
      </c>
      <c r="C1098" s="2" t="s">
        <v>3943</v>
      </c>
      <c r="D1098" s="2" t="s">
        <v>36</v>
      </c>
      <c r="E1098" s="2" t="n">
        <v>2</v>
      </c>
      <c r="F1098" s="4" t="n">
        <v>464.92</v>
      </c>
      <c r="G1098" s="2" t="s">
        <v>3944</v>
      </c>
      <c r="H1098" s="2" t="s">
        <v>22</v>
      </c>
      <c r="I1098" s="2" t="s">
        <v>47</v>
      </c>
      <c r="J1098" s="2" t="s">
        <v>3945</v>
      </c>
      <c r="K1098" s="2" t="n">
        <v>2</v>
      </c>
      <c r="L1098" s="2"/>
      <c r="M1098" s="2" t="s">
        <v>49</v>
      </c>
      <c r="N1098" s="4" t="n">
        <v>929.84</v>
      </c>
      <c r="O1098" s="2" t="str">
        <f aca="false">IF(COUNTIF($A$2:$A$1201,A1098)&gt;1,"DUPLICATE","Unique")</f>
        <v>Unique</v>
      </c>
      <c r="P1098" s="2" t="str">
        <f aca="false">IF(L1098="","MISSING","OK")</f>
        <v>MISSING</v>
      </c>
      <c r="Q1098" s="2" t="str">
        <f aca="false">IF(ISNUMBER(B1098),"OK","BAD DATE")</f>
        <v>OK</v>
      </c>
      <c r="R1098" s="2" t="str">
        <f aca="false">IF(ROUND(F1098,2)=F1098,"OK","FIX")</f>
        <v>OK</v>
      </c>
    </row>
    <row r="1099" customFormat="false" ht="15" hidden="false" customHeight="false" outlineLevel="0" collapsed="false">
      <c r="A1099" s="2" t="s">
        <v>3946</v>
      </c>
      <c r="B1099" s="3" t="n">
        <v>45652</v>
      </c>
      <c r="C1099" s="2" t="s">
        <v>3947</v>
      </c>
      <c r="D1099" s="2" t="s">
        <v>20</v>
      </c>
      <c r="E1099" s="2" t="n">
        <v>5</v>
      </c>
      <c r="F1099" s="4" t="n">
        <v>506.45</v>
      </c>
      <c r="G1099" s="2" t="s">
        <v>3948</v>
      </c>
      <c r="H1099" s="2" t="s">
        <v>64</v>
      </c>
      <c r="I1099" s="2" t="s">
        <v>23</v>
      </c>
      <c r="J1099" s="2" t="s">
        <v>3949</v>
      </c>
      <c r="K1099" s="2" t="n">
        <v>7</v>
      </c>
      <c r="L1099" s="2" t="s">
        <v>85</v>
      </c>
      <c r="M1099" s="2" t="s">
        <v>80</v>
      </c>
      <c r="N1099" s="4" t="n">
        <v>2532.25</v>
      </c>
      <c r="O1099" s="2" t="str">
        <f aca="false">IF(COUNTIF($A$2:$A$1201,A1099)&gt;1,"DUPLICATE","Unique")</f>
        <v>Unique</v>
      </c>
      <c r="P1099" s="2" t="str">
        <f aca="false">IF(L1099="","MISSING","OK")</f>
        <v>OK</v>
      </c>
      <c r="Q1099" s="2" t="str">
        <f aca="false">IF(ISNUMBER(B1099),"OK","BAD DATE")</f>
        <v>OK</v>
      </c>
      <c r="R1099" s="2" t="str">
        <f aca="false">IF(ROUND(F1099,2)=F1099,"OK","FIX")</f>
        <v>OK</v>
      </c>
    </row>
    <row r="1100" customFormat="false" ht="15" hidden="false" customHeight="false" outlineLevel="0" collapsed="false">
      <c r="A1100" s="2" t="s">
        <v>3950</v>
      </c>
      <c r="B1100" s="3" t="n">
        <v>45094</v>
      </c>
      <c r="C1100" s="2" t="s">
        <v>3951</v>
      </c>
      <c r="D1100" s="2" t="s">
        <v>20</v>
      </c>
      <c r="E1100" s="2" t="n">
        <v>4</v>
      </c>
      <c r="F1100" s="4" t="n">
        <v>255.86</v>
      </c>
      <c r="G1100" s="2" t="s">
        <v>3952</v>
      </c>
      <c r="H1100" s="2" t="s">
        <v>38</v>
      </c>
      <c r="I1100" s="2" t="s">
        <v>54</v>
      </c>
      <c r="J1100" s="2" t="s">
        <v>3953</v>
      </c>
      <c r="K1100" s="2" t="n">
        <v>7</v>
      </c>
      <c r="L1100" s="2"/>
      <c r="M1100" s="2" t="s">
        <v>42</v>
      </c>
      <c r="N1100" s="4" t="n">
        <v>1023.44</v>
      </c>
      <c r="O1100" s="2" t="str">
        <f aca="false">IF(COUNTIF($A$2:$A$1201,A1100)&gt;1,"DUPLICATE","Unique")</f>
        <v>Unique</v>
      </c>
      <c r="P1100" s="2" t="str">
        <f aca="false">IF(L1100="","MISSING","OK")</f>
        <v>MISSING</v>
      </c>
      <c r="Q1100" s="2" t="str">
        <f aca="false">IF(ISNUMBER(B1100),"OK","BAD DATE")</f>
        <v>OK</v>
      </c>
      <c r="R1100" s="2" t="str">
        <f aca="false">IF(ROUND(F1100,2)=F1100,"OK","FIX")</f>
        <v>OK</v>
      </c>
    </row>
    <row r="1101" customFormat="false" ht="15" hidden="false" customHeight="false" outlineLevel="0" collapsed="false">
      <c r="A1101" s="2" t="s">
        <v>3954</v>
      </c>
      <c r="B1101" s="3" t="n">
        <v>45554</v>
      </c>
      <c r="C1101" s="2" t="s">
        <v>3955</v>
      </c>
      <c r="D1101" s="2" t="s">
        <v>62</v>
      </c>
      <c r="E1101" s="2" t="n">
        <v>2</v>
      </c>
      <c r="F1101" s="4" t="n">
        <v>125.23</v>
      </c>
      <c r="G1101" s="2" t="s">
        <v>1505</v>
      </c>
      <c r="H1101" s="2" t="s">
        <v>69</v>
      </c>
      <c r="I1101" s="2" t="s">
        <v>39</v>
      </c>
      <c r="J1101" s="2" t="s">
        <v>3956</v>
      </c>
      <c r="K1101" s="2" t="n">
        <v>3</v>
      </c>
      <c r="L1101" s="2" t="s">
        <v>41</v>
      </c>
      <c r="M1101" s="2" t="s">
        <v>42</v>
      </c>
      <c r="N1101" s="4" t="n">
        <v>250.46</v>
      </c>
      <c r="O1101" s="2" t="str">
        <f aca="false">IF(COUNTIF($A$2:$A$1201,A1101)&gt;1,"DUPLICATE","Unique")</f>
        <v>Unique</v>
      </c>
      <c r="P1101" s="2" t="str">
        <f aca="false">IF(L1101="","MISSING","OK")</f>
        <v>OK</v>
      </c>
      <c r="Q1101" s="2" t="str">
        <f aca="false">IF(ISNUMBER(B1101),"OK","BAD DATE")</f>
        <v>OK</v>
      </c>
      <c r="R1101" s="2" t="str">
        <f aca="false">IF(ROUND(F1101,2)=F1101,"OK","FIX")</f>
        <v>OK</v>
      </c>
    </row>
    <row r="1102" customFormat="false" ht="15" hidden="false" customHeight="false" outlineLevel="0" collapsed="false">
      <c r="A1102" s="2" t="s">
        <v>3957</v>
      </c>
      <c r="B1102" s="3" t="n">
        <v>45155</v>
      </c>
      <c r="C1102" s="2" t="s">
        <v>3958</v>
      </c>
      <c r="D1102" s="2" t="s">
        <v>62</v>
      </c>
      <c r="E1102" s="2" t="n">
        <v>5</v>
      </c>
      <c r="F1102" s="4" t="n">
        <v>38.11</v>
      </c>
      <c r="G1102" s="2" t="s">
        <v>3959</v>
      </c>
      <c r="H1102" s="2" t="s">
        <v>22</v>
      </c>
      <c r="I1102" s="2" t="s">
        <v>39</v>
      </c>
      <c r="J1102" s="2" t="s">
        <v>3960</v>
      </c>
      <c r="K1102" s="2" t="n">
        <v>6</v>
      </c>
      <c r="L1102" s="2" t="s">
        <v>85</v>
      </c>
      <c r="M1102" s="2" t="s">
        <v>26</v>
      </c>
      <c r="N1102" s="4" t="n">
        <v>190.55</v>
      </c>
      <c r="O1102" s="2" t="str">
        <f aca="false">IF(COUNTIF($A$2:$A$1201,A1102)&gt;1,"DUPLICATE","Unique")</f>
        <v>Unique</v>
      </c>
      <c r="P1102" s="2" t="str">
        <f aca="false">IF(L1102="","MISSING","OK")</f>
        <v>OK</v>
      </c>
      <c r="Q1102" s="2" t="str">
        <f aca="false">IF(ISNUMBER(B1102),"OK","BAD DATE")</f>
        <v>OK</v>
      </c>
      <c r="R1102" s="2" t="str">
        <f aca="false">IF(ROUND(F1102,2)=F1102,"OK","FIX")</f>
        <v>OK</v>
      </c>
    </row>
    <row r="1103" customFormat="false" ht="15" hidden="false" customHeight="false" outlineLevel="0" collapsed="false">
      <c r="A1103" s="2" t="s">
        <v>3961</v>
      </c>
      <c r="B1103" s="3" t="n">
        <v>45816</v>
      </c>
      <c r="C1103" s="2" t="s">
        <v>3962</v>
      </c>
      <c r="D1103" s="2" t="s">
        <v>20</v>
      </c>
      <c r="E1103" s="2" t="n">
        <v>3</v>
      </c>
      <c r="F1103" s="4" t="n">
        <v>161.97</v>
      </c>
      <c r="G1103" s="2" t="s">
        <v>73</v>
      </c>
      <c r="H1103" s="2" t="s">
        <v>69</v>
      </c>
      <c r="I1103" s="2" t="s">
        <v>93</v>
      </c>
      <c r="J1103" s="2" t="s">
        <v>3963</v>
      </c>
      <c r="K1103" s="2" t="n">
        <v>4</v>
      </c>
      <c r="L1103" s="2" t="s">
        <v>25</v>
      </c>
      <c r="M1103" s="2" t="s">
        <v>42</v>
      </c>
      <c r="N1103" s="4" t="n">
        <v>485.91</v>
      </c>
      <c r="O1103" s="2" t="str">
        <f aca="false">IF(COUNTIF($A$2:$A$1201,A1103)&gt;1,"DUPLICATE","Unique")</f>
        <v>Unique</v>
      </c>
      <c r="P1103" s="2" t="str">
        <f aca="false">IF(L1103="","MISSING","OK")</f>
        <v>OK</v>
      </c>
      <c r="Q1103" s="2" t="str">
        <f aca="false">IF(ISNUMBER(B1103),"OK","BAD DATE")</f>
        <v>OK</v>
      </c>
      <c r="R1103" s="2" t="str">
        <f aca="false">IF(ROUND(F1103,2)=F1103,"OK","FIX")</f>
        <v>OK</v>
      </c>
    </row>
    <row r="1104" customFormat="false" ht="15" hidden="false" customHeight="false" outlineLevel="0" collapsed="false">
      <c r="A1104" s="2" t="s">
        <v>3964</v>
      </c>
      <c r="B1104" s="3" t="n">
        <v>45446</v>
      </c>
      <c r="C1104" s="2" t="s">
        <v>100</v>
      </c>
      <c r="D1104" s="2" t="s">
        <v>45</v>
      </c>
      <c r="E1104" s="2" t="n">
        <v>4</v>
      </c>
      <c r="F1104" s="4" t="n">
        <v>347.17</v>
      </c>
      <c r="G1104" s="2" t="s">
        <v>2783</v>
      </c>
      <c r="H1104" s="2" t="s">
        <v>22</v>
      </c>
      <c r="I1104" s="2" t="s">
        <v>23</v>
      </c>
      <c r="J1104" s="2" t="s">
        <v>3965</v>
      </c>
      <c r="K1104" s="2" t="n">
        <v>8</v>
      </c>
      <c r="L1104" s="2"/>
      <c r="M1104" s="2" t="s">
        <v>26</v>
      </c>
      <c r="N1104" s="4" t="n">
        <v>1388.68</v>
      </c>
      <c r="O1104" s="2" t="str">
        <f aca="false">IF(COUNTIF($A$2:$A$1201,A1104)&gt;1,"DUPLICATE","Unique")</f>
        <v>Unique</v>
      </c>
      <c r="P1104" s="2" t="str">
        <f aca="false">IF(L1104="","MISSING","OK")</f>
        <v>MISSING</v>
      </c>
      <c r="Q1104" s="2" t="str">
        <f aca="false">IF(ISNUMBER(B1104),"OK","BAD DATE")</f>
        <v>OK</v>
      </c>
      <c r="R1104" s="2" t="str">
        <f aca="false">IF(ROUND(F1104,2)=F1104,"OK","FIX")</f>
        <v>OK</v>
      </c>
    </row>
    <row r="1105" customFormat="false" ht="15" hidden="false" customHeight="false" outlineLevel="0" collapsed="false">
      <c r="A1105" s="2" t="s">
        <v>3966</v>
      </c>
      <c r="B1105" s="3" t="n">
        <v>45040</v>
      </c>
      <c r="C1105" s="2" t="s">
        <v>3967</v>
      </c>
      <c r="D1105" s="2" t="s">
        <v>62</v>
      </c>
      <c r="E1105" s="2" t="n">
        <v>4</v>
      </c>
      <c r="F1105" s="4" t="n">
        <v>276.32</v>
      </c>
      <c r="G1105" s="2" t="s">
        <v>331</v>
      </c>
      <c r="H1105" s="2" t="s">
        <v>31</v>
      </c>
      <c r="I1105" s="2" t="s">
        <v>54</v>
      </c>
      <c r="J1105" s="2" t="s">
        <v>3968</v>
      </c>
      <c r="K1105" s="2" t="n">
        <v>5</v>
      </c>
      <c r="L1105" s="2"/>
      <c r="M1105" s="2" t="s">
        <v>80</v>
      </c>
      <c r="N1105" s="4" t="n">
        <v>1105.28</v>
      </c>
      <c r="O1105" s="2" t="str">
        <f aca="false">IF(COUNTIF($A$2:$A$1201,A1105)&gt;1,"DUPLICATE","Unique")</f>
        <v>Unique</v>
      </c>
      <c r="P1105" s="2" t="str">
        <f aca="false">IF(L1105="","MISSING","OK")</f>
        <v>MISSING</v>
      </c>
      <c r="Q1105" s="2" t="str">
        <f aca="false">IF(ISNUMBER(B1105),"OK","BAD DATE")</f>
        <v>OK</v>
      </c>
      <c r="R1105" s="2" t="str">
        <f aca="false">IF(ROUND(F1105,2)=F1105,"OK","FIX")</f>
        <v>OK</v>
      </c>
    </row>
    <row r="1106" customFormat="false" ht="15" hidden="false" customHeight="false" outlineLevel="0" collapsed="false">
      <c r="A1106" s="2" t="s">
        <v>3969</v>
      </c>
      <c r="B1106" s="3" t="n">
        <v>45498</v>
      </c>
      <c r="C1106" s="2" t="s">
        <v>3970</v>
      </c>
      <c r="D1106" s="2" t="s">
        <v>36</v>
      </c>
      <c r="E1106" s="2" t="n">
        <v>4</v>
      </c>
      <c r="F1106" s="4" t="n">
        <v>314.76</v>
      </c>
      <c r="G1106" s="2" t="s">
        <v>3971</v>
      </c>
      <c r="H1106" s="2" t="s">
        <v>31</v>
      </c>
      <c r="I1106" s="2" t="s">
        <v>23</v>
      </c>
      <c r="J1106" s="2" t="s">
        <v>3972</v>
      </c>
      <c r="K1106" s="2" t="n">
        <v>8</v>
      </c>
      <c r="L1106" s="2"/>
      <c r="M1106" s="2" t="s">
        <v>26</v>
      </c>
      <c r="N1106" s="4" t="n">
        <v>1259.04</v>
      </c>
      <c r="O1106" s="2" t="str">
        <f aca="false">IF(COUNTIF($A$2:$A$1201,A1106)&gt;1,"DUPLICATE","Unique")</f>
        <v>Unique</v>
      </c>
      <c r="P1106" s="2" t="str">
        <f aca="false">IF(L1106="","MISSING","OK")</f>
        <v>MISSING</v>
      </c>
      <c r="Q1106" s="2" t="str">
        <f aca="false">IF(ISNUMBER(B1106),"OK","BAD DATE")</f>
        <v>OK</v>
      </c>
      <c r="R1106" s="2" t="str">
        <f aca="false">IF(ROUND(F1106,2)=F1106,"OK","FIX")</f>
        <v>OK</v>
      </c>
    </row>
    <row r="1107" customFormat="false" ht="15" hidden="false" customHeight="false" outlineLevel="0" collapsed="false">
      <c r="A1107" s="2" t="s">
        <v>3973</v>
      </c>
      <c r="B1107" s="3" t="n">
        <v>45299</v>
      </c>
      <c r="C1107" s="2" t="s">
        <v>3974</v>
      </c>
      <c r="D1107" s="2" t="s">
        <v>36</v>
      </c>
      <c r="E1107" s="2" t="n">
        <v>3</v>
      </c>
      <c r="F1107" s="4" t="n">
        <v>475.69</v>
      </c>
      <c r="G1107" s="2" t="s">
        <v>1101</v>
      </c>
      <c r="H1107" s="2" t="s">
        <v>64</v>
      </c>
      <c r="I1107" s="2" t="s">
        <v>39</v>
      </c>
      <c r="J1107" s="2" t="s">
        <v>3975</v>
      </c>
      <c r="K1107" s="2" t="n">
        <v>3</v>
      </c>
      <c r="L1107" s="2" t="s">
        <v>41</v>
      </c>
      <c r="M1107" s="2" t="s">
        <v>80</v>
      </c>
      <c r="N1107" s="4" t="n">
        <v>1427.07</v>
      </c>
      <c r="O1107" s="2" t="str">
        <f aca="false">IF(COUNTIF($A$2:$A$1201,A1107)&gt;1,"DUPLICATE","Unique")</f>
        <v>Unique</v>
      </c>
      <c r="P1107" s="2" t="str">
        <f aca="false">IF(L1107="","MISSING","OK")</f>
        <v>OK</v>
      </c>
      <c r="Q1107" s="2" t="str">
        <f aca="false">IF(ISNUMBER(B1107),"OK","BAD DATE")</f>
        <v>OK</v>
      </c>
      <c r="R1107" s="2" t="str">
        <f aca="false">IF(ROUND(F1107,2)=F1107,"OK","FIX")</f>
        <v>OK</v>
      </c>
    </row>
    <row r="1108" customFormat="false" ht="15" hidden="false" customHeight="false" outlineLevel="0" collapsed="false">
      <c r="A1108" s="2" t="s">
        <v>3976</v>
      </c>
      <c r="B1108" s="3" t="n">
        <v>44997</v>
      </c>
      <c r="C1108" s="2" t="s">
        <v>3977</v>
      </c>
      <c r="D1108" s="2" t="s">
        <v>45</v>
      </c>
      <c r="E1108" s="2" t="n">
        <v>1</v>
      </c>
      <c r="F1108" s="4" t="n">
        <v>372.8</v>
      </c>
      <c r="G1108" s="2" t="s">
        <v>97</v>
      </c>
      <c r="H1108" s="2" t="s">
        <v>69</v>
      </c>
      <c r="I1108" s="2" t="s">
        <v>39</v>
      </c>
      <c r="J1108" s="2" t="s">
        <v>3978</v>
      </c>
      <c r="K1108" s="2" t="n">
        <v>6</v>
      </c>
      <c r="L1108" s="2" t="s">
        <v>25</v>
      </c>
      <c r="M1108" s="2" t="s">
        <v>49</v>
      </c>
      <c r="N1108" s="4" t="n">
        <v>372.8</v>
      </c>
      <c r="O1108" s="2" t="str">
        <f aca="false">IF(COUNTIF($A$2:$A$1201,A1108)&gt;1,"DUPLICATE","Unique")</f>
        <v>Unique</v>
      </c>
      <c r="P1108" s="2" t="str">
        <f aca="false">IF(L1108="","MISSING","OK")</f>
        <v>OK</v>
      </c>
      <c r="Q1108" s="2" t="str">
        <f aca="false">IF(ISNUMBER(B1108),"OK","BAD DATE")</f>
        <v>OK</v>
      </c>
      <c r="R1108" s="2" t="str">
        <f aca="false">IF(ROUND(F1108,2)=F1108,"OK","FIX")</f>
        <v>OK</v>
      </c>
    </row>
    <row r="1109" customFormat="false" ht="15" hidden="false" customHeight="false" outlineLevel="0" collapsed="false">
      <c r="A1109" s="2" t="s">
        <v>3979</v>
      </c>
      <c r="B1109" s="3" t="n">
        <v>45838</v>
      </c>
      <c r="C1109" s="2" t="s">
        <v>3980</v>
      </c>
      <c r="D1109" s="2" t="s">
        <v>36</v>
      </c>
      <c r="E1109" s="2" t="n">
        <v>2</v>
      </c>
      <c r="F1109" s="4" t="n">
        <v>63.21</v>
      </c>
      <c r="G1109" s="2" t="s">
        <v>2294</v>
      </c>
      <c r="H1109" s="2" t="s">
        <v>31</v>
      </c>
      <c r="I1109" s="2" t="s">
        <v>39</v>
      </c>
      <c r="J1109" s="2" t="s">
        <v>3981</v>
      </c>
      <c r="K1109" s="2" t="n">
        <v>4</v>
      </c>
      <c r="L1109" s="2" t="s">
        <v>25</v>
      </c>
      <c r="M1109" s="2" t="s">
        <v>80</v>
      </c>
      <c r="N1109" s="4" t="n">
        <v>126.42</v>
      </c>
      <c r="O1109" s="2" t="str">
        <f aca="false">IF(COUNTIF($A$2:$A$1201,A1109)&gt;1,"DUPLICATE","Unique")</f>
        <v>Unique</v>
      </c>
      <c r="P1109" s="2" t="str">
        <f aca="false">IF(L1109="","MISSING","OK")</f>
        <v>OK</v>
      </c>
      <c r="Q1109" s="2" t="str">
        <f aca="false">IF(ISNUMBER(B1109),"OK","BAD DATE")</f>
        <v>OK</v>
      </c>
      <c r="R1109" s="2" t="str">
        <f aca="false">IF(ROUND(F1109,2)=F1109,"OK","FIX")</f>
        <v>OK</v>
      </c>
    </row>
    <row r="1110" customFormat="false" ht="15" hidden="false" customHeight="false" outlineLevel="0" collapsed="false">
      <c r="A1110" s="2" t="s">
        <v>3982</v>
      </c>
      <c r="B1110" s="3" t="n">
        <v>45005</v>
      </c>
      <c r="C1110" s="2" t="s">
        <v>3983</v>
      </c>
      <c r="D1110" s="2" t="s">
        <v>62</v>
      </c>
      <c r="E1110" s="2" t="n">
        <v>1</v>
      </c>
      <c r="F1110" s="4" t="n">
        <v>634.94</v>
      </c>
      <c r="G1110" s="2" t="s">
        <v>3984</v>
      </c>
      <c r="H1110" s="2" t="s">
        <v>31</v>
      </c>
      <c r="I1110" s="2" t="s">
        <v>39</v>
      </c>
      <c r="J1110" s="2" t="s">
        <v>3985</v>
      </c>
      <c r="K1110" s="2" t="n">
        <v>5</v>
      </c>
      <c r="L1110" s="2" t="s">
        <v>85</v>
      </c>
      <c r="M1110" s="2" t="s">
        <v>26</v>
      </c>
      <c r="N1110" s="4" t="n">
        <v>634.94</v>
      </c>
      <c r="O1110" s="2" t="str">
        <f aca="false">IF(COUNTIF($A$2:$A$1201,A1110)&gt;1,"DUPLICATE","Unique")</f>
        <v>Unique</v>
      </c>
      <c r="P1110" s="2" t="str">
        <f aca="false">IF(L1110="","MISSING","OK")</f>
        <v>OK</v>
      </c>
      <c r="Q1110" s="2" t="str">
        <f aca="false">IF(ISNUMBER(B1110),"OK","BAD DATE")</f>
        <v>OK</v>
      </c>
      <c r="R1110" s="2" t="str">
        <f aca="false">IF(ROUND(F1110,2)=F1110,"OK","FIX")</f>
        <v>OK</v>
      </c>
    </row>
    <row r="1111" customFormat="false" ht="15" hidden="false" customHeight="false" outlineLevel="0" collapsed="false">
      <c r="A1111" s="2" t="s">
        <v>3986</v>
      </c>
      <c r="B1111" s="3" t="n">
        <v>45390</v>
      </c>
      <c r="C1111" s="2" t="s">
        <v>3987</v>
      </c>
      <c r="D1111" s="2" t="s">
        <v>52</v>
      </c>
      <c r="E1111" s="2" t="n">
        <v>4</v>
      </c>
      <c r="F1111" s="4" t="n">
        <v>77.47</v>
      </c>
      <c r="G1111" s="2" t="s">
        <v>1783</v>
      </c>
      <c r="H1111" s="2" t="s">
        <v>64</v>
      </c>
      <c r="I1111" s="2" t="s">
        <v>47</v>
      </c>
      <c r="J1111" s="2" t="s">
        <v>3988</v>
      </c>
      <c r="K1111" s="2" t="n">
        <v>7</v>
      </c>
      <c r="L1111" s="2" t="s">
        <v>25</v>
      </c>
      <c r="M1111" s="2" t="s">
        <v>26</v>
      </c>
      <c r="N1111" s="4" t="n">
        <v>309.88</v>
      </c>
      <c r="O1111" s="2" t="str">
        <f aca="false">IF(COUNTIF($A$2:$A$1201,A1111)&gt;1,"DUPLICATE","Unique")</f>
        <v>Unique</v>
      </c>
      <c r="P1111" s="2" t="str">
        <f aca="false">IF(L1111="","MISSING","OK")</f>
        <v>OK</v>
      </c>
      <c r="Q1111" s="2" t="str">
        <f aca="false">IF(ISNUMBER(B1111),"OK","BAD DATE")</f>
        <v>OK</v>
      </c>
      <c r="R1111" s="2" t="str">
        <f aca="false">IF(ROUND(F1111,2)=F1111,"OK","FIX")</f>
        <v>OK</v>
      </c>
    </row>
    <row r="1112" customFormat="false" ht="15" hidden="false" customHeight="false" outlineLevel="0" collapsed="false">
      <c r="A1112" s="2" t="s">
        <v>3989</v>
      </c>
      <c r="B1112" s="3" t="n">
        <v>45347</v>
      </c>
      <c r="C1112" s="2" t="s">
        <v>3990</v>
      </c>
      <c r="D1112" s="2" t="s">
        <v>45</v>
      </c>
      <c r="E1112" s="2" t="n">
        <v>3</v>
      </c>
      <c r="F1112" s="4" t="n">
        <v>84.31</v>
      </c>
      <c r="G1112" s="2" t="s">
        <v>177</v>
      </c>
      <c r="H1112" s="2" t="s">
        <v>38</v>
      </c>
      <c r="I1112" s="2" t="s">
        <v>23</v>
      </c>
      <c r="J1112" s="2" t="s">
        <v>3991</v>
      </c>
      <c r="K1112" s="2" t="n">
        <v>3</v>
      </c>
      <c r="L1112" s="2" t="s">
        <v>25</v>
      </c>
      <c r="M1112" s="2" t="s">
        <v>42</v>
      </c>
      <c r="N1112" s="4" t="n">
        <v>252.93</v>
      </c>
      <c r="O1112" s="2" t="str">
        <f aca="false">IF(COUNTIF($A$2:$A$1201,A1112)&gt;1,"DUPLICATE","Unique")</f>
        <v>Unique</v>
      </c>
      <c r="P1112" s="2" t="str">
        <f aca="false">IF(L1112="","MISSING","OK")</f>
        <v>OK</v>
      </c>
      <c r="Q1112" s="2" t="str">
        <f aca="false">IF(ISNUMBER(B1112),"OK","BAD DATE")</f>
        <v>OK</v>
      </c>
      <c r="R1112" s="2" t="str">
        <f aca="false">IF(ROUND(F1112,2)=F1112,"OK","FIX")</f>
        <v>OK</v>
      </c>
    </row>
    <row r="1113" customFormat="false" ht="15" hidden="false" customHeight="false" outlineLevel="0" collapsed="false">
      <c r="A1113" s="2" t="s">
        <v>3992</v>
      </c>
      <c r="B1113" s="3" t="n">
        <v>45052</v>
      </c>
      <c r="C1113" s="2" t="s">
        <v>3993</v>
      </c>
      <c r="D1113" s="2" t="s">
        <v>20</v>
      </c>
      <c r="E1113" s="2" t="n">
        <v>4</v>
      </c>
      <c r="F1113" s="4" t="n">
        <v>234.45</v>
      </c>
      <c r="G1113" s="2" t="s">
        <v>3994</v>
      </c>
      <c r="H1113" s="2" t="s">
        <v>31</v>
      </c>
      <c r="I1113" s="2" t="s">
        <v>39</v>
      </c>
      <c r="J1113" s="2" t="s">
        <v>3995</v>
      </c>
      <c r="K1113" s="2" t="n">
        <v>9</v>
      </c>
      <c r="L1113" s="2" t="s">
        <v>41</v>
      </c>
      <c r="M1113" s="2" t="s">
        <v>26</v>
      </c>
      <c r="N1113" s="4" t="n">
        <v>937.8</v>
      </c>
      <c r="O1113" s="2" t="str">
        <f aca="false">IF(COUNTIF($A$2:$A$1201,A1113)&gt;1,"DUPLICATE","Unique")</f>
        <v>Unique</v>
      </c>
      <c r="P1113" s="2" t="str">
        <f aca="false">IF(L1113="","MISSING","OK")</f>
        <v>OK</v>
      </c>
      <c r="Q1113" s="2" t="str">
        <f aca="false">IF(ISNUMBER(B1113),"OK","BAD DATE")</f>
        <v>OK</v>
      </c>
      <c r="R1113" s="2" t="str">
        <f aca="false">IF(ROUND(F1113,2)=F1113,"OK","FIX")</f>
        <v>OK</v>
      </c>
    </row>
    <row r="1114" customFormat="false" ht="15" hidden="false" customHeight="false" outlineLevel="0" collapsed="false">
      <c r="A1114" s="2" t="s">
        <v>3996</v>
      </c>
      <c r="B1114" s="3" t="n">
        <v>45212</v>
      </c>
      <c r="C1114" s="2" t="s">
        <v>3997</v>
      </c>
      <c r="D1114" s="2" t="s">
        <v>77</v>
      </c>
      <c r="E1114" s="2" t="n">
        <v>1</v>
      </c>
      <c r="F1114" s="4" t="n">
        <v>356.81</v>
      </c>
      <c r="G1114" s="2" t="s">
        <v>533</v>
      </c>
      <c r="H1114" s="2" t="s">
        <v>31</v>
      </c>
      <c r="I1114" s="2" t="s">
        <v>54</v>
      </c>
      <c r="J1114" s="2" t="s">
        <v>3998</v>
      </c>
      <c r="K1114" s="2" t="n">
        <v>1</v>
      </c>
      <c r="L1114" s="2" t="s">
        <v>85</v>
      </c>
      <c r="M1114" s="2" t="s">
        <v>26</v>
      </c>
      <c r="N1114" s="4" t="n">
        <v>356.81</v>
      </c>
      <c r="O1114" s="2" t="str">
        <f aca="false">IF(COUNTIF($A$2:$A$1201,A1114)&gt;1,"DUPLICATE","Unique")</f>
        <v>Unique</v>
      </c>
      <c r="P1114" s="2" t="str">
        <f aca="false">IF(L1114="","MISSING","OK")</f>
        <v>OK</v>
      </c>
      <c r="Q1114" s="2" t="str">
        <f aca="false">IF(ISNUMBER(B1114),"OK","BAD DATE")</f>
        <v>OK</v>
      </c>
      <c r="R1114" s="2" t="str">
        <f aca="false">IF(ROUND(F1114,2)=F1114,"OK","FIX")</f>
        <v>OK</v>
      </c>
    </row>
    <row r="1115" customFormat="false" ht="15" hidden="false" customHeight="false" outlineLevel="0" collapsed="false">
      <c r="A1115" s="2" t="s">
        <v>3999</v>
      </c>
      <c r="B1115" s="3" t="n">
        <v>45004</v>
      </c>
      <c r="C1115" s="2" t="s">
        <v>4000</v>
      </c>
      <c r="D1115" s="2" t="s">
        <v>77</v>
      </c>
      <c r="E1115" s="2" t="n">
        <v>4</v>
      </c>
      <c r="F1115" s="4" t="n">
        <v>209.99</v>
      </c>
      <c r="G1115" s="2" t="s">
        <v>3409</v>
      </c>
      <c r="H1115" s="2" t="s">
        <v>69</v>
      </c>
      <c r="I1115" s="2" t="s">
        <v>54</v>
      </c>
      <c r="J1115" s="2" t="s">
        <v>4001</v>
      </c>
      <c r="K1115" s="2" t="n">
        <v>8</v>
      </c>
      <c r="L1115" s="2"/>
      <c r="M1115" s="2" t="s">
        <v>80</v>
      </c>
      <c r="N1115" s="4" t="n">
        <v>839.96</v>
      </c>
      <c r="O1115" s="2" t="str">
        <f aca="false">IF(COUNTIF($A$2:$A$1201,A1115)&gt;1,"DUPLICATE","Unique")</f>
        <v>Unique</v>
      </c>
      <c r="P1115" s="2" t="str">
        <f aca="false">IF(L1115="","MISSING","OK")</f>
        <v>MISSING</v>
      </c>
      <c r="Q1115" s="2" t="str">
        <f aca="false">IF(ISNUMBER(B1115),"OK","BAD DATE")</f>
        <v>OK</v>
      </c>
      <c r="R1115" s="2" t="str">
        <f aca="false">IF(ROUND(F1115,2)=F1115,"OK","FIX")</f>
        <v>OK</v>
      </c>
    </row>
    <row r="1116" customFormat="false" ht="15" hidden="false" customHeight="false" outlineLevel="0" collapsed="false">
      <c r="A1116" s="2" t="s">
        <v>4002</v>
      </c>
      <c r="B1116" s="3" t="n">
        <v>45001</v>
      </c>
      <c r="C1116" s="2" t="s">
        <v>4003</v>
      </c>
      <c r="D1116" s="2" t="s">
        <v>36</v>
      </c>
      <c r="E1116" s="2" t="n">
        <v>3</v>
      </c>
      <c r="F1116" s="4" t="n">
        <v>659.88</v>
      </c>
      <c r="G1116" s="2" t="s">
        <v>841</v>
      </c>
      <c r="H1116" s="2" t="s">
        <v>64</v>
      </c>
      <c r="I1116" s="2" t="s">
        <v>39</v>
      </c>
      <c r="J1116" s="2" t="s">
        <v>4004</v>
      </c>
      <c r="K1116" s="2" t="n">
        <v>3</v>
      </c>
      <c r="L1116" s="2"/>
      <c r="M1116" s="2" t="s">
        <v>80</v>
      </c>
      <c r="N1116" s="4" t="n">
        <v>1979.64</v>
      </c>
      <c r="O1116" s="2" t="str">
        <f aca="false">IF(COUNTIF($A$2:$A$1201,A1116)&gt;1,"DUPLICATE","Unique")</f>
        <v>Unique</v>
      </c>
      <c r="P1116" s="2" t="str">
        <f aca="false">IF(L1116="","MISSING","OK")</f>
        <v>MISSING</v>
      </c>
      <c r="Q1116" s="2" t="str">
        <f aca="false">IF(ISNUMBER(B1116),"OK","BAD DATE")</f>
        <v>OK</v>
      </c>
      <c r="R1116" s="2" t="str">
        <f aca="false">IF(ROUND(F1116,2)=F1116,"OK","FIX")</f>
        <v>OK</v>
      </c>
    </row>
    <row r="1117" customFormat="false" ht="15" hidden="false" customHeight="false" outlineLevel="0" collapsed="false">
      <c r="A1117" s="2" t="s">
        <v>4005</v>
      </c>
      <c r="B1117" s="3" t="n">
        <v>45828</v>
      </c>
      <c r="C1117" s="2" t="s">
        <v>4006</v>
      </c>
      <c r="D1117" s="2" t="s">
        <v>62</v>
      </c>
      <c r="E1117" s="2" t="n">
        <v>2</v>
      </c>
      <c r="F1117" s="4" t="n">
        <v>336.32</v>
      </c>
      <c r="G1117" s="2" t="s">
        <v>956</v>
      </c>
      <c r="H1117" s="2" t="s">
        <v>31</v>
      </c>
      <c r="I1117" s="2" t="s">
        <v>47</v>
      </c>
      <c r="J1117" s="2" t="s">
        <v>4007</v>
      </c>
      <c r="K1117" s="2" t="n">
        <v>3</v>
      </c>
      <c r="L1117" s="2"/>
      <c r="M1117" s="2" t="s">
        <v>80</v>
      </c>
      <c r="N1117" s="4" t="n">
        <v>672.64</v>
      </c>
      <c r="O1117" s="2" t="str">
        <f aca="false">IF(COUNTIF($A$2:$A$1201,A1117)&gt;1,"DUPLICATE","Unique")</f>
        <v>Unique</v>
      </c>
      <c r="P1117" s="2" t="str">
        <f aca="false">IF(L1117="","MISSING","OK")</f>
        <v>MISSING</v>
      </c>
      <c r="Q1117" s="2" t="str">
        <f aca="false">IF(ISNUMBER(B1117),"OK","BAD DATE")</f>
        <v>OK</v>
      </c>
      <c r="R1117" s="2" t="str">
        <f aca="false">IF(ROUND(F1117,2)=F1117,"OK","FIX")</f>
        <v>OK</v>
      </c>
    </row>
    <row r="1118" customFormat="false" ht="15" hidden="false" customHeight="false" outlineLevel="0" collapsed="false">
      <c r="A1118" s="2" t="s">
        <v>4008</v>
      </c>
      <c r="B1118" s="3" t="n">
        <v>45213</v>
      </c>
      <c r="C1118" s="2" t="s">
        <v>4009</v>
      </c>
      <c r="D1118" s="2" t="s">
        <v>52</v>
      </c>
      <c r="E1118" s="2" t="n">
        <v>2</v>
      </c>
      <c r="F1118" s="4" t="n">
        <v>531.49</v>
      </c>
      <c r="G1118" s="2" t="s">
        <v>956</v>
      </c>
      <c r="H1118" s="2" t="s">
        <v>38</v>
      </c>
      <c r="I1118" s="2" t="s">
        <v>54</v>
      </c>
      <c r="J1118" s="2" t="s">
        <v>4010</v>
      </c>
      <c r="K1118" s="2" t="n">
        <v>7</v>
      </c>
      <c r="L1118" s="2" t="s">
        <v>85</v>
      </c>
      <c r="M1118" s="2" t="s">
        <v>49</v>
      </c>
      <c r="N1118" s="4" t="n">
        <v>1062.98</v>
      </c>
      <c r="O1118" s="2" t="str">
        <f aca="false">IF(COUNTIF($A$2:$A$1201,A1118)&gt;1,"DUPLICATE","Unique")</f>
        <v>Unique</v>
      </c>
      <c r="P1118" s="2" t="str">
        <f aca="false">IF(L1118="","MISSING","OK")</f>
        <v>OK</v>
      </c>
      <c r="Q1118" s="2" t="str">
        <f aca="false">IF(ISNUMBER(B1118),"OK","BAD DATE")</f>
        <v>OK</v>
      </c>
      <c r="R1118" s="2" t="str">
        <f aca="false">IF(ROUND(F1118,2)=F1118,"OK","FIX")</f>
        <v>OK</v>
      </c>
    </row>
    <row r="1119" customFormat="false" ht="15" hidden="false" customHeight="false" outlineLevel="0" collapsed="false">
      <c r="A1119" s="2" t="s">
        <v>4011</v>
      </c>
      <c r="B1119" s="3" t="n">
        <v>45432</v>
      </c>
      <c r="C1119" s="2" t="s">
        <v>4012</v>
      </c>
      <c r="D1119" s="2" t="s">
        <v>45</v>
      </c>
      <c r="E1119" s="2" t="n">
        <v>3</v>
      </c>
      <c r="F1119" s="4" t="n">
        <v>588.44</v>
      </c>
      <c r="G1119" s="2" t="s">
        <v>1575</v>
      </c>
      <c r="H1119" s="2" t="s">
        <v>64</v>
      </c>
      <c r="I1119" s="2" t="s">
        <v>23</v>
      </c>
      <c r="J1119" s="2" t="s">
        <v>4013</v>
      </c>
      <c r="K1119" s="2" t="n">
        <v>8</v>
      </c>
      <c r="L1119" s="2" t="s">
        <v>85</v>
      </c>
      <c r="M1119" s="2" t="s">
        <v>80</v>
      </c>
      <c r="N1119" s="4" t="n">
        <v>1765.32</v>
      </c>
      <c r="O1119" s="2" t="str">
        <f aca="false">IF(COUNTIF($A$2:$A$1201,A1119)&gt;1,"DUPLICATE","Unique")</f>
        <v>Unique</v>
      </c>
      <c r="P1119" s="2" t="str">
        <f aca="false">IF(L1119="","MISSING","OK")</f>
        <v>OK</v>
      </c>
      <c r="Q1119" s="2" t="str">
        <f aca="false">IF(ISNUMBER(B1119),"OK","BAD DATE")</f>
        <v>OK</v>
      </c>
      <c r="R1119" s="2" t="str">
        <f aca="false">IF(ROUND(F1119,2)=F1119,"OK","FIX")</f>
        <v>OK</v>
      </c>
    </row>
    <row r="1120" customFormat="false" ht="15" hidden="false" customHeight="false" outlineLevel="0" collapsed="false">
      <c r="A1120" s="2" t="s">
        <v>4014</v>
      </c>
      <c r="B1120" s="3" t="n">
        <v>45436</v>
      </c>
      <c r="C1120" s="2" t="s">
        <v>4015</v>
      </c>
      <c r="D1120" s="2" t="s">
        <v>29</v>
      </c>
      <c r="E1120" s="2" t="n">
        <v>3</v>
      </c>
      <c r="F1120" s="4" t="n">
        <v>251.48</v>
      </c>
      <c r="G1120" s="2" t="s">
        <v>1546</v>
      </c>
      <c r="H1120" s="2" t="s">
        <v>38</v>
      </c>
      <c r="I1120" s="2" t="s">
        <v>47</v>
      </c>
      <c r="J1120" s="2" t="s">
        <v>4016</v>
      </c>
      <c r="K1120" s="2" t="n">
        <v>4</v>
      </c>
      <c r="L1120" s="2"/>
      <c r="M1120" s="2" t="s">
        <v>42</v>
      </c>
      <c r="N1120" s="4" t="n">
        <v>754.44</v>
      </c>
      <c r="O1120" s="2" t="str">
        <f aca="false">IF(COUNTIF($A$2:$A$1201,A1120)&gt;1,"DUPLICATE","Unique")</f>
        <v>Unique</v>
      </c>
      <c r="P1120" s="2" t="str">
        <f aca="false">IF(L1120="","MISSING","OK")</f>
        <v>MISSING</v>
      </c>
      <c r="Q1120" s="2" t="str">
        <f aca="false">IF(ISNUMBER(B1120),"OK","BAD DATE")</f>
        <v>OK</v>
      </c>
      <c r="R1120" s="2" t="str">
        <f aca="false">IF(ROUND(F1120,2)=F1120,"OK","FIX")</f>
        <v>OK</v>
      </c>
    </row>
    <row r="1121" customFormat="false" ht="15" hidden="false" customHeight="false" outlineLevel="0" collapsed="false">
      <c r="A1121" s="2" t="s">
        <v>4017</v>
      </c>
      <c r="B1121" s="3" t="n">
        <v>45620</v>
      </c>
      <c r="C1121" s="2" t="s">
        <v>4018</v>
      </c>
      <c r="D1121" s="2" t="s">
        <v>62</v>
      </c>
      <c r="E1121" s="2" t="n">
        <v>1</v>
      </c>
      <c r="F1121" s="4" t="n">
        <v>684.65</v>
      </c>
      <c r="G1121" s="2" t="s">
        <v>1058</v>
      </c>
      <c r="H1121" s="2" t="s">
        <v>38</v>
      </c>
      <c r="I1121" s="2" t="s">
        <v>54</v>
      </c>
      <c r="J1121" s="2" t="s">
        <v>4019</v>
      </c>
      <c r="K1121" s="2" t="n">
        <v>1</v>
      </c>
      <c r="L1121" s="2" t="s">
        <v>41</v>
      </c>
      <c r="M1121" s="2" t="s">
        <v>42</v>
      </c>
      <c r="N1121" s="4" t="n">
        <v>684.65</v>
      </c>
      <c r="O1121" s="2" t="str">
        <f aca="false">IF(COUNTIF($A$2:$A$1201,A1121)&gt;1,"DUPLICATE","Unique")</f>
        <v>Unique</v>
      </c>
      <c r="P1121" s="2" t="str">
        <f aca="false">IF(L1121="","MISSING","OK")</f>
        <v>OK</v>
      </c>
      <c r="Q1121" s="2" t="str">
        <f aca="false">IF(ISNUMBER(B1121),"OK","BAD DATE")</f>
        <v>OK</v>
      </c>
      <c r="R1121" s="2" t="str">
        <f aca="false">IF(ROUND(F1121,2)=F1121,"OK","FIX")</f>
        <v>OK</v>
      </c>
    </row>
    <row r="1122" customFormat="false" ht="15" hidden="false" customHeight="false" outlineLevel="0" collapsed="false">
      <c r="A1122" s="2" t="s">
        <v>4020</v>
      </c>
      <c r="B1122" s="3" t="n">
        <v>45787</v>
      </c>
      <c r="C1122" s="2" t="s">
        <v>4021</v>
      </c>
      <c r="D1122" s="2" t="s">
        <v>36</v>
      </c>
      <c r="E1122" s="2" t="n">
        <v>1</v>
      </c>
      <c r="F1122" s="4" t="n">
        <v>195.86</v>
      </c>
      <c r="G1122" s="2" t="s">
        <v>205</v>
      </c>
      <c r="H1122" s="2" t="s">
        <v>31</v>
      </c>
      <c r="I1122" s="2" t="s">
        <v>93</v>
      </c>
      <c r="J1122" s="2" t="s">
        <v>4022</v>
      </c>
      <c r="K1122" s="2" t="n">
        <v>3</v>
      </c>
      <c r="L1122" s="2"/>
      <c r="M1122" s="2" t="s">
        <v>49</v>
      </c>
      <c r="N1122" s="4" t="n">
        <v>195.86</v>
      </c>
      <c r="O1122" s="2" t="str">
        <f aca="false">IF(COUNTIF($A$2:$A$1201,A1122)&gt;1,"DUPLICATE","Unique")</f>
        <v>Unique</v>
      </c>
      <c r="P1122" s="2" t="str">
        <f aca="false">IF(L1122="","MISSING","OK")</f>
        <v>MISSING</v>
      </c>
      <c r="Q1122" s="2" t="str">
        <f aca="false">IF(ISNUMBER(B1122),"OK","BAD DATE")</f>
        <v>OK</v>
      </c>
      <c r="R1122" s="2" t="str">
        <f aca="false">IF(ROUND(F1122,2)=F1122,"OK","FIX")</f>
        <v>OK</v>
      </c>
    </row>
    <row r="1123" customFormat="false" ht="15" hidden="false" customHeight="false" outlineLevel="0" collapsed="false">
      <c r="A1123" s="2" t="s">
        <v>4023</v>
      </c>
      <c r="B1123" s="3" t="n">
        <v>45074</v>
      </c>
      <c r="C1123" s="2" t="s">
        <v>4024</v>
      </c>
      <c r="D1123" s="2" t="s">
        <v>29</v>
      </c>
      <c r="E1123" s="2" t="n">
        <v>3</v>
      </c>
      <c r="F1123" s="4" t="n">
        <v>50.34</v>
      </c>
      <c r="G1123" s="2" t="s">
        <v>3230</v>
      </c>
      <c r="H1123" s="2" t="s">
        <v>64</v>
      </c>
      <c r="I1123" s="2" t="s">
        <v>47</v>
      </c>
      <c r="J1123" s="2" t="s">
        <v>4025</v>
      </c>
      <c r="K1123" s="2" t="n">
        <v>3</v>
      </c>
      <c r="L1123" s="2" t="s">
        <v>41</v>
      </c>
      <c r="M1123" s="2" t="s">
        <v>26</v>
      </c>
      <c r="N1123" s="4" t="n">
        <v>151.02</v>
      </c>
      <c r="O1123" s="2" t="str">
        <f aca="false">IF(COUNTIF($A$2:$A$1201,A1123)&gt;1,"DUPLICATE","Unique")</f>
        <v>Unique</v>
      </c>
      <c r="P1123" s="2" t="str">
        <f aca="false">IF(L1123="","MISSING","OK")</f>
        <v>OK</v>
      </c>
      <c r="Q1123" s="2" t="str">
        <f aca="false">IF(ISNUMBER(B1123),"OK","BAD DATE")</f>
        <v>OK</v>
      </c>
      <c r="R1123" s="2" t="str">
        <f aca="false">IF(ROUND(F1123,2)=F1123,"OK","FIX")</f>
        <v>OK</v>
      </c>
    </row>
    <row r="1124" customFormat="false" ht="15" hidden="false" customHeight="false" outlineLevel="0" collapsed="false">
      <c r="A1124" s="2" t="s">
        <v>4026</v>
      </c>
      <c r="B1124" s="3" t="n">
        <v>45084</v>
      </c>
      <c r="C1124" s="2" t="s">
        <v>1069</v>
      </c>
      <c r="D1124" s="2" t="s">
        <v>20</v>
      </c>
      <c r="E1124" s="2" t="n">
        <v>5</v>
      </c>
      <c r="F1124" s="4" t="n">
        <v>678.19</v>
      </c>
      <c r="G1124" s="2" t="s">
        <v>3737</v>
      </c>
      <c r="H1124" s="2" t="s">
        <v>31</v>
      </c>
      <c r="I1124" s="2" t="s">
        <v>47</v>
      </c>
      <c r="J1124" s="2" t="s">
        <v>4027</v>
      </c>
      <c r="K1124" s="2" t="n">
        <v>8</v>
      </c>
      <c r="L1124" s="2"/>
      <c r="M1124" s="2" t="s">
        <v>49</v>
      </c>
      <c r="N1124" s="4" t="n">
        <v>3390.95</v>
      </c>
      <c r="O1124" s="2" t="str">
        <f aca="false">IF(COUNTIF($A$2:$A$1201,A1124)&gt;1,"DUPLICATE","Unique")</f>
        <v>Unique</v>
      </c>
      <c r="P1124" s="2" t="str">
        <f aca="false">IF(L1124="","MISSING","OK")</f>
        <v>MISSING</v>
      </c>
      <c r="Q1124" s="2" t="str">
        <f aca="false">IF(ISNUMBER(B1124),"OK","BAD DATE")</f>
        <v>OK</v>
      </c>
      <c r="R1124" s="2" t="str">
        <f aca="false">IF(ROUND(F1124,2)=F1124,"OK","FIX")</f>
        <v>OK</v>
      </c>
    </row>
    <row r="1125" customFormat="false" ht="15" hidden="false" customHeight="false" outlineLevel="0" collapsed="false">
      <c r="A1125" s="2" t="s">
        <v>4028</v>
      </c>
      <c r="B1125" s="3" t="n">
        <v>45030</v>
      </c>
      <c r="C1125" s="2" t="s">
        <v>4029</v>
      </c>
      <c r="D1125" s="2" t="s">
        <v>36</v>
      </c>
      <c r="E1125" s="2" t="n">
        <v>3</v>
      </c>
      <c r="F1125" s="4" t="n">
        <v>554.25</v>
      </c>
      <c r="G1125" s="2" t="s">
        <v>4030</v>
      </c>
      <c r="H1125" s="2" t="s">
        <v>22</v>
      </c>
      <c r="I1125" s="2" t="s">
        <v>23</v>
      </c>
      <c r="J1125" s="2" t="s">
        <v>4031</v>
      </c>
      <c r="K1125" s="2" t="n">
        <v>6</v>
      </c>
      <c r="L1125" s="2" t="s">
        <v>85</v>
      </c>
      <c r="M1125" s="2" t="s">
        <v>33</v>
      </c>
      <c r="N1125" s="4" t="n">
        <v>1662.75</v>
      </c>
      <c r="O1125" s="2" t="str">
        <f aca="false">IF(COUNTIF($A$2:$A$1201,A1125)&gt;1,"DUPLICATE","Unique")</f>
        <v>Unique</v>
      </c>
      <c r="P1125" s="2" t="str">
        <f aca="false">IF(L1125="","MISSING","OK")</f>
        <v>OK</v>
      </c>
      <c r="Q1125" s="2" t="str">
        <f aca="false">IF(ISNUMBER(B1125),"OK","BAD DATE")</f>
        <v>OK</v>
      </c>
      <c r="R1125" s="2" t="str">
        <f aca="false">IF(ROUND(F1125,2)=F1125,"OK","FIX")</f>
        <v>OK</v>
      </c>
    </row>
    <row r="1126" customFormat="false" ht="15" hidden="false" customHeight="false" outlineLevel="0" collapsed="false">
      <c r="A1126" s="2" t="s">
        <v>4032</v>
      </c>
      <c r="B1126" s="3" t="n">
        <v>45055</v>
      </c>
      <c r="C1126" s="2" t="s">
        <v>4033</v>
      </c>
      <c r="D1126" s="2" t="s">
        <v>45</v>
      </c>
      <c r="E1126" s="2" t="n">
        <v>4</v>
      </c>
      <c r="F1126" s="4" t="n">
        <v>576.87</v>
      </c>
      <c r="G1126" s="2" t="s">
        <v>4034</v>
      </c>
      <c r="H1126" s="2" t="s">
        <v>64</v>
      </c>
      <c r="I1126" s="2" t="s">
        <v>47</v>
      </c>
      <c r="J1126" s="2" t="s">
        <v>4035</v>
      </c>
      <c r="K1126" s="2" t="n">
        <v>5</v>
      </c>
      <c r="L1126" s="2"/>
      <c r="M1126" s="2" t="s">
        <v>26</v>
      </c>
      <c r="N1126" s="4" t="n">
        <v>2307.48</v>
      </c>
      <c r="O1126" s="2" t="str">
        <f aca="false">IF(COUNTIF($A$2:$A$1201,A1126)&gt;1,"DUPLICATE","Unique")</f>
        <v>Unique</v>
      </c>
      <c r="P1126" s="2" t="str">
        <f aca="false">IF(L1126="","MISSING","OK")</f>
        <v>MISSING</v>
      </c>
      <c r="Q1126" s="2" t="str">
        <f aca="false">IF(ISNUMBER(B1126),"OK","BAD DATE")</f>
        <v>OK</v>
      </c>
      <c r="R1126" s="2" t="str">
        <f aca="false">IF(ROUND(F1126,2)=F1126,"OK","FIX")</f>
        <v>OK</v>
      </c>
    </row>
    <row r="1127" customFormat="false" ht="15" hidden="false" customHeight="false" outlineLevel="0" collapsed="false">
      <c r="A1127" s="2" t="s">
        <v>4036</v>
      </c>
      <c r="B1127" s="3" t="n">
        <v>45215</v>
      </c>
      <c r="C1127" s="2" t="s">
        <v>4037</v>
      </c>
      <c r="D1127" s="2" t="s">
        <v>77</v>
      </c>
      <c r="E1127" s="2" t="n">
        <v>4</v>
      </c>
      <c r="F1127" s="4" t="n">
        <v>408.36</v>
      </c>
      <c r="G1127" s="2" t="s">
        <v>3184</v>
      </c>
      <c r="H1127" s="2" t="s">
        <v>64</v>
      </c>
      <c r="I1127" s="2" t="s">
        <v>39</v>
      </c>
      <c r="J1127" s="2" t="s">
        <v>4038</v>
      </c>
      <c r="K1127" s="2" t="n">
        <v>4</v>
      </c>
      <c r="L1127" s="2" t="s">
        <v>41</v>
      </c>
      <c r="M1127" s="2" t="s">
        <v>33</v>
      </c>
      <c r="N1127" s="4" t="n">
        <v>1633.44</v>
      </c>
      <c r="O1127" s="2" t="str">
        <f aca="false">IF(COUNTIF($A$2:$A$1201,A1127)&gt;1,"DUPLICATE","Unique")</f>
        <v>Unique</v>
      </c>
      <c r="P1127" s="2" t="str">
        <f aca="false">IF(L1127="","MISSING","OK")</f>
        <v>OK</v>
      </c>
      <c r="Q1127" s="2" t="str">
        <f aca="false">IF(ISNUMBER(B1127),"OK","BAD DATE")</f>
        <v>OK</v>
      </c>
      <c r="R1127" s="2" t="str">
        <f aca="false">IF(ROUND(F1127,2)=F1127,"OK","FIX")</f>
        <v>OK</v>
      </c>
    </row>
    <row r="1128" customFormat="false" ht="15" hidden="false" customHeight="false" outlineLevel="0" collapsed="false">
      <c r="A1128" s="2" t="s">
        <v>4039</v>
      </c>
      <c r="B1128" s="3" t="n">
        <v>45495</v>
      </c>
      <c r="C1128" s="2" t="s">
        <v>4040</v>
      </c>
      <c r="D1128" s="2" t="s">
        <v>29</v>
      </c>
      <c r="E1128" s="2" t="n">
        <v>5</v>
      </c>
      <c r="F1128" s="4" t="n">
        <v>190.11</v>
      </c>
      <c r="G1128" s="2" t="s">
        <v>4041</v>
      </c>
      <c r="H1128" s="2" t="s">
        <v>69</v>
      </c>
      <c r="I1128" s="2" t="s">
        <v>54</v>
      </c>
      <c r="J1128" s="2" t="s">
        <v>4042</v>
      </c>
      <c r="K1128" s="2" t="n">
        <v>7</v>
      </c>
      <c r="L1128" s="2" t="s">
        <v>25</v>
      </c>
      <c r="M1128" s="2" t="s">
        <v>80</v>
      </c>
      <c r="N1128" s="4" t="n">
        <v>950.55</v>
      </c>
      <c r="O1128" s="2" t="str">
        <f aca="false">IF(COUNTIF($A$2:$A$1201,A1128)&gt;1,"DUPLICATE","Unique")</f>
        <v>Unique</v>
      </c>
      <c r="P1128" s="2" t="str">
        <f aca="false">IF(L1128="","MISSING","OK")</f>
        <v>OK</v>
      </c>
      <c r="Q1128" s="2" t="str">
        <f aca="false">IF(ISNUMBER(B1128),"OK","BAD DATE")</f>
        <v>OK</v>
      </c>
      <c r="R1128" s="2" t="str">
        <f aca="false">IF(ROUND(F1128,2)=F1128,"OK","FIX")</f>
        <v>OK</v>
      </c>
    </row>
    <row r="1129" customFormat="false" ht="15" hidden="false" customHeight="false" outlineLevel="0" collapsed="false">
      <c r="A1129" s="2" t="s">
        <v>4043</v>
      </c>
      <c r="B1129" s="3" t="n">
        <v>45731</v>
      </c>
      <c r="C1129" s="2" t="s">
        <v>4044</v>
      </c>
      <c r="D1129" s="2" t="s">
        <v>52</v>
      </c>
      <c r="E1129" s="2" t="n">
        <v>3</v>
      </c>
      <c r="F1129" s="4" t="n">
        <v>602.75</v>
      </c>
      <c r="G1129" s="2" t="s">
        <v>3015</v>
      </c>
      <c r="H1129" s="2" t="s">
        <v>38</v>
      </c>
      <c r="I1129" s="2" t="s">
        <v>23</v>
      </c>
      <c r="J1129" s="2" t="s">
        <v>4045</v>
      </c>
      <c r="K1129" s="2" t="n">
        <v>6</v>
      </c>
      <c r="L1129" s="2" t="s">
        <v>25</v>
      </c>
      <c r="M1129" s="2" t="s">
        <v>42</v>
      </c>
      <c r="N1129" s="4" t="n">
        <v>1808.25</v>
      </c>
      <c r="O1129" s="2" t="str">
        <f aca="false">IF(COUNTIF($A$2:$A$1201,A1129)&gt;1,"DUPLICATE","Unique")</f>
        <v>Unique</v>
      </c>
      <c r="P1129" s="2" t="str">
        <f aca="false">IF(L1129="","MISSING","OK")</f>
        <v>OK</v>
      </c>
      <c r="Q1129" s="2" t="str">
        <f aca="false">IF(ISNUMBER(B1129),"OK","BAD DATE")</f>
        <v>OK</v>
      </c>
      <c r="R1129" s="2" t="str">
        <f aca="false">IF(ROUND(F1129,2)=F1129,"OK","FIX")</f>
        <v>OK</v>
      </c>
    </row>
    <row r="1130" customFormat="false" ht="15" hidden="false" customHeight="false" outlineLevel="0" collapsed="false">
      <c r="A1130" s="2" t="s">
        <v>4046</v>
      </c>
      <c r="B1130" s="3" t="n">
        <v>45155</v>
      </c>
      <c r="C1130" s="2" t="s">
        <v>4047</v>
      </c>
      <c r="D1130" s="2" t="s">
        <v>20</v>
      </c>
      <c r="E1130" s="2" t="n">
        <v>3</v>
      </c>
      <c r="F1130" s="4" t="n">
        <v>646.79</v>
      </c>
      <c r="G1130" s="2" t="s">
        <v>383</v>
      </c>
      <c r="H1130" s="2" t="s">
        <v>69</v>
      </c>
      <c r="I1130" s="2" t="s">
        <v>39</v>
      </c>
      <c r="J1130" s="2" t="s">
        <v>4048</v>
      </c>
      <c r="K1130" s="2" t="n">
        <v>5</v>
      </c>
      <c r="L1130" s="2" t="s">
        <v>85</v>
      </c>
      <c r="M1130" s="2" t="s">
        <v>80</v>
      </c>
      <c r="N1130" s="4" t="n">
        <v>1940.37</v>
      </c>
      <c r="O1130" s="2" t="str">
        <f aca="false">IF(COUNTIF($A$2:$A$1201,A1130)&gt;1,"DUPLICATE","Unique")</f>
        <v>Unique</v>
      </c>
      <c r="P1130" s="2" t="str">
        <f aca="false">IF(L1130="","MISSING","OK")</f>
        <v>OK</v>
      </c>
      <c r="Q1130" s="2" t="str">
        <f aca="false">IF(ISNUMBER(B1130),"OK","BAD DATE")</f>
        <v>OK</v>
      </c>
      <c r="R1130" s="2" t="str">
        <f aca="false">IF(ROUND(F1130,2)=F1130,"OK","FIX")</f>
        <v>OK</v>
      </c>
    </row>
    <row r="1131" customFormat="false" ht="15" hidden="false" customHeight="false" outlineLevel="0" collapsed="false">
      <c r="A1131" s="2" t="s">
        <v>4049</v>
      </c>
      <c r="B1131" s="3" t="n">
        <v>45088</v>
      </c>
      <c r="C1131" s="2" t="s">
        <v>4050</v>
      </c>
      <c r="D1131" s="2" t="s">
        <v>45</v>
      </c>
      <c r="E1131" s="2" t="n">
        <v>4</v>
      </c>
      <c r="F1131" s="4" t="n">
        <v>418.71</v>
      </c>
      <c r="G1131" s="2" t="s">
        <v>343</v>
      </c>
      <c r="H1131" s="2" t="s">
        <v>69</v>
      </c>
      <c r="I1131" s="2" t="s">
        <v>93</v>
      </c>
      <c r="J1131" s="2" t="s">
        <v>4051</v>
      </c>
      <c r="K1131" s="2" t="n">
        <v>8</v>
      </c>
      <c r="L1131" s="2" t="s">
        <v>41</v>
      </c>
      <c r="M1131" s="2" t="s">
        <v>26</v>
      </c>
      <c r="N1131" s="4" t="n">
        <v>1674.84</v>
      </c>
      <c r="O1131" s="2" t="str">
        <f aca="false">IF(COUNTIF($A$2:$A$1201,A1131)&gt;1,"DUPLICATE","Unique")</f>
        <v>Unique</v>
      </c>
      <c r="P1131" s="2" t="str">
        <f aca="false">IF(L1131="","MISSING","OK")</f>
        <v>OK</v>
      </c>
      <c r="Q1131" s="2" t="str">
        <f aca="false">IF(ISNUMBER(B1131),"OK","BAD DATE")</f>
        <v>OK</v>
      </c>
      <c r="R1131" s="2" t="str">
        <f aca="false">IF(ROUND(F1131,2)=F1131,"OK","FIX")</f>
        <v>OK</v>
      </c>
    </row>
    <row r="1132" customFormat="false" ht="15" hidden="false" customHeight="false" outlineLevel="0" collapsed="false">
      <c r="A1132" s="2" t="s">
        <v>4052</v>
      </c>
      <c r="B1132" s="3" t="n">
        <v>45704</v>
      </c>
      <c r="C1132" s="2" t="s">
        <v>4053</v>
      </c>
      <c r="D1132" s="2" t="s">
        <v>62</v>
      </c>
      <c r="E1132" s="2" t="n">
        <v>2</v>
      </c>
      <c r="F1132" s="4" t="n">
        <v>323.45</v>
      </c>
      <c r="G1132" s="2" t="s">
        <v>430</v>
      </c>
      <c r="H1132" s="2" t="s">
        <v>38</v>
      </c>
      <c r="I1132" s="2" t="s">
        <v>47</v>
      </c>
      <c r="J1132" s="2" t="s">
        <v>4054</v>
      </c>
      <c r="K1132" s="2" t="n">
        <v>5</v>
      </c>
      <c r="L1132" s="2" t="s">
        <v>41</v>
      </c>
      <c r="M1132" s="2" t="s">
        <v>26</v>
      </c>
      <c r="N1132" s="4" t="n">
        <v>646.9</v>
      </c>
      <c r="O1132" s="2" t="str">
        <f aca="false">IF(COUNTIF($A$2:$A$1201,A1132)&gt;1,"DUPLICATE","Unique")</f>
        <v>Unique</v>
      </c>
      <c r="P1132" s="2" t="str">
        <f aca="false">IF(L1132="","MISSING","OK")</f>
        <v>OK</v>
      </c>
      <c r="Q1132" s="2" t="str">
        <f aca="false">IF(ISNUMBER(B1132),"OK","BAD DATE")</f>
        <v>OK</v>
      </c>
      <c r="R1132" s="2" t="str">
        <f aca="false">IF(ROUND(F1132,2)=F1132,"OK","FIX")</f>
        <v>OK</v>
      </c>
    </row>
    <row r="1133" customFormat="false" ht="15" hidden="false" customHeight="false" outlineLevel="0" collapsed="false">
      <c r="A1133" s="2" t="s">
        <v>4055</v>
      </c>
      <c r="B1133" s="3" t="n">
        <v>45491</v>
      </c>
      <c r="C1133" s="2" t="s">
        <v>4056</v>
      </c>
      <c r="D1133" s="2" t="s">
        <v>29</v>
      </c>
      <c r="E1133" s="2" t="n">
        <v>1</v>
      </c>
      <c r="F1133" s="4" t="n">
        <v>694.5</v>
      </c>
      <c r="G1133" s="2" t="s">
        <v>1129</v>
      </c>
      <c r="H1133" s="2" t="s">
        <v>38</v>
      </c>
      <c r="I1133" s="2" t="s">
        <v>93</v>
      </c>
      <c r="J1133" s="2" t="s">
        <v>4057</v>
      </c>
      <c r="K1133" s="2" t="n">
        <v>3</v>
      </c>
      <c r="L1133" s="2" t="s">
        <v>85</v>
      </c>
      <c r="M1133" s="2" t="s">
        <v>49</v>
      </c>
      <c r="N1133" s="4" t="n">
        <v>694.5</v>
      </c>
      <c r="O1133" s="2" t="str">
        <f aca="false">IF(COUNTIF($A$2:$A$1201,A1133)&gt;1,"DUPLICATE","Unique")</f>
        <v>Unique</v>
      </c>
      <c r="P1133" s="2" t="str">
        <f aca="false">IF(L1133="","MISSING","OK")</f>
        <v>OK</v>
      </c>
      <c r="Q1133" s="2" t="str">
        <f aca="false">IF(ISNUMBER(B1133),"OK","BAD DATE")</f>
        <v>OK</v>
      </c>
      <c r="R1133" s="2" t="str">
        <f aca="false">IF(ROUND(F1133,2)=F1133,"OK","FIX")</f>
        <v>OK</v>
      </c>
    </row>
    <row r="1134" customFormat="false" ht="15" hidden="false" customHeight="false" outlineLevel="0" collapsed="false">
      <c r="A1134" s="2" t="s">
        <v>4058</v>
      </c>
      <c r="B1134" s="3" t="n">
        <v>45628</v>
      </c>
      <c r="C1134" s="2" t="s">
        <v>4059</v>
      </c>
      <c r="D1134" s="2" t="s">
        <v>45</v>
      </c>
      <c r="E1134" s="2" t="n">
        <v>2</v>
      </c>
      <c r="F1134" s="4" t="n">
        <v>337.32</v>
      </c>
      <c r="G1134" s="2" t="s">
        <v>933</v>
      </c>
      <c r="H1134" s="2" t="s">
        <v>38</v>
      </c>
      <c r="I1134" s="2" t="s">
        <v>39</v>
      </c>
      <c r="J1134" s="2" t="s">
        <v>4060</v>
      </c>
      <c r="K1134" s="2" t="n">
        <v>4</v>
      </c>
      <c r="L1134" s="2" t="s">
        <v>25</v>
      </c>
      <c r="M1134" s="2" t="s">
        <v>42</v>
      </c>
      <c r="N1134" s="4" t="n">
        <v>674.64</v>
      </c>
      <c r="O1134" s="2" t="str">
        <f aca="false">IF(COUNTIF($A$2:$A$1201,A1134)&gt;1,"DUPLICATE","Unique")</f>
        <v>Unique</v>
      </c>
      <c r="P1134" s="2" t="str">
        <f aca="false">IF(L1134="","MISSING","OK")</f>
        <v>OK</v>
      </c>
      <c r="Q1134" s="2" t="str">
        <f aca="false">IF(ISNUMBER(B1134),"OK","BAD DATE")</f>
        <v>OK</v>
      </c>
      <c r="R1134" s="2" t="str">
        <f aca="false">IF(ROUND(F1134,2)=F1134,"OK","FIX")</f>
        <v>OK</v>
      </c>
    </row>
    <row r="1135" customFormat="false" ht="15" hidden="false" customHeight="false" outlineLevel="0" collapsed="false">
      <c r="A1135" s="2" t="s">
        <v>4061</v>
      </c>
      <c r="B1135" s="3" t="n">
        <v>45391</v>
      </c>
      <c r="C1135" s="2" t="s">
        <v>4062</v>
      </c>
      <c r="D1135" s="2" t="s">
        <v>52</v>
      </c>
      <c r="E1135" s="2" t="n">
        <v>2</v>
      </c>
      <c r="F1135" s="4" t="n">
        <v>467.91</v>
      </c>
      <c r="G1135" s="2" t="s">
        <v>877</v>
      </c>
      <c r="H1135" s="2" t="s">
        <v>64</v>
      </c>
      <c r="I1135" s="2" t="s">
        <v>47</v>
      </c>
      <c r="J1135" s="2" t="s">
        <v>4063</v>
      </c>
      <c r="K1135" s="2" t="n">
        <v>5</v>
      </c>
      <c r="L1135" s="2" t="s">
        <v>85</v>
      </c>
      <c r="M1135" s="2" t="s">
        <v>49</v>
      </c>
      <c r="N1135" s="4" t="n">
        <v>935.82</v>
      </c>
      <c r="O1135" s="2" t="str">
        <f aca="false">IF(COUNTIF($A$2:$A$1201,A1135)&gt;1,"DUPLICATE","Unique")</f>
        <v>Unique</v>
      </c>
      <c r="P1135" s="2" t="str">
        <f aca="false">IF(L1135="","MISSING","OK")</f>
        <v>OK</v>
      </c>
      <c r="Q1135" s="2" t="str">
        <f aca="false">IF(ISNUMBER(B1135),"OK","BAD DATE")</f>
        <v>OK</v>
      </c>
      <c r="R1135" s="2" t="str">
        <f aca="false">IF(ROUND(F1135,2)=F1135,"OK","FIX")</f>
        <v>OK</v>
      </c>
    </row>
    <row r="1136" customFormat="false" ht="15" hidden="false" customHeight="false" outlineLevel="0" collapsed="false">
      <c r="A1136" s="2" t="s">
        <v>4064</v>
      </c>
      <c r="B1136" s="3" t="n">
        <v>45451</v>
      </c>
      <c r="C1136" s="2" t="s">
        <v>4065</v>
      </c>
      <c r="D1136" s="2" t="s">
        <v>77</v>
      </c>
      <c r="E1136" s="2" t="n">
        <v>4</v>
      </c>
      <c r="F1136" s="4" t="n">
        <v>38.28</v>
      </c>
      <c r="G1136" s="2" t="s">
        <v>4066</v>
      </c>
      <c r="H1136" s="2" t="s">
        <v>22</v>
      </c>
      <c r="I1136" s="2" t="s">
        <v>39</v>
      </c>
      <c r="J1136" s="2" t="s">
        <v>4067</v>
      </c>
      <c r="K1136" s="2" t="n">
        <v>4</v>
      </c>
      <c r="L1136" s="2" t="s">
        <v>85</v>
      </c>
      <c r="M1136" s="2" t="s">
        <v>49</v>
      </c>
      <c r="N1136" s="4" t="n">
        <v>153.12</v>
      </c>
      <c r="O1136" s="2" t="str">
        <f aca="false">IF(COUNTIF($A$2:$A$1201,A1136)&gt;1,"DUPLICATE","Unique")</f>
        <v>Unique</v>
      </c>
      <c r="P1136" s="2" t="str">
        <f aca="false">IF(L1136="","MISSING","OK")</f>
        <v>OK</v>
      </c>
      <c r="Q1136" s="2" t="str">
        <f aca="false">IF(ISNUMBER(B1136),"OK","BAD DATE")</f>
        <v>OK</v>
      </c>
      <c r="R1136" s="2" t="str">
        <f aca="false">IF(ROUND(F1136,2)=F1136,"OK","FIX")</f>
        <v>OK</v>
      </c>
    </row>
    <row r="1137" customFormat="false" ht="15" hidden="false" customHeight="false" outlineLevel="0" collapsed="false">
      <c r="A1137" s="2" t="s">
        <v>4068</v>
      </c>
      <c r="B1137" s="3" t="n">
        <v>45288</v>
      </c>
      <c r="C1137" s="2" t="s">
        <v>4069</v>
      </c>
      <c r="D1137" s="2" t="s">
        <v>52</v>
      </c>
      <c r="E1137" s="2" t="n">
        <v>2</v>
      </c>
      <c r="F1137" s="4" t="n">
        <v>73.41</v>
      </c>
      <c r="G1137" s="2" t="s">
        <v>956</v>
      </c>
      <c r="H1137" s="2" t="s">
        <v>31</v>
      </c>
      <c r="I1137" s="2" t="s">
        <v>23</v>
      </c>
      <c r="J1137" s="2" t="s">
        <v>4070</v>
      </c>
      <c r="K1137" s="2" t="n">
        <v>2</v>
      </c>
      <c r="L1137" s="2" t="s">
        <v>25</v>
      </c>
      <c r="M1137" s="2" t="s">
        <v>80</v>
      </c>
      <c r="N1137" s="4" t="n">
        <v>146.82</v>
      </c>
      <c r="O1137" s="2" t="str">
        <f aca="false">IF(COUNTIF($A$2:$A$1201,A1137)&gt;1,"DUPLICATE","Unique")</f>
        <v>Unique</v>
      </c>
      <c r="P1137" s="2" t="str">
        <f aca="false">IF(L1137="","MISSING","OK")</f>
        <v>OK</v>
      </c>
      <c r="Q1137" s="2" t="str">
        <f aca="false">IF(ISNUMBER(B1137),"OK","BAD DATE")</f>
        <v>OK</v>
      </c>
      <c r="R1137" s="2" t="str">
        <f aca="false">IF(ROUND(F1137,2)=F1137,"OK","FIX")</f>
        <v>OK</v>
      </c>
    </row>
    <row r="1138" customFormat="false" ht="15" hidden="false" customHeight="false" outlineLevel="0" collapsed="false">
      <c r="A1138" s="2" t="s">
        <v>4071</v>
      </c>
      <c r="B1138" s="3" t="n">
        <v>45193</v>
      </c>
      <c r="C1138" s="2" t="s">
        <v>4072</v>
      </c>
      <c r="D1138" s="2" t="s">
        <v>36</v>
      </c>
      <c r="E1138" s="2" t="n">
        <v>3</v>
      </c>
      <c r="F1138" s="4" t="n">
        <v>668.33</v>
      </c>
      <c r="G1138" s="2" t="s">
        <v>2624</v>
      </c>
      <c r="H1138" s="2" t="s">
        <v>64</v>
      </c>
      <c r="I1138" s="2" t="s">
        <v>93</v>
      </c>
      <c r="J1138" s="2" t="s">
        <v>4073</v>
      </c>
      <c r="K1138" s="2" t="n">
        <v>4</v>
      </c>
      <c r="L1138" s="2" t="s">
        <v>85</v>
      </c>
      <c r="M1138" s="2" t="s">
        <v>49</v>
      </c>
      <c r="N1138" s="4" t="n">
        <v>2004.99</v>
      </c>
      <c r="O1138" s="2" t="str">
        <f aca="false">IF(COUNTIF($A$2:$A$1201,A1138)&gt;1,"DUPLICATE","Unique")</f>
        <v>Unique</v>
      </c>
      <c r="P1138" s="2" t="str">
        <f aca="false">IF(L1138="","MISSING","OK")</f>
        <v>OK</v>
      </c>
      <c r="Q1138" s="2" t="str">
        <f aca="false">IF(ISNUMBER(B1138),"OK","BAD DATE")</f>
        <v>OK</v>
      </c>
      <c r="R1138" s="2" t="str">
        <f aca="false">IF(ROUND(F1138,2)=F1138,"OK","FIX")</f>
        <v>OK</v>
      </c>
    </row>
    <row r="1139" customFormat="false" ht="15" hidden="false" customHeight="false" outlineLevel="0" collapsed="false">
      <c r="A1139" s="2" t="s">
        <v>4074</v>
      </c>
      <c r="B1139" s="3" t="n">
        <v>45502</v>
      </c>
      <c r="C1139" s="2" t="s">
        <v>4075</v>
      </c>
      <c r="D1139" s="2" t="s">
        <v>52</v>
      </c>
      <c r="E1139" s="2" t="n">
        <v>4</v>
      </c>
      <c r="F1139" s="4" t="n">
        <v>410.21</v>
      </c>
      <c r="G1139" s="2" t="s">
        <v>4076</v>
      </c>
      <c r="H1139" s="2" t="s">
        <v>69</v>
      </c>
      <c r="I1139" s="2" t="s">
        <v>93</v>
      </c>
      <c r="J1139" s="2" t="s">
        <v>4077</v>
      </c>
      <c r="K1139" s="2" t="n">
        <v>5</v>
      </c>
      <c r="L1139" s="2" t="s">
        <v>85</v>
      </c>
      <c r="M1139" s="2" t="s">
        <v>26</v>
      </c>
      <c r="N1139" s="4" t="n">
        <v>1640.84</v>
      </c>
      <c r="O1139" s="2" t="str">
        <f aca="false">IF(COUNTIF($A$2:$A$1201,A1139)&gt;1,"DUPLICATE","Unique")</f>
        <v>Unique</v>
      </c>
      <c r="P1139" s="2" t="str">
        <f aca="false">IF(L1139="","MISSING","OK")</f>
        <v>OK</v>
      </c>
      <c r="Q1139" s="2" t="str">
        <f aca="false">IF(ISNUMBER(B1139),"OK","BAD DATE")</f>
        <v>OK</v>
      </c>
      <c r="R1139" s="2" t="str">
        <f aca="false">IF(ROUND(F1139,2)=F1139,"OK","FIX")</f>
        <v>OK</v>
      </c>
    </row>
    <row r="1140" customFormat="false" ht="15" hidden="false" customHeight="false" outlineLevel="0" collapsed="false">
      <c r="A1140" s="2" t="s">
        <v>4078</v>
      </c>
      <c r="B1140" s="3" t="n">
        <v>45278</v>
      </c>
      <c r="C1140" s="2" t="s">
        <v>4079</v>
      </c>
      <c r="D1140" s="2" t="s">
        <v>77</v>
      </c>
      <c r="E1140" s="2" t="n">
        <v>4</v>
      </c>
      <c r="F1140" s="4" t="n">
        <v>294.41</v>
      </c>
      <c r="G1140" s="2" t="s">
        <v>2490</v>
      </c>
      <c r="H1140" s="2" t="s">
        <v>22</v>
      </c>
      <c r="I1140" s="2" t="s">
        <v>93</v>
      </c>
      <c r="J1140" s="2" t="s">
        <v>4080</v>
      </c>
      <c r="K1140" s="2" t="n">
        <v>4</v>
      </c>
      <c r="L1140" s="2"/>
      <c r="M1140" s="2" t="s">
        <v>26</v>
      </c>
      <c r="N1140" s="4" t="n">
        <v>1177.64</v>
      </c>
      <c r="O1140" s="2" t="str">
        <f aca="false">IF(COUNTIF($A$2:$A$1201,A1140)&gt;1,"DUPLICATE","Unique")</f>
        <v>Unique</v>
      </c>
      <c r="P1140" s="2" t="str">
        <f aca="false">IF(L1140="","MISSING","OK")</f>
        <v>MISSING</v>
      </c>
      <c r="Q1140" s="2" t="str">
        <f aca="false">IF(ISNUMBER(B1140),"OK","BAD DATE")</f>
        <v>OK</v>
      </c>
      <c r="R1140" s="2" t="str">
        <f aca="false">IF(ROUND(F1140,2)=F1140,"OK","FIX")</f>
        <v>OK</v>
      </c>
    </row>
    <row r="1141" customFormat="false" ht="15" hidden="false" customHeight="false" outlineLevel="0" collapsed="false">
      <c r="A1141" s="2" t="s">
        <v>4081</v>
      </c>
      <c r="B1141" s="3" t="n">
        <v>45717</v>
      </c>
      <c r="C1141" s="2" t="s">
        <v>3793</v>
      </c>
      <c r="D1141" s="2" t="s">
        <v>45</v>
      </c>
      <c r="E1141" s="2" t="n">
        <v>3</v>
      </c>
      <c r="F1141" s="4" t="n">
        <v>501.82</v>
      </c>
      <c r="G1141" s="2" t="s">
        <v>157</v>
      </c>
      <c r="H1141" s="2" t="s">
        <v>64</v>
      </c>
      <c r="I1141" s="2" t="s">
        <v>39</v>
      </c>
      <c r="J1141" s="2" t="s">
        <v>4082</v>
      </c>
      <c r="K1141" s="2" t="n">
        <v>4</v>
      </c>
      <c r="L1141" s="2" t="s">
        <v>41</v>
      </c>
      <c r="M1141" s="2" t="s">
        <v>42</v>
      </c>
      <c r="N1141" s="4" t="n">
        <v>1505.46</v>
      </c>
      <c r="O1141" s="2" t="str">
        <f aca="false">IF(COUNTIF($A$2:$A$1201,A1141)&gt;1,"DUPLICATE","Unique")</f>
        <v>Unique</v>
      </c>
      <c r="P1141" s="2" t="str">
        <f aca="false">IF(L1141="","MISSING","OK")</f>
        <v>OK</v>
      </c>
      <c r="Q1141" s="2" t="str">
        <f aca="false">IF(ISNUMBER(B1141),"OK","BAD DATE")</f>
        <v>OK</v>
      </c>
      <c r="R1141" s="2" t="str">
        <f aca="false">IF(ROUND(F1141,2)=F1141,"OK","FIX")</f>
        <v>OK</v>
      </c>
    </row>
    <row r="1142" customFormat="false" ht="15" hidden="false" customHeight="false" outlineLevel="0" collapsed="false">
      <c r="A1142" s="2" t="s">
        <v>4083</v>
      </c>
      <c r="B1142" s="3" t="n">
        <v>45467</v>
      </c>
      <c r="C1142" s="2" t="s">
        <v>4084</v>
      </c>
      <c r="D1142" s="2" t="s">
        <v>52</v>
      </c>
      <c r="E1142" s="2" t="n">
        <v>2</v>
      </c>
      <c r="F1142" s="4" t="n">
        <v>552.83</v>
      </c>
      <c r="G1142" s="2" t="s">
        <v>73</v>
      </c>
      <c r="H1142" s="2" t="s">
        <v>38</v>
      </c>
      <c r="I1142" s="2" t="s">
        <v>39</v>
      </c>
      <c r="J1142" s="2" t="s">
        <v>4085</v>
      </c>
      <c r="K1142" s="2" t="n">
        <v>3</v>
      </c>
      <c r="L1142" s="2"/>
      <c r="M1142" s="2" t="s">
        <v>33</v>
      </c>
      <c r="N1142" s="4" t="n">
        <v>1105.66</v>
      </c>
      <c r="O1142" s="2" t="str">
        <f aca="false">IF(COUNTIF($A$2:$A$1201,A1142)&gt;1,"DUPLICATE","Unique")</f>
        <v>Unique</v>
      </c>
      <c r="P1142" s="2" t="str">
        <f aca="false">IF(L1142="","MISSING","OK")</f>
        <v>MISSING</v>
      </c>
      <c r="Q1142" s="2" t="str">
        <f aca="false">IF(ISNUMBER(B1142),"OK","BAD DATE")</f>
        <v>OK</v>
      </c>
      <c r="R1142" s="2" t="str">
        <f aca="false">IF(ROUND(F1142,2)=F1142,"OK","FIX")</f>
        <v>OK</v>
      </c>
    </row>
    <row r="1143" customFormat="false" ht="15" hidden="false" customHeight="false" outlineLevel="0" collapsed="false">
      <c r="A1143" s="2" t="s">
        <v>4086</v>
      </c>
      <c r="B1143" s="3" t="n">
        <v>45704</v>
      </c>
      <c r="C1143" s="2" t="s">
        <v>4087</v>
      </c>
      <c r="D1143" s="2" t="s">
        <v>45</v>
      </c>
      <c r="E1143" s="2" t="n">
        <v>3</v>
      </c>
      <c r="F1143" s="4" t="n">
        <v>498.66</v>
      </c>
      <c r="G1143" s="2" t="s">
        <v>113</v>
      </c>
      <c r="H1143" s="2" t="s">
        <v>69</v>
      </c>
      <c r="I1143" s="2" t="s">
        <v>39</v>
      </c>
      <c r="J1143" s="2" t="s">
        <v>4088</v>
      </c>
      <c r="K1143" s="2" t="n">
        <v>6</v>
      </c>
      <c r="L1143" s="2"/>
      <c r="M1143" s="2" t="s">
        <v>42</v>
      </c>
      <c r="N1143" s="4" t="n">
        <v>1495.98</v>
      </c>
      <c r="O1143" s="2" t="str">
        <f aca="false">IF(COUNTIF($A$2:$A$1201,A1143)&gt;1,"DUPLICATE","Unique")</f>
        <v>Unique</v>
      </c>
      <c r="P1143" s="2" t="str">
        <f aca="false">IF(L1143="","MISSING","OK")</f>
        <v>MISSING</v>
      </c>
      <c r="Q1143" s="2" t="str">
        <f aca="false">IF(ISNUMBER(B1143),"OK","BAD DATE")</f>
        <v>OK</v>
      </c>
      <c r="R1143" s="2" t="str">
        <f aca="false">IF(ROUND(F1143,2)=F1143,"OK","FIX")</f>
        <v>OK</v>
      </c>
    </row>
    <row r="1144" customFormat="false" ht="15" hidden="false" customHeight="false" outlineLevel="0" collapsed="false">
      <c r="A1144" s="2" t="s">
        <v>4089</v>
      </c>
      <c r="B1144" s="3" t="n">
        <v>45527</v>
      </c>
      <c r="C1144" s="2" t="s">
        <v>4090</v>
      </c>
      <c r="D1144" s="2" t="s">
        <v>29</v>
      </c>
      <c r="E1144" s="2" t="n">
        <v>4</v>
      </c>
      <c r="F1144" s="4" t="n">
        <v>695.1</v>
      </c>
      <c r="G1144" s="2" t="s">
        <v>4091</v>
      </c>
      <c r="H1144" s="2" t="s">
        <v>22</v>
      </c>
      <c r="I1144" s="2" t="s">
        <v>47</v>
      </c>
      <c r="J1144" s="2" t="s">
        <v>4092</v>
      </c>
      <c r="K1144" s="2" t="n">
        <v>8</v>
      </c>
      <c r="L1144" s="2"/>
      <c r="M1144" s="2" t="s">
        <v>42</v>
      </c>
      <c r="N1144" s="4" t="n">
        <v>2780.4</v>
      </c>
      <c r="O1144" s="2" t="str">
        <f aca="false">IF(COUNTIF($A$2:$A$1201,A1144)&gt;1,"DUPLICATE","Unique")</f>
        <v>Unique</v>
      </c>
      <c r="P1144" s="2" t="str">
        <f aca="false">IF(L1144="","MISSING","OK")</f>
        <v>MISSING</v>
      </c>
      <c r="Q1144" s="2" t="str">
        <f aca="false">IF(ISNUMBER(B1144),"OK","BAD DATE")</f>
        <v>OK</v>
      </c>
      <c r="R1144" s="2" t="str">
        <f aca="false">IF(ROUND(F1144,2)=F1144,"OK","FIX")</f>
        <v>OK</v>
      </c>
    </row>
    <row r="1145" customFormat="false" ht="15" hidden="false" customHeight="false" outlineLevel="0" collapsed="false">
      <c r="A1145" s="2" t="s">
        <v>4093</v>
      </c>
      <c r="B1145" s="3" t="n">
        <v>45019</v>
      </c>
      <c r="C1145" s="2" t="s">
        <v>4094</v>
      </c>
      <c r="D1145" s="2" t="s">
        <v>45</v>
      </c>
      <c r="E1145" s="2" t="n">
        <v>1</v>
      </c>
      <c r="F1145" s="4" t="n">
        <v>381.61</v>
      </c>
      <c r="G1145" s="2" t="s">
        <v>4095</v>
      </c>
      <c r="H1145" s="2" t="s">
        <v>22</v>
      </c>
      <c r="I1145" s="2" t="s">
        <v>93</v>
      </c>
      <c r="J1145" s="2" t="s">
        <v>4096</v>
      </c>
      <c r="K1145" s="2" t="n">
        <v>5</v>
      </c>
      <c r="L1145" s="2"/>
      <c r="M1145" s="2" t="s">
        <v>42</v>
      </c>
      <c r="N1145" s="4" t="n">
        <v>381.61</v>
      </c>
      <c r="O1145" s="2" t="str">
        <f aca="false">IF(COUNTIF($A$2:$A$1201,A1145)&gt;1,"DUPLICATE","Unique")</f>
        <v>Unique</v>
      </c>
      <c r="P1145" s="2" t="str">
        <f aca="false">IF(L1145="","MISSING","OK")</f>
        <v>MISSING</v>
      </c>
      <c r="Q1145" s="2" t="str">
        <f aca="false">IF(ISNUMBER(B1145),"OK","BAD DATE")</f>
        <v>OK</v>
      </c>
      <c r="R1145" s="2" t="str">
        <f aca="false">IF(ROUND(F1145,2)=F1145,"OK","FIX")</f>
        <v>OK</v>
      </c>
    </row>
    <row r="1146" customFormat="false" ht="15" hidden="false" customHeight="false" outlineLevel="0" collapsed="false">
      <c r="A1146" s="2" t="s">
        <v>4097</v>
      </c>
      <c r="B1146" s="3" t="n">
        <v>44973</v>
      </c>
      <c r="C1146" s="2" t="s">
        <v>4098</v>
      </c>
      <c r="D1146" s="2" t="s">
        <v>77</v>
      </c>
      <c r="E1146" s="2" t="n">
        <v>5</v>
      </c>
      <c r="F1146" s="4" t="n">
        <v>507.94</v>
      </c>
      <c r="G1146" s="2" t="s">
        <v>4099</v>
      </c>
      <c r="H1146" s="2" t="s">
        <v>31</v>
      </c>
      <c r="I1146" s="2" t="s">
        <v>39</v>
      </c>
      <c r="J1146" s="2" t="s">
        <v>4100</v>
      </c>
      <c r="K1146" s="2" t="n">
        <v>9</v>
      </c>
      <c r="L1146" s="2"/>
      <c r="M1146" s="2" t="s">
        <v>49</v>
      </c>
      <c r="N1146" s="4" t="n">
        <v>2539.7</v>
      </c>
      <c r="O1146" s="2" t="str">
        <f aca="false">IF(COUNTIF($A$2:$A$1201,A1146)&gt;1,"DUPLICATE","Unique")</f>
        <v>Unique</v>
      </c>
      <c r="P1146" s="2" t="str">
        <f aca="false">IF(L1146="","MISSING","OK")</f>
        <v>MISSING</v>
      </c>
      <c r="Q1146" s="2" t="str">
        <f aca="false">IF(ISNUMBER(B1146),"OK","BAD DATE")</f>
        <v>OK</v>
      </c>
      <c r="R1146" s="2" t="str">
        <f aca="false">IF(ROUND(F1146,2)=F1146,"OK","FIX")</f>
        <v>OK</v>
      </c>
    </row>
    <row r="1147" customFormat="false" ht="15" hidden="false" customHeight="false" outlineLevel="0" collapsed="false">
      <c r="A1147" s="2" t="s">
        <v>4101</v>
      </c>
      <c r="B1147" s="3" t="n">
        <v>45789</v>
      </c>
      <c r="C1147" s="2" t="s">
        <v>4102</v>
      </c>
      <c r="D1147" s="2" t="s">
        <v>77</v>
      </c>
      <c r="E1147" s="2" t="n">
        <v>3</v>
      </c>
      <c r="F1147" s="4" t="n">
        <v>571.53</v>
      </c>
      <c r="G1147" s="2" t="s">
        <v>1019</v>
      </c>
      <c r="H1147" s="2" t="s">
        <v>22</v>
      </c>
      <c r="I1147" s="2" t="s">
        <v>54</v>
      </c>
      <c r="J1147" s="2" t="s">
        <v>4103</v>
      </c>
      <c r="K1147" s="2" t="n">
        <v>6</v>
      </c>
      <c r="L1147" s="2" t="s">
        <v>41</v>
      </c>
      <c r="M1147" s="2" t="s">
        <v>49</v>
      </c>
      <c r="N1147" s="4" t="n">
        <v>1714.59</v>
      </c>
      <c r="O1147" s="2" t="str">
        <f aca="false">IF(COUNTIF($A$2:$A$1201,A1147)&gt;1,"DUPLICATE","Unique")</f>
        <v>Unique</v>
      </c>
      <c r="P1147" s="2" t="str">
        <f aca="false">IF(L1147="","MISSING","OK")</f>
        <v>OK</v>
      </c>
      <c r="Q1147" s="2" t="str">
        <f aca="false">IF(ISNUMBER(B1147),"OK","BAD DATE")</f>
        <v>OK</v>
      </c>
      <c r="R1147" s="2" t="str">
        <f aca="false">IF(ROUND(F1147,2)=F1147,"OK","FIX")</f>
        <v>OK</v>
      </c>
    </row>
    <row r="1148" customFormat="false" ht="15" hidden="false" customHeight="false" outlineLevel="0" collapsed="false">
      <c r="A1148" s="2" t="s">
        <v>4104</v>
      </c>
      <c r="B1148" s="3" t="n">
        <v>45568</v>
      </c>
      <c r="C1148" s="2" t="s">
        <v>4105</v>
      </c>
      <c r="D1148" s="2" t="s">
        <v>20</v>
      </c>
      <c r="E1148" s="2" t="n">
        <v>5</v>
      </c>
      <c r="F1148" s="4" t="n">
        <v>421.44</v>
      </c>
      <c r="G1148" s="2" t="s">
        <v>1743</v>
      </c>
      <c r="H1148" s="2" t="s">
        <v>69</v>
      </c>
      <c r="I1148" s="2" t="s">
        <v>93</v>
      </c>
      <c r="J1148" s="2" t="s">
        <v>4106</v>
      </c>
      <c r="K1148" s="2" t="n">
        <v>5</v>
      </c>
      <c r="L1148" s="2" t="s">
        <v>25</v>
      </c>
      <c r="M1148" s="2" t="s">
        <v>26</v>
      </c>
      <c r="N1148" s="4" t="n">
        <v>2107.2</v>
      </c>
      <c r="O1148" s="2" t="str">
        <f aca="false">IF(COUNTIF($A$2:$A$1201,A1148)&gt;1,"DUPLICATE","Unique")</f>
        <v>Unique</v>
      </c>
      <c r="P1148" s="2" t="str">
        <f aca="false">IF(L1148="","MISSING","OK")</f>
        <v>OK</v>
      </c>
      <c r="Q1148" s="2" t="str">
        <f aca="false">IF(ISNUMBER(B1148),"OK","BAD DATE")</f>
        <v>OK</v>
      </c>
      <c r="R1148" s="2" t="str">
        <f aca="false">IF(ROUND(F1148,2)=F1148,"OK","FIX")</f>
        <v>OK</v>
      </c>
    </row>
    <row r="1149" customFormat="false" ht="15" hidden="false" customHeight="false" outlineLevel="0" collapsed="false">
      <c r="A1149" s="2" t="s">
        <v>4107</v>
      </c>
      <c r="B1149" s="3" t="n">
        <v>45659</v>
      </c>
      <c r="C1149" s="2" t="s">
        <v>4108</v>
      </c>
      <c r="D1149" s="2" t="s">
        <v>45</v>
      </c>
      <c r="E1149" s="2" t="n">
        <v>2</v>
      </c>
      <c r="F1149" s="4" t="n">
        <v>588.3</v>
      </c>
      <c r="G1149" s="2" t="s">
        <v>4109</v>
      </c>
      <c r="H1149" s="2" t="s">
        <v>31</v>
      </c>
      <c r="I1149" s="2" t="s">
        <v>93</v>
      </c>
      <c r="J1149" s="2" t="s">
        <v>4110</v>
      </c>
      <c r="K1149" s="2" t="n">
        <v>2</v>
      </c>
      <c r="L1149" s="2" t="s">
        <v>41</v>
      </c>
      <c r="M1149" s="2" t="s">
        <v>42</v>
      </c>
      <c r="N1149" s="4" t="n">
        <v>1176.6</v>
      </c>
      <c r="O1149" s="2" t="str">
        <f aca="false">IF(COUNTIF($A$2:$A$1201,A1149)&gt;1,"DUPLICATE","Unique")</f>
        <v>Unique</v>
      </c>
      <c r="P1149" s="2" t="str">
        <f aca="false">IF(L1149="","MISSING","OK")</f>
        <v>OK</v>
      </c>
      <c r="Q1149" s="2" t="str">
        <f aca="false">IF(ISNUMBER(B1149),"OK","BAD DATE")</f>
        <v>OK</v>
      </c>
      <c r="R1149" s="2" t="str">
        <f aca="false">IF(ROUND(F1149,2)=F1149,"OK","FIX")</f>
        <v>OK</v>
      </c>
    </row>
    <row r="1150" customFormat="false" ht="15" hidden="false" customHeight="false" outlineLevel="0" collapsed="false">
      <c r="A1150" s="2" t="s">
        <v>4111</v>
      </c>
      <c r="B1150" s="3" t="n">
        <v>45468</v>
      </c>
      <c r="C1150" s="2" t="s">
        <v>4112</v>
      </c>
      <c r="D1150" s="2" t="s">
        <v>29</v>
      </c>
      <c r="E1150" s="2" t="n">
        <v>1</v>
      </c>
      <c r="F1150" s="4" t="n">
        <v>355.15</v>
      </c>
      <c r="G1150" s="2" t="s">
        <v>4113</v>
      </c>
      <c r="H1150" s="2" t="s">
        <v>69</v>
      </c>
      <c r="I1150" s="2" t="s">
        <v>47</v>
      </c>
      <c r="J1150" s="2" t="s">
        <v>4114</v>
      </c>
      <c r="K1150" s="2" t="n">
        <v>2</v>
      </c>
      <c r="L1150" s="2" t="s">
        <v>25</v>
      </c>
      <c r="M1150" s="2" t="s">
        <v>42</v>
      </c>
      <c r="N1150" s="4" t="n">
        <v>355.15</v>
      </c>
      <c r="O1150" s="2" t="str">
        <f aca="false">IF(COUNTIF($A$2:$A$1201,A1150)&gt;1,"DUPLICATE","Unique")</f>
        <v>Unique</v>
      </c>
      <c r="P1150" s="2" t="str">
        <f aca="false">IF(L1150="","MISSING","OK")</f>
        <v>OK</v>
      </c>
      <c r="Q1150" s="2" t="str">
        <f aca="false">IF(ISNUMBER(B1150),"OK","BAD DATE")</f>
        <v>OK</v>
      </c>
      <c r="R1150" s="2" t="str">
        <f aca="false">IF(ROUND(F1150,2)=F1150,"OK","FIX")</f>
        <v>OK</v>
      </c>
    </row>
    <row r="1151" customFormat="false" ht="15" hidden="false" customHeight="false" outlineLevel="0" collapsed="false">
      <c r="A1151" s="2" t="s">
        <v>4115</v>
      </c>
      <c r="B1151" s="3" t="n">
        <v>45498</v>
      </c>
      <c r="C1151" s="2" t="s">
        <v>4116</v>
      </c>
      <c r="D1151" s="2" t="s">
        <v>45</v>
      </c>
      <c r="E1151" s="2" t="n">
        <v>2</v>
      </c>
      <c r="F1151" s="4" t="n">
        <v>695.29</v>
      </c>
      <c r="G1151" s="2" t="s">
        <v>4117</v>
      </c>
      <c r="H1151" s="2" t="s">
        <v>38</v>
      </c>
      <c r="I1151" s="2" t="s">
        <v>93</v>
      </c>
      <c r="J1151" s="2" t="s">
        <v>4118</v>
      </c>
      <c r="K1151" s="2" t="n">
        <v>6</v>
      </c>
      <c r="L1151" s="2" t="s">
        <v>41</v>
      </c>
      <c r="M1151" s="2" t="s">
        <v>26</v>
      </c>
      <c r="N1151" s="4" t="n">
        <v>1390.58</v>
      </c>
      <c r="O1151" s="2" t="str">
        <f aca="false">IF(COUNTIF($A$2:$A$1201,A1151)&gt;1,"DUPLICATE","Unique")</f>
        <v>Unique</v>
      </c>
      <c r="P1151" s="2" t="str">
        <f aca="false">IF(L1151="","MISSING","OK")</f>
        <v>OK</v>
      </c>
      <c r="Q1151" s="2" t="str">
        <f aca="false">IF(ISNUMBER(B1151),"OK","BAD DATE")</f>
        <v>OK</v>
      </c>
      <c r="R1151" s="2" t="str">
        <f aca="false">IF(ROUND(F1151,2)=F1151,"OK","FIX")</f>
        <v>OK</v>
      </c>
    </row>
    <row r="1152" customFormat="false" ht="15" hidden="false" customHeight="false" outlineLevel="0" collapsed="false">
      <c r="A1152" s="2" t="s">
        <v>4119</v>
      </c>
      <c r="B1152" s="3" t="n">
        <v>44977</v>
      </c>
      <c r="C1152" s="2" t="s">
        <v>4120</v>
      </c>
      <c r="D1152" s="2" t="s">
        <v>77</v>
      </c>
      <c r="E1152" s="2" t="n">
        <v>4</v>
      </c>
      <c r="F1152" s="4" t="n">
        <v>302.65</v>
      </c>
      <c r="G1152" s="2" t="s">
        <v>1093</v>
      </c>
      <c r="H1152" s="2" t="s">
        <v>38</v>
      </c>
      <c r="I1152" s="2" t="s">
        <v>39</v>
      </c>
      <c r="J1152" s="2" t="s">
        <v>4121</v>
      </c>
      <c r="K1152" s="2" t="n">
        <v>8</v>
      </c>
      <c r="L1152" s="2" t="s">
        <v>25</v>
      </c>
      <c r="M1152" s="2" t="s">
        <v>33</v>
      </c>
      <c r="N1152" s="4" t="n">
        <v>1210.6</v>
      </c>
      <c r="O1152" s="2" t="str">
        <f aca="false">IF(COUNTIF($A$2:$A$1201,A1152)&gt;1,"DUPLICATE","Unique")</f>
        <v>Unique</v>
      </c>
      <c r="P1152" s="2" t="str">
        <f aca="false">IF(L1152="","MISSING","OK")</f>
        <v>OK</v>
      </c>
      <c r="Q1152" s="2" t="str">
        <f aca="false">IF(ISNUMBER(B1152),"OK","BAD DATE")</f>
        <v>OK</v>
      </c>
      <c r="R1152" s="2" t="str">
        <f aca="false">IF(ROUND(F1152,2)=F1152,"OK","FIX")</f>
        <v>OK</v>
      </c>
    </row>
    <row r="1153" customFormat="false" ht="15" hidden="false" customHeight="false" outlineLevel="0" collapsed="false">
      <c r="A1153" s="2" t="s">
        <v>4122</v>
      </c>
      <c r="B1153" s="3" t="n">
        <v>44955</v>
      </c>
      <c r="C1153" s="2" t="s">
        <v>4123</v>
      </c>
      <c r="D1153" s="2" t="s">
        <v>45</v>
      </c>
      <c r="E1153" s="2" t="n">
        <v>2</v>
      </c>
      <c r="F1153" s="4" t="n">
        <v>608.04</v>
      </c>
      <c r="G1153" s="2" t="s">
        <v>4124</v>
      </c>
      <c r="H1153" s="2" t="s">
        <v>69</v>
      </c>
      <c r="I1153" s="2" t="s">
        <v>39</v>
      </c>
      <c r="J1153" s="2" t="s">
        <v>4125</v>
      </c>
      <c r="K1153" s="2" t="n">
        <v>4</v>
      </c>
      <c r="L1153" s="2"/>
      <c r="M1153" s="2" t="s">
        <v>80</v>
      </c>
      <c r="N1153" s="4" t="n">
        <v>1216.08</v>
      </c>
      <c r="O1153" s="2" t="str">
        <f aca="false">IF(COUNTIF($A$2:$A$1201,A1153)&gt;1,"DUPLICATE","Unique")</f>
        <v>Unique</v>
      </c>
      <c r="P1153" s="2" t="str">
        <f aca="false">IF(L1153="","MISSING","OK")</f>
        <v>MISSING</v>
      </c>
      <c r="Q1153" s="2" t="str">
        <f aca="false">IF(ISNUMBER(B1153),"OK","BAD DATE")</f>
        <v>OK</v>
      </c>
      <c r="R1153" s="2" t="str">
        <f aca="false">IF(ROUND(F1153,2)=F1153,"OK","FIX")</f>
        <v>OK</v>
      </c>
    </row>
    <row r="1154" customFormat="false" ht="15" hidden="false" customHeight="false" outlineLevel="0" collapsed="false">
      <c r="A1154" s="2" t="s">
        <v>4126</v>
      </c>
      <c r="B1154" s="3" t="n">
        <v>45239</v>
      </c>
      <c r="C1154" s="2" t="s">
        <v>4127</v>
      </c>
      <c r="D1154" s="2" t="s">
        <v>36</v>
      </c>
      <c r="E1154" s="2" t="n">
        <v>2</v>
      </c>
      <c r="F1154" s="4" t="n">
        <v>344.18</v>
      </c>
      <c r="G1154" s="2" t="s">
        <v>430</v>
      </c>
      <c r="H1154" s="2" t="s">
        <v>38</v>
      </c>
      <c r="I1154" s="2" t="s">
        <v>23</v>
      </c>
      <c r="J1154" s="2" t="s">
        <v>4128</v>
      </c>
      <c r="K1154" s="2" t="n">
        <v>7</v>
      </c>
      <c r="L1154" s="2"/>
      <c r="M1154" s="2" t="s">
        <v>33</v>
      </c>
      <c r="N1154" s="4" t="n">
        <v>688.36</v>
      </c>
      <c r="O1154" s="2" t="str">
        <f aca="false">IF(COUNTIF($A$2:$A$1201,A1154)&gt;1,"DUPLICATE","Unique")</f>
        <v>Unique</v>
      </c>
      <c r="P1154" s="2" t="str">
        <f aca="false">IF(L1154="","MISSING","OK")</f>
        <v>MISSING</v>
      </c>
      <c r="Q1154" s="2" t="str">
        <f aca="false">IF(ISNUMBER(B1154),"OK","BAD DATE")</f>
        <v>OK</v>
      </c>
      <c r="R1154" s="2" t="str">
        <f aca="false">IF(ROUND(F1154,2)=F1154,"OK","FIX")</f>
        <v>OK</v>
      </c>
    </row>
    <row r="1155" customFormat="false" ht="15" hidden="false" customHeight="false" outlineLevel="0" collapsed="false">
      <c r="A1155" s="2" t="s">
        <v>4129</v>
      </c>
      <c r="B1155" s="3" t="n">
        <v>45642</v>
      </c>
      <c r="C1155" s="2" t="s">
        <v>4130</v>
      </c>
      <c r="D1155" s="2" t="s">
        <v>20</v>
      </c>
      <c r="E1155" s="2" t="n">
        <v>4</v>
      </c>
      <c r="F1155" s="4" t="n">
        <v>696.71</v>
      </c>
      <c r="G1155" s="2" t="s">
        <v>4131</v>
      </c>
      <c r="H1155" s="2" t="s">
        <v>22</v>
      </c>
      <c r="I1155" s="2" t="s">
        <v>23</v>
      </c>
      <c r="J1155" s="2" t="s">
        <v>4132</v>
      </c>
      <c r="K1155" s="2" t="n">
        <v>4</v>
      </c>
      <c r="L1155" s="2"/>
      <c r="M1155" s="2" t="s">
        <v>26</v>
      </c>
      <c r="N1155" s="4" t="n">
        <v>2786.84</v>
      </c>
      <c r="O1155" s="2" t="str">
        <f aca="false">IF(COUNTIF($A$2:$A$1201,A1155)&gt;1,"DUPLICATE","Unique")</f>
        <v>Unique</v>
      </c>
      <c r="P1155" s="2" t="str">
        <f aca="false">IF(L1155="","MISSING","OK")</f>
        <v>MISSING</v>
      </c>
      <c r="Q1155" s="2" t="str">
        <f aca="false">IF(ISNUMBER(B1155),"OK","BAD DATE")</f>
        <v>OK</v>
      </c>
      <c r="R1155" s="2" t="str">
        <f aca="false">IF(ROUND(F1155,2)=F1155,"OK","FIX")</f>
        <v>OK</v>
      </c>
    </row>
    <row r="1156" customFormat="false" ht="15" hidden="false" customHeight="false" outlineLevel="0" collapsed="false">
      <c r="A1156" s="2" t="s">
        <v>4133</v>
      </c>
      <c r="B1156" s="3" t="n">
        <v>45819</v>
      </c>
      <c r="C1156" s="2" t="s">
        <v>4134</v>
      </c>
      <c r="D1156" s="2" t="s">
        <v>20</v>
      </c>
      <c r="E1156" s="2" t="n">
        <v>3</v>
      </c>
      <c r="F1156" s="4" t="n">
        <v>198.63</v>
      </c>
      <c r="G1156" s="2" t="s">
        <v>506</v>
      </c>
      <c r="H1156" s="2" t="s">
        <v>69</v>
      </c>
      <c r="I1156" s="2" t="s">
        <v>93</v>
      </c>
      <c r="J1156" s="2" t="s">
        <v>4135</v>
      </c>
      <c r="K1156" s="2" t="n">
        <v>8</v>
      </c>
      <c r="L1156" s="2" t="s">
        <v>25</v>
      </c>
      <c r="M1156" s="2" t="s">
        <v>26</v>
      </c>
      <c r="N1156" s="4" t="n">
        <v>595.89</v>
      </c>
      <c r="O1156" s="2" t="str">
        <f aca="false">IF(COUNTIF($A$2:$A$1201,A1156)&gt;1,"DUPLICATE","Unique")</f>
        <v>Unique</v>
      </c>
      <c r="P1156" s="2" t="str">
        <f aca="false">IF(L1156="","MISSING","OK")</f>
        <v>OK</v>
      </c>
      <c r="Q1156" s="2" t="str">
        <f aca="false">IF(ISNUMBER(B1156),"OK","BAD DATE")</f>
        <v>OK</v>
      </c>
      <c r="R1156" s="2" t="str">
        <f aca="false">IF(ROUND(F1156,2)=F1156,"OK","FIX")</f>
        <v>OK</v>
      </c>
    </row>
    <row r="1157" customFormat="false" ht="15" hidden="false" customHeight="false" outlineLevel="0" collapsed="false">
      <c r="A1157" s="2" t="s">
        <v>4136</v>
      </c>
      <c r="B1157" s="3" t="n">
        <v>45151</v>
      </c>
      <c r="C1157" s="2" t="s">
        <v>4137</v>
      </c>
      <c r="D1157" s="2" t="s">
        <v>52</v>
      </c>
      <c r="E1157" s="2" t="n">
        <v>4</v>
      </c>
      <c r="F1157" s="4" t="n">
        <v>534.57</v>
      </c>
      <c r="G1157" s="2" t="s">
        <v>685</v>
      </c>
      <c r="H1157" s="2" t="s">
        <v>38</v>
      </c>
      <c r="I1157" s="2" t="s">
        <v>54</v>
      </c>
      <c r="J1157" s="2" t="s">
        <v>4138</v>
      </c>
      <c r="K1157" s="2" t="n">
        <v>6</v>
      </c>
      <c r="L1157" s="2" t="s">
        <v>41</v>
      </c>
      <c r="M1157" s="2" t="s">
        <v>49</v>
      </c>
      <c r="N1157" s="4" t="n">
        <v>2138.28</v>
      </c>
      <c r="O1157" s="2" t="str">
        <f aca="false">IF(COUNTIF($A$2:$A$1201,A1157)&gt;1,"DUPLICATE","Unique")</f>
        <v>Unique</v>
      </c>
      <c r="P1157" s="2" t="str">
        <f aca="false">IF(L1157="","MISSING","OK")</f>
        <v>OK</v>
      </c>
      <c r="Q1157" s="2" t="str">
        <f aca="false">IF(ISNUMBER(B1157),"OK","BAD DATE")</f>
        <v>OK</v>
      </c>
      <c r="R1157" s="2" t="str">
        <f aca="false">IF(ROUND(F1157,2)=F1157,"OK","FIX")</f>
        <v>OK</v>
      </c>
    </row>
    <row r="1158" customFormat="false" ht="15" hidden="false" customHeight="false" outlineLevel="0" collapsed="false">
      <c r="A1158" s="2" t="s">
        <v>4139</v>
      </c>
      <c r="B1158" s="3" t="n">
        <v>45126</v>
      </c>
      <c r="C1158" s="2" t="s">
        <v>4140</v>
      </c>
      <c r="D1158" s="2" t="s">
        <v>62</v>
      </c>
      <c r="E1158" s="2" t="n">
        <v>4</v>
      </c>
      <c r="F1158" s="4" t="n">
        <v>690.78</v>
      </c>
      <c r="G1158" s="2" t="s">
        <v>101</v>
      </c>
      <c r="H1158" s="2" t="s">
        <v>38</v>
      </c>
      <c r="I1158" s="2" t="s">
        <v>23</v>
      </c>
      <c r="J1158" s="2" t="s">
        <v>4141</v>
      </c>
      <c r="K1158" s="2" t="n">
        <v>9</v>
      </c>
      <c r="L1158" s="2"/>
      <c r="M1158" s="2" t="s">
        <v>33</v>
      </c>
      <c r="N1158" s="4" t="n">
        <v>2763.12</v>
      </c>
      <c r="O1158" s="2" t="str">
        <f aca="false">IF(COUNTIF($A$2:$A$1201,A1158)&gt;1,"DUPLICATE","Unique")</f>
        <v>Unique</v>
      </c>
      <c r="P1158" s="2" t="str">
        <f aca="false">IF(L1158="","MISSING","OK")</f>
        <v>MISSING</v>
      </c>
      <c r="Q1158" s="2" t="str">
        <f aca="false">IF(ISNUMBER(B1158),"OK","BAD DATE")</f>
        <v>OK</v>
      </c>
      <c r="R1158" s="2" t="str">
        <f aca="false">IF(ROUND(F1158,2)=F1158,"OK","FIX")</f>
        <v>OK</v>
      </c>
    </row>
    <row r="1159" customFormat="false" ht="15" hidden="false" customHeight="false" outlineLevel="0" collapsed="false">
      <c r="A1159" s="2" t="s">
        <v>4142</v>
      </c>
      <c r="B1159" s="3" t="n">
        <v>45441</v>
      </c>
      <c r="C1159" s="2" t="s">
        <v>4143</v>
      </c>
      <c r="D1159" s="2" t="s">
        <v>20</v>
      </c>
      <c r="E1159" s="2" t="n">
        <v>3</v>
      </c>
      <c r="F1159" s="4" t="n">
        <v>301.55</v>
      </c>
      <c r="G1159" s="2" t="s">
        <v>918</v>
      </c>
      <c r="H1159" s="2" t="s">
        <v>22</v>
      </c>
      <c r="I1159" s="2" t="s">
        <v>54</v>
      </c>
      <c r="J1159" s="2" t="s">
        <v>4144</v>
      </c>
      <c r="K1159" s="2" t="n">
        <v>5</v>
      </c>
      <c r="L1159" s="2" t="s">
        <v>41</v>
      </c>
      <c r="M1159" s="2" t="s">
        <v>80</v>
      </c>
      <c r="N1159" s="4" t="n">
        <v>904.65</v>
      </c>
      <c r="O1159" s="2" t="str">
        <f aca="false">IF(COUNTIF($A$2:$A$1201,A1159)&gt;1,"DUPLICATE","Unique")</f>
        <v>Unique</v>
      </c>
      <c r="P1159" s="2" t="str">
        <f aca="false">IF(L1159="","MISSING","OK")</f>
        <v>OK</v>
      </c>
      <c r="Q1159" s="2" t="str">
        <f aca="false">IF(ISNUMBER(B1159),"OK","BAD DATE")</f>
        <v>OK</v>
      </c>
      <c r="R1159" s="2" t="str">
        <f aca="false">IF(ROUND(F1159,2)=F1159,"OK","FIX")</f>
        <v>OK</v>
      </c>
    </row>
    <row r="1160" customFormat="false" ht="15" hidden="false" customHeight="false" outlineLevel="0" collapsed="false">
      <c r="A1160" s="2" t="s">
        <v>4145</v>
      </c>
      <c r="B1160" s="3" t="n">
        <v>45036</v>
      </c>
      <c r="C1160" s="2" t="s">
        <v>4146</v>
      </c>
      <c r="D1160" s="2" t="s">
        <v>20</v>
      </c>
      <c r="E1160" s="2" t="n">
        <v>4</v>
      </c>
      <c r="F1160" s="4" t="n">
        <v>27.42</v>
      </c>
      <c r="G1160" s="2" t="s">
        <v>1716</v>
      </c>
      <c r="H1160" s="2" t="s">
        <v>22</v>
      </c>
      <c r="I1160" s="2" t="s">
        <v>93</v>
      </c>
      <c r="J1160" s="2" t="s">
        <v>4147</v>
      </c>
      <c r="K1160" s="2" t="n">
        <v>4</v>
      </c>
      <c r="L1160" s="2" t="s">
        <v>25</v>
      </c>
      <c r="M1160" s="2" t="s">
        <v>33</v>
      </c>
      <c r="N1160" s="4" t="n">
        <v>109.68</v>
      </c>
      <c r="O1160" s="2" t="str">
        <f aca="false">IF(COUNTIF($A$2:$A$1201,A1160)&gt;1,"DUPLICATE","Unique")</f>
        <v>Unique</v>
      </c>
      <c r="P1160" s="2" t="str">
        <f aca="false">IF(L1160="","MISSING","OK")</f>
        <v>OK</v>
      </c>
      <c r="Q1160" s="2" t="str">
        <f aca="false">IF(ISNUMBER(B1160),"OK","BAD DATE")</f>
        <v>OK</v>
      </c>
      <c r="R1160" s="2" t="str">
        <f aca="false">IF(ROUND(F1160,2)=F1160,"OK","FIX")</f>
        <v>OK</v>
      </c>
    </row>
    <row r="1161" customFormat="false" ht="15" hidden="false" customHeight="false" outlineLevel="0" collapsed="false">
      <c r="A1161" s="2" t="s">
        <v>4148</v>
      </c>
      <c r="B1161" s="3" t="n">
        <v>45345</v>
      </c>
      <c r="C1161" s="2" t="s">
        <v>4149</v>
      </c>
      <c r="D1161" s="2" t="s">
        <v>77</v>
      </c>
      <c r="E1161" s="2" t="n">
        <v>4</v>
      </c>
      <c r="F1161" s="4" t="n">
        <v>466.7</v>
      </c>
      <c r="G1161" s="2" t="s">
        <v>1766</v>
      </c>
      <c r="H1161" s="2" t="s">
        <v>22</v>
      </c>
      <c r="I1161" s="2" t="s">
        <v>47</v>
      </c>
      <c r="J1161" s="2" t="s">
        <v>4150</v>
      </c>
      <c r="K1161" s="2" t="n">
        <v>8</v>
      </c>
      <c r="L1161" s="2"/>
      <c r="M1161" s="2" t="s">
        <v>26</v>
      </c>
      <c r="N1161" s="4" t="n">
        <v>1866.8</v>
      </c>
      <c r="O1161" s="2" t="str">
        <f aca="false">IF(COUNTIF($A$2:$A$1201,A1161)&gt;1,"DUPLICATE","Unique")</f>
        <v>Unique</v>
      </c>
      <c r="P1161" s="2" t="str">
        <f aca="false">IF(L1161="","MISSING","OK")</f>
        <v>MISSING</v>
      </c>
      <c r="Q1161" s="2" t="str">
        <f aca="false">IF(ISNUMBER(B1161),"OK","BAD DATE")</f>
        <v>OK</v>
      </c>
      <c r="R1161" s="2" t="str">
        <f aca="false">IF(ROUND(F1161,2)=F1161,"OK","FIX")</f>
        <v>OK</v>
      </c>
    </row>
    <row r="1162" customFormat="false" ht="15" hidden="false" customHeight="false" outlineLevel="0" collapsed="false">
      <c r="A1162" s="2" t="s">
        <v>4151</v>
      </c>
      <c r="B1162" s="3" t="n">
        <v>45539</v>
      </c>
      <c r="C1162" s="2" t="s">
        <v>4152</v>
      </c>
      <c r="D1162" s="2" t="s">
        <v>77</v>
      </c>
      <c r="E1162" s="2" t="n">
        <v>1</v>
      </c>
      <c r="F1162" s="4" t="n">
        <v>541.64</v>
      </c>
      <c r="G1162" s="2" t="s">
        <v>1831</v>
      </c>
      <c r="H1162" s="2" t="s">
        <v>22</v>
      </c>
      <c r="I1162" s="2" t="s">
        <v>23</v>
      </c>
      <c r="J1162" s="2" t="s">
        <v>4153</v>
      </c>
      <c r="K1162" s="2" t="n">
        <v>5</v>
      </c>
      <c r="L1162" s="2" t="s">
        <v>25</v>
      </c>
      <c r="M1162" s="2" t="s">
        <v>42</v>
      </c>
      <c r="N1162" s="4" t="n">
        <v>541.64</v>
      </c>
      <c r="O1162" s="2" t="str">
        <f aca="false">IF(COUNTIF($A$2:$A$1201,A1162)&gt;1,"DUPLICATE","Unique")</f>
        <v>Unique</v>
      </c>
      <c r="P1162" s="2" t="str">
        <f aca="false">IF(L1162="","MISSING","OK")</f>
        <v>OK</v>
      </c>
      <c r="Q1162" s="2" t="str">
        <f aca="false">IF(ISNUMBER(B1162),"OK","BAD DATE")</f>
        <v>OK</v>
      </c>
      <c r="R1162" s="2" t="str">
        <f aca="false">IF(ROUND(F1162,2)=F1162,"OK","FIX")</f>
        <v>OK</v>
      </c>
    </row>
    <row r="1163" customFormat="false" ht="15" hidden="false" customHeight="false" outlineLevel="0" collapsed="false">
      <c r="A1163" s="2" t="s">
        <v>4154</v>
      </c>
      <c r="B1163" s="3" t="n">
        <v>45215</v>
      </c>
      <c r="C1163" s="2" t="s">
        <v>4155</v>
      </c>
      <c r="D1163" s="2" t="s">
        <v>29</v>
      </c>
      <c r="E1163" s="2" t="n">
        <v>1</v>
      </c>
      <c r="F1163" s="4" t="n">
        <v>11.39</v>
      </c>
      <c r="G1163" s="2" t="s">
        <v>1348</v>
      </c>
      <c r="H1163" s="2" t="s">
        <v>69</v>
      </c>
      <c r="I1163" s="2" t="s">
        <v>39</v>
      </c>
      <c r="J1163" s="2" t="s">
        <v>4156</v>
      </c>
      <c r="K1163" s="2" t="n">
        <v>6</v>
      </c>
      <c r="L1163" s="2" t="s">
        <v>85</v>
      </c>
      <c r="M1163" s="2" t="s">
        <v>42</v>
      </c>
      <c r="N1163" s="4" t="n">
        <v>11.39</v>
      </c>
      <c r="O1163" s="2" t="str">
        <f aca="false">IF(COUNTIF($A$2:$A$1201,A1163)&gt;1,"DUPLICATE","Unique")</f>
        <v>Unique</v>
      </c>
      <c r="P1163" s="2" t="str">
        <f aca="false">IF(L1163="","MISSING","OK")</f>
        <v>OK</v>
      </c>
      <c r="Q1163" s="2" t="str">
        <f aca="false">IF(ISNUMBER(B1163),"OK","BAD DATE")</f>
        <v>OK</v>
      </c>
      <c r="R1163" s="2" t="str">
        <f aca="false">IF(ROUND(F1163,2)=F1163,"OK","FIX")</f>
        <v>OK</v>
      </c>
    </row>
    <row r="1164" customFormat="false" ht="15" hidden="false" customHeight="false" outlineLevel="0" collapsed="false">
      <c r="A1164" s="2" t="s">
        <v>4157</v>
      </c>
      <c r="B1164" s="3" t="n">
        <v>45727</v>
      </c>
      <c r="C1164" s="2" t="s">
        <v>4158</v>
      </c>
      <c r="D1164" s="2" t="s">
        <v>29</v>
      </c>
      <c r="E1164" s="2" t="n">
        <v>2</v>
      </c>
      <c r="F1164" s="4" t="n">
        <v>224.37</v>
      </c>
      <c r="G1164" s="2" t="s">
        <v>4159</v>
      </c>
      <c r="H1164" s="2" t="s">
        <v>22</v>
      </c>
      <c r="I1164" s="2" t="s">
        <v>54</v>
      </c>
      <c r="J1164" s="2" t="s">
        <v>4160</v>
      </c>
      <c r="K1164" s="2" t="n">
        <v>3</v>
      </c>
      <c r="L1164" s="2" t="s">
        <v>85</v>
      </c>
      <c r="M1164" s="2" t="s">
        <v>33</v>
      </c>
      <c r="N1164" s="4" t="n">
        <v>448.74</v>
      </c>
      <c r="O1164" s="2" t="str">
        <f aca="false">IF(COUNTIF($A$2:$A$1201,A1164)&gt;1,"DUPLICATE","Unique")</f>
        <v>Unique</v>
      </c>
      <c r="P1164" s="2" t="str">
        <f aca="false">IF(L1164="","MISSING","OK")</f>
        <v>OK</v>
      </c>
      <c r="Q1164" s="2" t="str">
        <f aca="false">IF(ISNUMBER(B1164),"OK","BAD DATE")</f>
        <v>OK</v>
      </c>
      <c r="R1164" s="2" t="str">
        <f aca="false">IF(ROUND(F1164,2)=F1164,"OK","FIX")</f>
        <v>OK</v>
      </c>
    </row>
    <row r="1165" customFormat="false" ht="15" hidden="false" customHeight="false" outlineLevel="0" collapsed="false">
      <c r="A1165" s="2" t="s">
        <v>4161</v>
      </c>
      <c r="B1165" s="3" t="n">
        <v>45454</v>
      </c>
      <c r="C1165" s="2" t="s">
        <v>4162</v>
      </c>
      <c r="D1165" s="2" t="s">
        <v>62</v>
      </c>
      <c r="E1165" s="2" t="n">
        <v>3</v>
      </c>
      <c r="F1165" s="4" t="n">
        <v>306.29</v>
      </c>
      <c r="G1165" s="2" t="s">
        <v>4163</v>
      </c>
      <c r="H1165" s="2" t="s">
        <v>38</v>
      </c>
      <c r="I1165" s="2" t="s">
        <v>47</v>
      </c>
      <c r="J1165" s="2" t="s">
        <v>4164</v>
      </c>
      <c r="K1165" s="2" t="n">
        <v>7</v>
      </c>
      <c r="L1165" s="2" t="s">
        <v>85</v>
      </c>
      <c r="M1165" s="2" t="s">
        <v>26</v>
      </c>
      <c r="N1165" s="4" t="n">
        <v>918.87</v>
      </c>
      <c r="O1165" s="2" t="str">
        <f aca="false">IF(COUNTIF($A$2:$A$1201,A1165)&gt;1,"DUPLICATE","Unique")</f>
        <v>Unique</v>
      </c>
      <c r="P1165" s="2" t="str">
        <f aca="false">IF(L1165="","MISSING","OK")</f>
        <v>OK</v>
      </c>
      <c r="Q1165" s="2" t="str">
        <f aca="false">IF(ISNUMBER(B1165),"OK","BAD DATE")</f>
        <v>OK</v>
      </c>
      <c r="R1165" s="2" t="str">
        <f aca="false">IF(ROUND(F1165,2)=F1165,"OK","FIX")</f>
        <v>OK</v>
      </c>
    </row>
    <row r="1166" customFormat="false" ht="15" hidden="false" customHeight="false" outlineLevel="0" collapsed="false">
      <c r="A1166" s="2" t="s">
        <v>4165</v>
      </c>
      <c r="B1166" s="3" t="n">
        <v>45299</v>
      </c>
      <c r="C1166" s="2" t="s">
        <v>4166</v>
      </c>
      <c r="D1166" s="2" t="s">
        <v>36</v>
      </c>
      <c r="E1166" s="2" t="n">
        <v>5</v>
      </c>
      <c r="F1166" s="4" t="n">
        <v>315.57</v>
      </c>
      <c r="G1166" s="2" t="s">
        <v>2201</v>
      </c>
      <c r="H1166" s="2" t="s">
        <v>22</v>
      </c>
      <c r="I1166" s="2" t="s">
        <v>54</v>
      </c>
      <c r="J1166" s="2" t="s">
        <v>4167</v>
      </c>
      <c r="K1166" s="2" t="n">
        <v>6</v>
      </c>
      <c r="L1166" s="2" t="s">
        <v>85</v>
      </c>
      <c r="M1166" s="2" t="s">
        <v>42</v>
      </c>
      <c r="N1166" s="4" t="n">
        <v>1577.85</v>
      </c>
      <c r="O1166" s="2" t="str">
        <f aca="false">IF(COUNTIF($A$2:$A$1201,A1166)&gt;1,"DUPLICATE","Unique")</f>
        <v>Unique</v>
      </c>
      <c r="P1166" s="2" t="str">
        <f aca="false">IF(L1166="","MISSING","OK")</f>
        <v>OK</v>
      </c>
      <c r="Q1166" s="2" t="str">
        <f aca="false">IF(ISNUMBER(B1166),"OK","BAD DATE")</f>
        <v>OK</v>
      </c>
      <c r="R1166" s="2" t="str">
        <f aca="false">IF(ROUND(F1166,2)=F1166,"OK","FIX")</f>
        <v>OK</v>
      </c>
    </row>
    <row r="1167" customFormat="false" ht="15" hidden="false" customHeight="false" outlineLevel="0" collapsed="false">
      <c r="A1167" s="2" t="s">
        <v>4168</v>
      </c>
      <c r="B1167" s="3" t="n">
        <v>45121</v>
      </c>
      <c r="C1167" s="2" t="s">
        <v>4169</v>
      </c>
      <c r="D1167" s="2" t="s">
        <v>45</v>
      </c>
      <c r="E1167" s="2" t="n">
        <v>3</v>
      </c>
      <c r="F1167" s="4" t="n">
        <v>223.79</v>
      </c>
      <c r="G1167" s="2" t="s">
        <v>4170</v>
      </c>
      <c r="H1167" s="2" t="s">
        <v>22</v>
      </c>
      <c r="I1167" s="2" t="s">
        <v>93</v>
      </c>
      <c r="J1167" s="2" t="s">
        <v>4171</v>
      </c>
      <c r="K1167" s="2" t="n">
        <v>3</v>
      </c>
      <c r="L1167" s="2"/>
      <c r="M1167" s="2" t="s">
        <v>80</v>
      </c>
      <c r="N1167" s="4" t="n">
        <v>671.37</v>
      </c>
      <c r="O1167" s="2" t="str">
        <f aca="false">IF(COUNTIF($A$2:$A$1201,A1167)&gt;1,"DUPLICATE","Unique")</f>
        <v>Unique</v>
      </c>
      <c r="P1167" s="2" t="str">
        <f aca="false">IF(L1167="","MISSING","OK")</f>
        <v>MISSING</v>
      </c>
      <c r="Q1167" s="2" t="str">
        <f aca="false">IF(ISNUMBER(B1167),"OK","BAD DATE")</f>
        <v>OK</v>
      </c>
      <c r="R1167" s="2" t="str">
        <f aca="false">IF(ROUND(F1167,2)=F1167,"OK","FIX")</f>
        <v>OK</v>
      </c>
    </row>
    <row r="1168" customFormat="false" ht="15" hidden="false" customHeight="false" outlineLevel="0" collapsed="false">
      <c r="A1168" s="2" t="s">
        <v>4172</v>
      </c>
      <c r="B1168" s="3" t="n">
        <v>45138</v>
      </c>
      <c r="C1168" s="2" t="s">
        <v>4173</v>
      </c>
      <c r="D1168" s="2" t="s">
        <v>45</v>
      </c>
      <c r="E1168" s="2" t="n">
        <v>3</v>
      </c>
      <c r="F1168" s="4" t="n">
        <v>324.47</v>
      </c>
      <c r="G1168" s="2" t="s">
        <v>367</v>
      </c>
      <c r="H1168" s="2" t="s">
        <v>69</v>
      </c>
      <c r="I1168" s="2" t="s">
        <v>54</v>
      </c>
      <c r="J1168" s="2" t="s">
        <v>4174</v>
      </c>
      <c r="K1168" s="2" t="n">
        <v>4</v>
      </c>
      <c r="L1168" s="2" t="s">
        <v>85</v>
      </c>
      <c r="M1168" s="2" t="s">
        <v>42</v>
      </c>
      <c r="N1168" s="4" t="n">
        <v>973.41</v>
      </c>
      <c r="O1168" s="2" t="str">
        <f aca="false">IF(COUNTIF($A$2:$A$1201,A1168)&gt;1,"DUPLICATE","Unique")</f>
        <v>Unique</v>
      </c>
      <c r="P1168" s="2" t="str">
        <f aca="false">IF(L1168="","MISSING","OK")</f>
        <v>OK</v>
      </c>
      <c r="Q1168" s="2" t="str">
        <f aca="false">IF(ISNUMBER(B1168),"OK","BAD DATE")</f>
        <v>OK</v>
      </c>
      <c r="R1168" s="2" t="str">
        <f aca="false">IF(ROUND(F1168,2)=F1168,"OK","FIX")</f>
        <v>OK</v>
      </c>
    </row>
    <row r="1169" customFormat="false" ht="15" hidden="false" customHeight="false" outlineLevel="0" collapsed="false">
      <c r="A1169" s="2" t="s">
        <v>4175</v>
      </c>
      <c r="B1169" s="3" t="n">
        <v>45216</v>
      </c>
      <c r="C1169" s="2" t="s">
        <v>4176</v>
      </c>
      <c r="D1169" s="2" t="s">
        <v>52</v>
      </c>
      <c r="E1169" s="2" t="n">
        <v>2</v>
      </c>
      <c r="F1169" s="4" t="n">
        <v>92.87</v>
      </c>
      <c r="G1169" s="2" t="s">
        <v>1105</v>
      </c>
      <c r="H1169" s="2" t="s">
        <v>38</v>
      </c>
      <c r="I1169" s="2" t="s">
        <v>93</v>
      </c>
      <c r="J1169" s="2" t="s">
        <v>4177</v>
      </c>
      <c r="K1169" s="2" t="n">
        <v>5</v>
      </c>
      <c r="L1169" s="2" t="s">
        <v>41</v>
      </c>
      <c r="M1169" s="2" t="s">
        <v>49</v>
      </c>
      <c r="N1169" s="4" t="n">
        <v>185.74</v>
      </c>
      <c r="O1169" s="2" t="str">
        <f aca="false">IF(COUNTIF($A$2:$A$1201,A1169)&gt;1,"DUPLICATE","Unique")</f>
        <v>Unique</v>
      </c>
      <c r="P1169" s="2" t="str">
        <f aca="false">IF(L1169="","MISSING","OK")</f>
        <v>OK</v>
      </c>
      <c r="Q1169" s="2" t="str">
        <f aca="false">IF(ISNUMBER(B1169),"OK","BAD DATE")</f>
        <v>OK</v>
      </c>
      <c r="R1169" s="2" t="str">
        <f aca="false">IF(ROUND(F1169,2)=F1169,"OK","FIX")</f>
        <v>OK</v>
      </c>
    </row>
    <row r="1170" customFormat="false" ht="15" hidden="false" customHeight="false" outlineLevel="0" collapsed="false">
      <c r="A1170" s="2" t="s">
        <v>4178</v>
      </c>
      <c r="B1170" s="3" t="n">
        <v>45024</v>
      </c>
      <c r="C1170" s="2" t="s">
        <v>4179</v>
      </c>
      <c r="D1170" s="2" t="s">
        <v>62</v>
      </c>
      <c r="E1170" s="2" t="n">
        <v>2</v>
      </c>
      <c r="F1170" s="4" t="n">
        <v>331.42</v>
      </c>
      <c r="G1170" s="2" t="s">
        <v>4180</v>
      </c>
      <c r="H1170" s="2" t="s">
        <v>38</v>
      </c>
      <c r="I1170" s="2" t="s">
        <v>54</v>
      </c>
      <c r="J1170" s="2" t="s">
        <v>4181</v>
      </c>
      <c r="K1170" s="2" t="n">
        <v>6</v>
      </c>
      <c r="L1170" s="2" t="s">
        <v>85</v>
      </c>
      <c r="M1170" s="2" t="s">
        <v>80</v>
      </c>
      <c r="N1170" s="4" t="n">
        <v>662.84</v>
      </c>
      <c r="O1170" s="2" t="str">
        <f aca="false">IF(COUNTIF($A$2:$A$1201,A1170)&gt;1,"DUPLICATE","Unique")</f>
        <v>Unique</v>
      </c>
      <c r="P1170" s="2" t="str">
        <f aca="false">IF(L1170="","MISSING","OK")</f>
        <v>OK</v>
      </c>
      <c r="Q1170" s="2" t="str">
        <f aca="false">IF(ISNUMBER(B1170),"OK","BAD DATE")</f>
        <v>OK</v>
      </c>
      <c r="R1170" s="2" t="str">
        <f aca="false">IF(ROUND(F1170,2)=F1170,"OK","FIX")</f>
        <v>OK</v>
      </c>
    </row>
    <row r="1171" customFormat="false" ht="15" hidden="false" customHeight="false" outlineLevel="0" collapsed="false">
      <c r="A1171" s="2" t="s">
        <v>4182</v>
      </c>
      <c r="B1171" s="3" t="n">
        <v>45649</v>
      </c>
      <c r="C1171" s="2" t="s">
        <v>4183</v>
      </c>
      <c r="D1171" s="2" t="s">
        <v>45</v>
      </c>
      <c r="E1171" s="2" t="n">
        <v>1</v>
      </c>
      <c r="F1171" s="4" t="n">
        <v>525.43</v>
      </c>
      <c r="G1171" s="2" t="s">
        <v>4184</v>
      </c>
      <c r="H1171" s="2" t="s">
        <v>69</v>
      </c>
      <c r="I1171" s="2" t="s">
        <v>39</v>
      </c>
      <c r="J1171" s="2" t="s">
        <v>4185</v>
      </c>
      <c r="K1171" s="2" t="n">
        <v>2</v>
      </c>
      <c r="L1171" s="2" t="s">
        <v>25</v>
      </c>
      <c r="M1171" s="2" t="s">
        <v>26</v>
      </c>
      <c r="N1171" s="4" t="n">
        <v>525.43</v>
      </c>
      <c r="O1171" s="2" t="str">
        <f aca="false">IF(COUNTIF($A$2:$A$1201,A1171)&gt;1,"DUPLICATE","Unique")</f>
        <v>Unique</v>
      </c>
      <c r="P1171" s="2" t="str">
        <f aca="false">IF(L1171="","MISSING","OK")</f>
        <v>OK</v>
      </c>
      <c r="Q1171" s="2" t="str">
        <f aca="false">IF(ISNUMBER(B1171),"OK","BAD DATE")</f>
        <v>OK</v>
      </c>
      <c r="R1171" s="2" t="str">
        <f aca="false">IF(ROUND(F1171,2)=F1171,"OK","FIX")</f>
        <v>OK</v>
      </c>
    </row>
    <row r="1172" customFormat="false" ht="15" hidden="false" customHeight="false" outlineLevel="0" collapsed="false">
      <c r="A1172" s="2" t="s">
        <v>4186</v>
      </c>
      <c r="B1172" s="3" t="n">
        <v>45141</v>
      </c>
      <c r="C1172" s="2" t="s">
        <v>4187</v>
      </c>
      <c r="D1172" s="2" t="s">
        <v>52</v>
      </c>
      <c r="E1172" s="2" t="n">
        <v>2</v>
      </c>
      <c r="F1172" s="4" t="n">
        <v>697.19</v>
      </c>
      <c r="G1172" s="2" t="s">
        <v>929</v>
      </c>
      <c r="H1172" s="2" t="s">
        <v>69</v>
      </c>
      <c r="I1172" s="2" t="s">
        <v>47</v>
      </c>
      <c r="J1172" s="2" t="s">
        <v>4188</v>
      </c>
      <c r="K1172" s="2" t="n">
        <v>7</v>
      </c>
      <c r="L1172" s="2" t="s">
        <v>41</v>
      </c>
      <c r="M1172" s="2" t="s">
        <v>42</v>
      </c>
      <c r="N1172" s="4" t="n">
        <v>1394.38</v>
      </c>
      <c r="O1172" s="2" t="str">
        <f aca="false">IF(COUNTIF($A$2:$A$1201,A1172)&gt;1,"DUPLICATE","Unique")</f>
        <v>Unique</v>
      </c>
      <c r="P1172" s="2" t="str">
        <f aca="false">IF(L1172="","MISSING","OK")</f>
        <v>OK</v>
      </c>
      <c r="Q1172" s="2" t="str">
        <f aca="false">IF(ISNUMBER(B1172),"OK","BAD DATE")</f>
        <v>OK</v>
      </c>
      <c r="R1172" s="2" t="str">
        <f aca="false">IF(ROUND(F1172,2)=F1172,"OK","FIX")</f>
        <v>OK</v>
      </c>
    </row>
    <row r="1173" customFormat="false" ht="15" hidden="false" customHeight="false" outlineLevel="0" collapsed="false">
      <c r="A1173" s="2" t="s">
        <v>4189</v>
      </c>
      <c r="B1173" s="3" t="n">
        <v>45166</v>
      </c>
      <c r="C1173" s="2" t="s">
        <v>4190</v>
      </c>
      <c r="D1173" s="2" t="s">
        <v>29</v>
      </c>
      <c r="E1173" s="2" t="n">
        <v>4</v>
      </c>
      <c r="F1173" s="4" t="n">
        <v>518.4</v>
      </c>
      <c r="G1173" s="2" t="s">
        <v>4191</v>
      </c>
      <c r="H1173" s="2" t="s">
        <v>38</v>
      </c>
      <c r="I1173" s="2" t="s">
        <v>54</v>
      </c>
      <c r="J1173" s="2" t="s">
        <v>4192</v>
      </c>
      <c r="K1173" s="2" t="n">
        <v>7</v>
      </c>
      <c r="L1173" s="2" t="s">
        <v>25</v>
      </c>
      <c r="M1173" s="2" t="s">
        <v>49</v>
      </c>
      <c r="N1173" s="4" t="n">
        <v>2073.6</v>
      </c>
      <c r="O1173" s="2" t="str">
        <f aca="false">IF(COUNTIF($A$2:$A$1201,A1173)&gt;1,"DUPLICATE","Unique")</f>
        <v>Unique</v>
      </c>
      <c r="P1173" s="2" t="str">
        <f aca="false">IF(L1173="","MISSING","OK")</f>
        <v>OK</v>
      </c>
      <c r="Q1173" s="2" t="str">
        <f aca="false">IF(ISNUMBER(B1173),"OK","BAD DATE")</f>
        <v>OK</v>
      </c>
      <c r="R1173" s="2" t="str">
        <f aca="false">IF(ROUND(F1173,2)=F1173,"OK","FIX")</f>
        <v>OK</v>
      </c>
    </row>
    <row r="1174" customFormat="false" ht="15" hidden="false" customHeight="false" outlineLevel="0" collapsed="false">
      <c r="A1174" s="2" t="s">
        <v>4193</v>
      </c>
      <c r="B1174" s="3" t="n">
        <v>45692</v>
      </c>
      <c r="C1174" s="2" t="s">
        <v>4194</v>
      </c>
      <c r="D1174" s="2" t="s">
        <v>77</v>
      </c>
      <c r="E1174" s="2" t="n">
        <v>3</v>
      </c>
      <c r="F1174" s="4" t="n">
        <v>131.96</v>
      </c>
      <c r="G1174" s="2" t="s">
        <v>1934</v>
      </c>
      <c r="H1174" s="2" t="s">
        <v>38</v>
      </c>
      <c r="I1174" s="2" t="s">
        <v>93</v>
      </c>
      <c r="J1174" s="2" t="s">
        <v>4195</v>
      </c>
      <c r="K1174" s="2" t="n">
        <v>8</v>
      </c>
      <c r="L1174" s="2"/>
      <c r="M1174" s="2" t="s">
        <v>26</v>
      </c>
      <c r="N1174" s="4" t="n">
        <v>395.88</v>
      </c>
      <c r="O1174" s="2" t="str">
        <f aca="false">IF(COUNTIF($A$2:$A$1201,A1174)&gt;1,"DUPLICATE","Unique")</f>
        <v>Unique</v>
      </c>
      <c r="P1174" s="2" t="str">
        <f aca="false">IF(L1174="","MISSING","OK")</f>
        <v>MISSING</v>
      </c>
      <c r="Q1174" s="2" t="str">
        <f aca="false">IF(ISNUMBER(B1174),"OK","BAD DATE")</f>
        <v>OK</v>
      </c>
      <c r="R1174" s="2" t="str">
        <f aca="false">IF(ROUND(F1174,2)=F1174,"OK","FIX")</f>
        <v>OK</v>
      </c>
    </row>
    <row r="1175" customFormat="false" ht="15" hidden="false" customHeight="false" outlineLevel="0" collapsed="false">
      <c r="A1175" s="2" t="s">
        <v>4196</v>
      </c>
      <c r="B1175" s="3" t="n">
        <v>45569</v>
      </c>
      <c r="C1175" s="2" t="s">
        <v>4197</v>
      </c>
      <c r="D1175" s="2" t="s">
        <v>20</v>
      </c>
      <c r="E1175" s="2" t="n">
        <v>1</v>
      </c>
      <c r="F1175" s="4" t="n">
        <v>208.36</v>
      </c>
      <c r="G1175" s="2" t="s">
        <v>2680</v>
      </c>
      <c r="H1175" s="2" t="s">
        <v>31</v>
      </c>
      <c r="I1175" s="2" t="s">
        <v>23</v>
      </c>
      <c r="J1175" s="2" t="s">
        <v>4198</v>
      </c>
      <c r="K1175" s="2" t="n">
        <v>4</v>
      </c>
      <c r="L1175" s="2" t="s">
        <v>41</v>
      </c>
      <c r="M1175" s="2" t="s">
        <v>42</v>
      </c>
      <c r="N1175" s="4" t="n">
        <v>208.36</v>
      </c>
      <c r="O1175" s="2" t="str">
        <f aca="false">IF(COUNTIF($A$2:$A$1201,A1175)&gt;1,"DUPLICATE","Unique")</f>
        <v>Unique</v>
      </c>
      <c r="P1175" s="2" t="str">
        <f aca="false">IF(L1175="","MISSING","OK")</f>
        <v>OK</v>
      </c>
      <c r="Q1175" s="2" t="str">
        <f aca="false">IF(ISNUMBER(B1175),"OK","BAD DATE")</f>
        <v>OK</v>
      </c>
      <c r="R1175" s="2" t="str">
        <f aca="false">IF(ROUND(F1175,2)=F1175,"OK","FIX")</f>
        <v>OK</v>
      </c>
    </row>
    <row r="1176" customFormat="false" ht="15" hidden="false" customHeight="false" outlineLevel="0" collapsed="false">
      <c r="A1176" s="2" t="s">
        <v>4199</v>
      </c>
      <c r="B1176" s="3" t="n">
        <v>45257</v>
      </c>
      <c r="C1176" s="2" t="s">
        <v>4200</v>
      </c>
      <c r="D1176" s="2" t="s">
        <v>52</v>
      </c>
      <c r="E1176" s="2" t="n">
        <v>3</v>
      </c>
      <c r="F1176" s="4" t="n">
        <v>222.34</v>
      </c>
      <c r="G1176" s="2" t="s">
        <v>4201</v>
      </c>
      <c r="H1176" s="2" t="s">
        <v>38</v>
      </c>
      <c r="I1176" s="2" t="s">
        <v>47</v>
      </c>
      <c r="J1176" s="2" t="s">
        <v>4202</v>
      </c>
      <c r="K1176" s="2" t="n">
        <v>5</v>
      </c>
      <c r="L1176" s="2" t="s">
        <v>85</v>
      </c>
      <c r="M1176" s="2" t="s">
        <v>42</v>
      </c>
      <c r="N1176" s="4" t="n">
        <v>667.02</v>
      </c>
      <c r="O1176" s="2" t="str">
        <f aca="false">IF(COUNTIF($A$2:$A$1201,A1176)&gt;1,"DUPLICATE","Unique")</f>
        <v>Unique</v>
      </c>
      <c r="P1176" s="2" t="str">
        <f aca="false">IF(L1176="","MISSING","OK")</f>
        <v>OK</v>
      </c>
      <c r="Q1176" s="2" t="str">
        <f aca="false">IF(ISNUMBER(B1176),"OK","BAD DATE")</f>
        <v>OK</v>
      </c>
      <c r="R1176" s="2" t="str">
        <f aca="false">IF(ROUND(F1176,2)=F1176,"OK","FIX")</f>
        <v>OK</v>
      </c>
    </row>
    <row r="1177" customFormat="false" ht="15" hidden="false" customHeight="false" outlineLevel="0" collapsed="false">
      <c r="A1177" s="2" t="s">
        <v>4203</v>
      </c>
      <c r="B1177" s="3" t="n">
        <v>45545</v>
      </c>
      <c r="C1177" s="2" t="s">
        <v>4204</v>
      </c>
      <c r="D1177" s="2" t="s">
        <v>52</v>
      </c>
      <c r="E1177" s="2" t="n">
        <v>3</v>
      </c>
      <c r="F1177" s="4" t="n">
        <v>91.74</v>
      </c>
      <c r="G1177" s="2" t="s">
        <v>1210</v>
      </c>
      <c r="H1177" s="2" t="s">
        <v>22</v>
      </c>
      <c r="I1177" s="2" t="s">
        <v>47</v>
      </c>
      <c r="J1177" s="2" t="s">
        <v>4205</v>
      </c>
      <c r="K1177" s="2" t="n">
        <v>8</v>
      </c>
      <c r="L1177" s="2" t="s">
        <v>41</v>
      </c>
      <c r="M1177" s="2" t="s">
        <v>33</v>
      </c>
      <c r="N1177" s="4" t="n">
        <v>275.22</v>
      </c>
      <c r="O1177" s="2" t="str">
        <f aca="false">IF(COUNTIF($A$2:$A$1201,A1177)&gt;1,"DUPLICATE","Unique")</f>
        <v>Unique</v>
      </c>
      <c r="P1177" s="2" t="str">
        <f aca="false">IF(L1177="","MISSING","OK")</f>
        <v>OK</v>
      </c>
      <c r="Q1177" s="2" t="str">
        <f aca="false">IF(ISNUMBER(B1177),"OK","BAD DATE")</f>
        <v>OK</v>
      </c>
      <c r="R1177" s="2" t="str">
        <f aca="false">IF(ROUND(F1177,2)=F1177,"OK","FIX")</f>
        <v>OK</v>
      </c>
    </row>
    <row r="1178" customFormat="false" ht="15" hidden="false" customHeight="false" outlineLevel="0" collapsed="false">
      <c r="A1178" s="2" t="s">
        <v>4206</v>
      </c>
      <c r="B1178" s="3" t="n">
        <v>45151</v>
      </c>
      <c r="C1178" s="2" t="s">
        <v>4207</v>
      </c>
      <c r="D1178" s="2" t="s">
        <v>36</v>
      </c>
      <c r="E1178" s="2" t="n">
        <v>2</v>
      </c>
      <c r="F1178" s="4" t="n">
        <v>213.83</v>
      </c>
      <c r="G1178" s="2" t="s">
        <v>4208</v>
      </c>
      <c r="H1178" s="2" t="s">
        <v>22</v>
      </c>
      <c r="I1178" s="2" t="s">
        <v>39</v>
      </c>
      <c r="J1178" s="2" t="s">
        <v>4209</v>
      </c>
      <c r="K1178" s="2" t="n">
        <v>2</v>
      </c>
      <c r="L1178" s="2" t="s">
        <v>85</v>
      </c>
      <c r="M1178" s="2" t="s">
        <v>42</v>
      </c>
      <c r="N1178" s="4" t="n">
        <v>427.66</v>
      </c>
      <c r="O1178" s="2" t="str">
        <f aca="false">IF(COUNTIF($A$2:$A$1201,A1178)&gt;1,"DUPLICATE","Unique")</f>
        <v>Unique</v>
      </c>
      <c r="P1178" s="2" t="str">
        <f aca="false">IF(L1178="","MISSING","OK")</f>
        <v>OK</v>
      </c>
      <c r="Q1178" s="2" t="str">
        <f aca="false">IF(ISNUMBER(B1178),"OK","BAD DATE")</f>
        <v>OK</v>
      </c>
      <c r="R1178" s="2" t="str">
        <f aca="false">IF(ROUND(F1178,2)=F1178,"OK","FIX")</f>
        <v>OK</v>
      </c>
    </row>
    <row r="1179" customFormat="false" ht="15" hidden="false" customHeight="false" outlineLevel="0" collapsed="false">
      <c r="A1179" s="2" t="s">
        <v>4210</v>
      </c>
      <c r="B1179" s="3" t="n">
        <v>45043</v>
      </c>
      <c r="C1179" s="2" t="s">
        <v>4211</v>
      </c>
      <c r="D1179" s="2" t="s">
        <v>52</v>
      </c>
      <c r="E1179" s="2" t="n">
        <v>1</v>
      </c>
      <c r="F1179" s="4" t="n">
        <v>127.55</v>
      </c>
      <c r="G1179" s="2" t="s">
        <v>1674</v>
      </c>
      <c r="H1179" s="2" t="s">
        <v>69</v>
      </c>
      <c r="I1179" s="2" t="s">
        <v>23</v>
      </c>
      <c r="J1179" s="2" t="s">
        <v>4212</v>
      </c>
      <c r="K1179" s="2" t="n">
        <v>3</v>
      </c>
      <c r="L1179" s="2" t="s">
        <v>25</v>
      </c>
      <c r="M1179" s="2" t="s">
        <v>33</v>
      </c>
      <c r="N1179" s="4" t="n">
        <v>127.55</v>
      </c>
      <c r="O1179" s="2" t="str">
        <f aca="false">IF(COUNTIF($A$2:$A$1201,A1179)&gt;1,"DUPLICATE","Unique")</f>
        <v>Unique</v>
      </c>
      <c r="P1179" s="2" t="str">
        <f aca="false">IF(L1179="","MISSING","OK")</f>
        <v>OK</v>
      </c>
      <c r="Q1179" s="2" t="str">
        <f aca="false">IF(ISNUMBER(B1179),"OK","BAD DATE")</f>
        <v>OK</v>
      </c>
      <c r="R1179" s="2" t="str">
        <f aca="false">IF(ROUND(F1179,2)=F1179,"OK","FIX")</f>
        <v>OK</v>
      </c>
    </row>
    <row r="1180" customFormat="false" ht="15" hidden="false" customHeight="false" outlineLevel="0" collapsed="false">
      <c r="A1180" s="2" t="s">
        <v>4213</v>
      </c>
      <c r="B1180" s="3" t="n">
        <v>45543</v>
      </c>
      <c r="C1180" s="2" t="s">
        <v>4214</v>
      </c>
      <c r="D1180" s="2" t="s">
        <v>20</v>
      </c>
      <c r="E1180" s="2" t="n">
        <v>1</v>
      </c>
      <c r="F1180" s="4" t="n">
        <v>70.24</v>
      </c>
      <c r="G1180" s="2" t="s">
        <v>968</v>
      </c>
      <c r="H1180" s="2" t="s">
        <v>38</v>
      </c>
      <c r="I1180" s="2" t="s">
        <v>39</v>
      </c>
      <c r="J1180" s="2" t="s">
        <v>4215</v>
      </c>
      <c r="K1180" s="2" t="n">
        <v>4</v>
      </c>
      <c r="L1180" s="2" t="s">
        <v>41</v>
      </c>
      <c r="M1180" s="2" t="s">
        <v>80</v>
      </c>
      <c r="N1180" s="4" t="n">
        <v>70.24</v>
      </c>
      <c r="O1180" s="2" t="str">
        <f aca="false">IF(COUNTIF($A$2:$A$1201,A1180)&gt;1,"DUPLICATE","Unique")</f>
        <v>Unique</v>
      </c>
      <c r="P1180" s="2" t="str">
        <f aca="false">IF(L1180="","MISSING","OK")</f>
        <v>OK</v>
      </c>
      <c r="Q1180" s="2" t="str">
        <f aca="false">IF(ISNUMBER(B1180),"OK","BAD DATE")</f>
        <v>OK</v>
      </c>
      <c r="R1180" s="2" t="str">
        <f aca="false">IF(ROUND(F1180,2)=F1180,"OK","FIX")</f>
        <v>OK</v>
      </c>
    </row>
    <row r="1181" customFormat="false" ht="15" hidden="false" customHeight="false" outlineLevel="0" collapsed="false">
      <c r="A1181" s="2" t="s">
        <v>4216</v>
      </c>
      <c r="B1181" s="3" t="n">
        <v>44934</v>
      </c>
      <c r="C1181" s="2" t="s">
        <v>4217</v>
      </c>
      <c r="D1181" s="2" t="s">
        <v>62</v>
      </c>
      <c r="E1181" s="2" t="n">
        <v>5</v>
      </c>
      <c r="F1181" s="4" t="n">
        <v>518.55</v>
      </c>
      <c r="G1181" s="2" t="s">
        <v>1412</v>
      </c>
      <c r="H1181" s="2" t="s">
        <v>38</v>
      </c>
      <c r="I1181" s="2" t="s">
        <v>39</v>
      </c>
      <c r="J1181" s="2" t="s">
        <v>4218</v>
      </c>
      <c r="K1181" s="2" t="n">
        <v>6</v>
      </c>
      <c r="L1181" s="2" t="s">
        <v>85</v>
      </c>
      <c r="M1181" s="2" t="s">
        <v>26</v>
      </c>
      <c r="N1181" s="4" t="n">
        <v>2592.75</v>
      </c>
      <c r="O1181" s="2" t="str">
        <f aca="false">IF(COUNTIF($A$2:$A$1201,A1181)&gt;1,"DUPLICATE","Unique")</f>
        <v>Unique</v>
      </c>
      <c r="P1181" s="2" t="str">
        <f aca="false">IF(L1181="","MISSING","OK")</f>
        <v>OK</v>
      </c>
      <c r="Q1181" s="2" t="str">
        <f aca="false">IF(ISNUMBER(B1181),"OK","BAD DATE")</f>
        <v>OK</v>
      </c>
      <c r="R1181" s="2" t="str">
        <f aca="false">IF(ROUND(F1181,2)=F1181,"OK","FIX")</f>
        <v>OK</v>
      </c>
    </row>
    <row r="1182" customFormat="false" ht="15" hidden="false" customHeight="false" outlineLevel="0" collapsed="false">
      <c r="A1182" s="2" t="s">
        <v>4219</v>
      </c>
      <c r="B1182" s="3" t="n">
        <v>45230</v>
      </c>
      <c r="C1182" s="2" t="s">
        <v>4220</v>
      </c>
      <c r="D1182" s="2" t="s">
        <v>45</v>
      </c>
      <c r="E1182" s="2" t="n">
        <v>4</v>
      </c>
      <c r="F1182" s="4" t="n">
        <v>298.36</v>
      </c>
      <c r="G1182" s="2" t="s">
        <v>2033</v>
      </c>
      <c r="H1182" s="2" t="s">
        <v>22</v>
      </c>
      <c r="I1182" s="2" t="s">
        <v>93</v>
      </c>
      <c r="J1182" s="2" t="s">
        <v>4221</v>
      </c>
      <c r="K1182" s="2" t="n">
        <v>8</v>
      </c>
      <c r="L1182" s="2" t="s">
        <v>41</v>
      </c>
      <c r="M1182" s="2" t="s">
        <v>80</v>
      </c>
      <c r="N1182" s="4" t="n">
        <v>1193.44</v>
      </c>
      <c r="O1182" s="2" t="str">
        <f aca="false">IF(COUNTIF($A$2:$A$1201,A1182)&gt;1,"DUPLICATE","Unique")</f>
        <v>Unique</v>
      </c>
      <c r="P1182" s="2" t="str">
        <f aca="false">IF(L1182="","MISSING","OK")</f>
        <v>OK</v>
      </c>
      <c r="Q1182" s="2" t="str">
        <f aca="false">IF(ISNUMBER(B1182),"OK","BAD DATE")</f>
        <v>OK</v>
      </c>
      <c r="R1182" s="2" t="str">
        <f aca="false">IF(ROUND(F1182,2)=F1182,"OK","FIX")</f>
        <v>OK</v>
      </c>
    </row>
    <row r="1183" customFormat="false" ht="15" hidden="false" customHeight="false" outlineLevel="0" collapsed="false">
      <c r="A1183" s="2" t="s">
        <v>4222</v>
      </c>
      <c r="B1183" s="3" t="n">
        <v>45134</v>
      </c>
      <c r="C1183" s="2" t="s">
        <v>4223</v>
      </c>
      <c r="D1183" s="2" t="s">
        <v>77</v>
      </c>
      <c r="E1183" s="2" t="n">
        <v>3</v>
      </c>
      <c r="F1183" s="4" t="n">
        <v>158.74</v>
      </c>
      <c r="G1183" s="2" t="s">
        <v>1352</v>
      </c>
      <c r="H1183" s="2" t="s">
        <v>31</v>
      </c>
      <c r="I1183" s="2" t="s">
        <v>93</v>
      </c>
      <c r="J1183" s="2" t="s">
        <v>4224</v>
      </c>
      <c r="K1183" s="2" t="n">
        <v>7</v>
      </c>
      <c r="L1183" s="2" t="s">
        <v>41</v>
      </c>
      <c r="M1183" s="2" t="s">
        <v>26</v>
      </c>
      <c r="N1183" s="4" t="n">
        <v>476.22</v>
      </c>
      <c r="O1183" s="2" t="str">
        <f aca="false">IF(COUNTIF($A$2:$A$1201,A1183)&gt;1,"DUPLICATE","Unique")</f>
        <v>Unique</v>
      </c>
      <c r="P1183" s="2" t="str">
        <f aca="false">IF(L1183="","MISSING","OK")</f>
        <v>OK</v>
      </c>
      <c r="Q1183" s="2" t="str">
        <f aca="false">IF(ISNUMBER(B1183),"OK","BAD DATE")</f>
        <v>OK</v>
      </c>
      <c r="R1183" s="2" t="str">
        <f aca="false">IF(ROUND(F1183,2)=F1183,"OK","FIX")</f>
        <v>OK</v>
      </c>
    </row>
    <row r="1184" customFormat="false" ht="15" hidden="false" customHeight="false" outlineLevel="0" collapsed="false">
      <c r="A1184" s="2" t="s">
        <v>4225</v>
      </c>
      <c r="B1184" s="3" t="n">
        <v>45822</v>
      </c>
      <c r="C1184" s="2" t="s">
        <v>4226</v>
      </c>
      <c r="D1184" s="2" t="s">
        <v>45</v>
      </c>
      <c r="E1184" s="2" t="n">
        <v>2</v>
      </c>
      <c r="F1184" s="4" t="n">
        <v>420.29</v>
      </c>
      <c r="G1184" s="2" t="s">
        <v>2261</v>
      </c>
      <c r="H1184" s="2" t="s">
        <v>64</v>
      </c>
      <c r="I1184" s="2" t="s">
        <v>47</v>
      </c>
      <c r="J1184" s="2" t="s">
        <v>4227</v>
      </c>
      <c r="K1184" s="2" t="n">
        <v>3</v>
      </c>
      <c r="L1184" s="2" t="s">
        <v>25</v>
      </c>
      <c r="M1184" s="2" t="s">
        <v>80</v>
      </c>
      <c r="N1184" s="4" t="n">
        <v>840.58</v>
      </c>
      <c r="O1184" s="2" t="str">
        <f aca="false">IF(COUNTIF($A$2:$A$1201,A1184)&gt;1,"DUPLICATE","Unique")</f>
        <v>Unique</v>
      </c>
      <c r="P1184" s="2" t="str">
        <f aca="false">IF(L1184="","MISSING","OK")</f>
        <v>OK</v>
      </c>
      <c r="Q1184" s="2" t="str">
        <f aca="false">IF(ISNUMBER(B1184),"OK","BAD DATE")</f>
        <v>OK</v>
      </c>
      <c r="R1184" s="2" t="str">
        <f aca="false">IF(ROUND(F1184,2)=F1184,"OK","FIX")</f>
        <v>OK</v>
      </c>
    </row>
    <row r="1185" customFormat="false" ht="15" hidden="false" customHeight="false" outlineLevel="0" collapsed="false">
      <c r="A1185" s="2" t="s">
        <v>4228</v>
      </c>
      <c r="B1185" s="3" t="n">
        <v>45021</v>
      </c>
      <c r="C1185" s="2" t="s">
        <v>4229</v>
      </c>
      <c r="D1185" s="2" t="s">
        <v>77</v>
      </c>
      <c r="E1185" s="2" t="n">
        <v>1</v>
      </c>
      <c r="F1185" s="4" t="n">
        <v>281.52</v>
      </c>
      <c r="G1185" s="2" t="s">
        <v>1051</v>
      </c>
      <c r="H1185" s="2" t="s">
        <v>64</v>
      </c>
      <c r="I1185" s="2" t="s">
        <v>23</v>
      </c>
      <c r="J1185" s="2" t="s">
        <v>4230</v>
      </c>
      <c r="K1185" s="2" t="n">
        <v>6</v>
      </c>
      <c r="L1185" s="2" t="s">
        <v>85</v>
      </c>
      <c r="M1185" s="2" t="s">
        <v>33</v>
      </c>
      <c r="N1185" s="4" t="n">
        <v>281.52</v>
      </c>
      <c r="O1185" s="2" t="str">
        <f aca="false">IF(COUNTIF($A$2:$A$1201,A1185)&gt;1,"DUPLICATE","Unique")</f>
        <v>Unique</v>
      </c>
      <c r="P1185" s="2" t="str">
        <f aca="false">IF(L1185="","MISSING","OK")</f>
        <v>OK</v>
      </c>
      <c r="Q1185" s="2" t="str">
        <f aca="false">IF(ISNUMBER(B1185),"OK","BAD DATE")</f>
        <v>OK</v>
      </c>
      <c r="R1185" s="2" t="str">
        <f aca="false">IF(ROUND(F1185,2)=F1185,"OK","FIX")</f>
        <v>OK</v>
      </c>
    </row>
    <row r="1186" customFormat="false" ht="15" hidden="false" customHeight="false" outlineLevel="0" collapsed="false">
      <c r="A1186" s="2" t="s">
        <v>4231</v>
      </c>
      <c r="B1186" s="3" t="n">
        <v>45196</v>
      </c>
      <c r="C1186" s="2" t="s">
        <v>4232</v>
      </c>
      <c r="D1186" s="2" t="s">
        <v>62</v>
      </c>
      <c r="E1186" s="2" t="n">
        <v>1</v>
      </c>
      <c r="F1186" s="4" t="n">
        <v>204.08</v>
      </c>
      <c r="G1186" s="2" t="s">
        <v>3011</v>
      </c>
      <c r="H1186" s="2" t="s">
        <v>64</v>
      </c>
      <c r="I1186" s="2" t="s">
        <v>47</v>
      </c>
      <c r="J1186" s="2" t="s">
        <v>4233</v>
      </c>
      <c r="K1186" s="2" t="n">
        <v>4</v>
      </c>
      <c r="L1186" s="2"/>
      <c r="M1186" s="2" t="s">
        <v>80</v>
      </c>
      <c r="N1186" s="4" t="n">
        <v>204.08</v>
      </c>
      <c r="O1186" s="2" t="str">
        <f aca="false">IF(COUNTIF($A$2:$A$1201,A1186)&gt;1,"DUPLICATE","Unique")</f>
        <v>Unique</v>
      </c>
      <c r="P1186" s="2" t="str">
        <f aca="false">IF(L1186="","MISSING","OK")</f>
        <v>MISSING</v>
      </c>
      <c r="Q1186" s="2" t="str">
        <f aca="false">IF(ISNUMBER(B1186),"OK","BAD DATE")</f>
        <v>OK</v>
      </c>
      <c r="R1186" s="2" t="str">
        <f aca="false">IF(ROUND(F1186,2)=F1186,"OK","FIX")</f>
        <v>OK</v>
      </c>
    </row>
    <row r="1187" customFormat="false" ht="15" hidden="false" customHeight="false" outlineLevel="0" collapsed="false">
      <c r="A1187" s="2" t="s">
        <v>4234</v>
      </c>
      <c r="B1187" s="3" t="n">
        <v>45481</v>
      </c>
      <c r="C1187" s="2" t="s">
        <v>4235</v>
      </c>
      <c r="D1187" s="2" t="s">
        <v>45</v>
      </c>
      <c r="E1187" s="2" t="n">
        <v>1</v>
      </c>
      <c r="F1187" s="4" t="n">
        <v>343.31</v>
      </c>
      <c r="G1187" s="2" t="s">
        <v>4236</v>
      </c>
      <c r="H1187" s="2" t="s">
        <v>64</v>
      </c>
      <c r="I1187" s="2" t="s">
        <v>47</v>
      </c>
      <c r="J1187" s="2" t="s">
        <v>4237</v>
      </c>
      <c r="K1187" s="2" t="n">
        <v>6</v>
      </c>
      <c r="L1187" s="2" t="s">
        <v>25</v>
      </c>
      <c r="M1187" s="2" t="s">
        <v>80</v>
      </c>
      <c r="N1187" s="4" t="n">
        <v>343.31</v>
      </c>
      <c r="O1187" s="2" t="str">
        <f aca="false">IF(COUNTIF($A$2:$A$1201,A1187)&gt;1,"DUPLICATE","Unique")</f>
        <v>Unique</v>
      </c>
      <c r="P1187" s="2" t="str">
        <f aca="false">IF(L1187="","MISSING","OK")</f>
        <v>OK</v>
      </c>
      <c r="Q1187" s="2" t="str">
        <f aca="false">IF(ISNUMBER(B1187),"OK","BAD DATE")</f>
        <v>OK</v>
      </c>
      <c r="R1187" s="2" t="str">
        <f aca="false">IF(ROUND(F1187,2)=F1187,"OK","FIX")</f>
        <v>OK</v>
      </c>
    </row>
    <row r="1188" customFormat="false" ht="15" hidden="false" customHeight="false" outlineLevel="0" collapsed="false">
      <c r="A1188" s="2" t="s">
        <v>4238</v>
      </c>
      <c r="B1188" s="3" t="n">
        <v>45248</v>
      </c>
      <c r="C1188" s="2" t="s">
        <v>4239</v>
      </c>
      <c r="D1188" s="2" t="s">
        <v>20</v>
      </c>
      <c r="E1188" s="2" t="n">
        <v>1</v>
      </c>
      <c r="F1188" s="4" t="n">
        <v>163.32</v>
      </c>
      <c r="G1188" s="2" t="s">
        <v>4240</v>
      </c>
      <c r="H1188" s="2" t="s">
        <v>69</v>
      </c>
      <c r="I1188" s="2" t="s">
        <v>23</v>
      </c>
      <c r="J1188" s="2" t="s">
        <v>4241</v>
      </c>
      <c r="K1188" s="2" t="n">
        <v>6</v>
      </c>
      <c r="L1188" s="2" t="s">
        <v>85</v>
      </c>
      <c r="M1188" s="2" t="s">
        <v>49</v>
      </c>
      <c r="N1188" s="4" t="n">
        <v>163.32</v>
      </c>
      <c r="O1188" s="2" t="str">
        <f aca="false">IF(COUNTIF($A$2:$A$1201,A1188)&gt;1,"DUPLICATE","Unique")</f>
        <v>Unique</v>
      </c>
      <c r="P1188" s="2" t="str">
        <f aca="false">IF(L1188="","MISSING","OK")</f>
        <v>OK</v>
      </c>
      <c r="Q1188" s="2" t="str">
        <f aca="false">IF(ISNUMBER(B1188),"OK","BAD DATE")</f>
        <v>OK</v>
      </c>
      <c r="R1188" s="2" t="str">
        <f aca="false">IF(ROUND(F1188,2)=F1188,"OK","FIX")</f>
        <v>OK</v>
      </c>
    </row>
    <row r="1189" customFormat="false" ht="15" hidden="false" customHeight="false" outlineLevel="0" collapsed="false">
      <c r="A1189" s="2" t="s">
        <v>4242</v>
      </c>
      <c r="B1189" s="3" t="n">
        <v>45364</v>
      </c>
      <c r="C1189" s="2" t="s">
        <v>4243</v>
      </c>
      <c r="D1189" s="2" t="s">
        <v>77</v>
      </c>
      <c r="E1189" s="2" t="n">
        <v>2</v>
      </c>
      <c r="F1189" s="4" t="n">
        <v>184.6</v>
      </c>
      <c r="G1189" s="2" t="s">
        <v>956</v>
      </c>
      <c r="H1189" s="2" t="s">
        <v>64</v>
      </c>
      <c r="I1189" s="2" t="s">
        <v>54</v>
      </c>
      <c r="J1189" s="2" t="s">
        <v>4244</v>
      </c>
      <c r="K1189" s="2" t="n">
        <v>7</v>
      </c>
      <c r="L1189" s="2" t="s">
        <v>85</v>
      </c>
      <c r="M1189" s="2" t="s">
        <v>42</v>
      </c>
      <c r="N1189" s="4" t="n">
        <v>369.2</v>
      </c>
      <c r="O1189" s="2" t="str">
        <f aca="false">IF(COUNTIF($A$2:$A$1201,A1189)&gt;1,"DUPLICATE","Unique")</f>
        <v>Unique</v>
      </c>
      <c r="P1189" s="2" t="str">
        <f aca="false">IF(L1189="","MISSING","OK")</f>
        <v>OK</v>
      </c>
      <c r="Q1189" s="2" t="str">
        <f aca="false">IF(ISNUMBER(B1189),"OK","BAD DATE")</f>
        <v>OK</v>
      </c>
      <c r="R1189" s="2" t="str">
        <f aca="false">IF(ROUND(F1189,2)=F1189,"OK","FIX")</f>
        <v>OK</v>
      </c>
    </row>
    <row r="1190" customFormat="false" ht="15" hidden="false" customHeight="false" outlineLevel="0" collapsed="false">
      <c r="A1190" s="2" t="s">
        <v>4245</v>
      </c>
      <c r="B1190" s="3" t="n">
        <v>45206</v>
      </c>
      <c r="C1190" s="2" t="s">
        <v>4246</v>
      </c>
      <c r="D1190" s="2" t="s">
        <v>52</v>
      </c>
      <c r="E1190" s="2" t="n">
        <v>2</v>
      </c>
      <c r="F1190" s="4" t="n">
        <v>371.29</v>
      </c>
      <c r="G1190" s="2" t="s">
        <v>4247</v>
      </c>
      <c r="H1190" s="2" t="s">
        <v>64</v>
      </c>
      <c r="I1190" s="2" t="s">
        <v>23</v>
      </c>
      <c r="J1190" s="2" t="s">
        <v>4248</v>
      </c>
      <c r="K1190" s="2" t="n">
        <v>5</v>
      </c>
      <c r="L1190" s="2" t="s">
        <v>85</v>
      </c>
      <c r="M1190" s="2" t="s">
        <v>49</v>
      </c>
      <c r="N1190" s="4" t="n">
        <v>742.58</v>
      </c>
      <c r="O1190" s="2" t="str">
        <f aca="false">IF(COUNTIF($A$2:$A$1201,A1190)&gt;1,"DUPLICATE","Unique")</f>
        <v>Unique</v>
      </c>
      <c r="P1190" s="2" t="str">
        <f aca="false">IF(L1190="","MISSING","OK")</f>
        <v>OK</v>
      </c>
      <c r="Q1190" s="2" t="str">
        <f aca="false">IF(ISNUMBER(B1190),"OK","BAD DATE")</f>
        <v>OK</v>
      </c>
      <c r="R1190" s="2" t="str">
        <f aca="false">IF(ROUND(F1190,2)=F1190,"OK","FIX")</f>
        <v>OK</v>
      </c>
    </row>
    <row r="1191" customFormat="false" ht="15" hidden="false" customHeight="false" outlineLevel="0" collapsed="false">
      <c r="A1191" s="2" t="s">
        <v>4249</v>
      </c>
      <c r="B1191" s="3" t="n">
        <v>45521</v>
      </c>
      <c r="C1191" s="2" t="s">
        <v>4250</v>
      </c>
      <c r="D1191" s="2" t="s">
        <v>36</v>
      </c>
      <c r="E1191" s="2" t="n">
        <v>5</v>
      </c>
      <c r="F1191" s="4" t="n">
        <v>389.22</v>
      </c>
      <c r="G1191" s="2" t="s">
        <v>4251</v>
      </c>
      <c r="H1191" s="2" t="s">
        <v>69</v>
      </c>
      <c r="I1191" s="2" t="s">
        <v>39</v>
      </c>
      <c r="J1191" s="2" t="s">
        <v>4252</v>
      </c>
      <c r="K1191" s="2" t="n">
        <v>7</v>
      </c>
      <c r="L1191" s="2"/>
      <c r="M1191" s="2" t="s">
        <v>33</v>
      </c>
      <c r="N1191" s="4" t="n">
        <v>1946.1</v>
      </c>
      <c r="O1191" s="2" t="str">
        <f aca="false">IF(COUNTIF($A$2:$A$1201,A1191)&gt;1,"DUPLICATE","Unique")</f>
        <v>Unique</v>
      </c>
      <c r="P1191" s="2" t="str">
        <f aca="false">IF(L1191="","MISSING","OK")</f>
        <v>MISSING</v>
      </c>
      <c r="Q1191" s="2" t="str">
        <f aca="false">IF(ISNUMBER(B1191),"OK","BAD DATE")</f>
        <v>OK</v>
      </c>
      <c r="R1191" s="2" t="str">
        <f aca="false">IF(ROUND(F1191,2)=F1191,"OK","FIX")</f>
        <v>OK</v>
      </c>
    </row>
    <row r="1192" customFormat="false" ht="15" hidden="false" customHeight="false" outlineLevel="0" collapsed="false">
      <c r="A1192" s="2" t="s">
        <v>4253</v>
      </c>
      <c r="B1192" s="3" t="n">
        <v>45816</v>
      </c>
      <c r="C1192" s="2" t="s">
        <v>4254</v>
      </c>
      <c r="D1192" s="2" t="s">
        <v>77</v>
      </c>
      <c r="E1192" s="2" t="n">
        <v>3</v>
      </c>
      <c r="F1192" s="4" t="n">
        <v>616.39</v>
      </c>
      <c r="G1192" s="2" t="s">
        <v>4255</v>
      </c>
      <c r="H1192" s="2" t="s">
        <v>38</v>
      </c>
      <c r="I1192" s="2" t="s">
        <v>23</v>
      </c>
      <c r="J1192" s="2" t="s">
        <v>4256</v>
      </c>
      <c r="K1192" s="2" t="n">
        <v>6</v>
      </c>
      <c r="L1192" s="2" t="s">
        <v>41</v>
      </c>
      <c r="M1192" s="2" t="s">
        <v>26</v>
      </c>
      <c r="N1192" s="4" t="n">
        <v>1849.17</v>
      </c>
      <c r="O1192" s="2" t="str">
        <f aca="false">IF(COUNTIF($A$2:$A$1201,A1192)&gt;1,"DUPLICATE","Unique")</f>
        <v>Unique</v>
      </c>
      <c r="P1192" s="2" t="str">
        <f aca="false">IF(L1192="","MISSING","OK")</f>
        <v>OK</v>
      </c>
      <c r="Q1192" s="2" t="str">
        <f aca="false">IF(ISNUMBER(B1192),"OK","BAD DATE")</f>
        <v>OK</v>
      </c>
      <c r="R1192" s="2" t="str">
        <f aca="false">IF(ROUND(F1192,2)=F1192,"OK","FIX")</f>
        <v>OK</v>
      </c>
    </row>
    <row r="1193" customFormat="false" ht="15" hidden="false" customHeight="false" outlineLevel="0" collapsed="false">
      <c r="A1193" s="2" t="s">
        <v>4257</v>
      </c>
      <c r="B1193" s="3" t="n">
        <v>45698</v>
      </c>
      <c r="C1193" s="2" t="s">
        <v>4258</v>
      </c>
      <c r="D1193" s="2" t="s">
        <v>77</v>
      </c>
      <c r="E1193" s="2" t="n">
        <v>4</v>
      </c>
      <c r="F1193" s="4" t="n">
        <v>376.43</v>
      </c>
      <c r="G1193" s="2" t="s">
        <v>2302</v>
      </c>
      <c r="H1193" s="2" t="s">
        <v>64</v>
      </c>
      <c r="I1193" s="2" t="s">
        <v>93</v>
      </c>
      <c r="J1193" s="2" t="s">
        <v>4259</v>
      </c>
      <c r="K1193" s="2" t="n">
        <v>5</v>
      </c>
      <c r="L1193" s="2" t="s">
        <v>85</v>
      </c>
      <c r="M1193" s="2" t="s">
        <v>26</v>
      </c>
      <c r="N1193" s="4" t="n">
        <v>1505.72</v>
      </c>
      <c r="O1193" s="2" t="str">
        <f aca="false">IF(COUNTIF($A$2:$A$1201,A1193)&gt;1,"DUPLICATE","Unique")</f>
        <v>Unique</v>
      </c>
      <c r="P1193" s="2" t="str">
        <f aca="false">IF(L1193="","MISSING","OK")</f>
        <v>OK</v>
      </c>
      <c r="Q1193" s="2" t="str">
        <f aca="false">IF(ISNUMBER(B1193),"OK","BAD DATE")</f>
        <v>OK</v>
      </c>
      <c r="R1193" s="2" t="str">
        <f aca="false">IF(ROUND(F1193,2)=F1193,"OK","FIX")</f>
        <v>OK</v>
      </c>
    </row>
    <row r="1194" customFormat="false" ht="15" hidden="false" customHeight="false" outlineLevel="0" collapsed="false">
      <c r="A1194" s="2" t="s">
        <v>4260</v>
      </c>
      <c r="B1194" s="3" t="n">
        <v>45350</v>
      </c>
      <c r="C1194" s="2" t="s">
        <v>4261</v>
      </c>
      <c r="D1194" s="2" t="s">
        <v>45</v>
      </c>
      <c r="E1194" s="2" t="n">
        <v>3</v>
      </c>
      <c r="F1194" s="4" t="n">
        <v>432.85</v>
      </c>
      <c r="G1194" s="2" t="s">
        <v>849</v>
      </c>
      <c r="H1194" s="2" t="s">
        <v>31</v>
      </c>
      <c r="I1194" s="2" t="s">
        <v>93</v>
      </c>
      <c r="J1194" s="2" t="s">
        <v>4262</v>
      </c>
      <c r="K1194" s="2" t="n">
        <v>4</v>
      </c>
      <c r="L1194" s="2"/>
      <c r="M1194" s="2" t="s">
        <v>26</v>
      </c>
      <c r="N1194" s="4" t="n">
        <v>1298.55</v>
      </c>
      <c r="O1194" s="2" t="str">
        <f aca="false">IF(COUNTIF($A$2:$A$1201,A1194)&gt;1,"DUPLICATE","Unique")</f>
        <v>Unique</v>
      </c>
      <c r="P1194" s="2" t="str">
        <f aca="false">IF(L1194="","MISSING","OK")</f>
        <v>MISSING</v>
      </c>
      <c r="Q1194" s="2" t="str">
        <f aca="false">IF(ISNUMBER(B1194),"OK","BAD DATE")</f>
        <v>OK</v>
      </c>
      <c r="R1194" s="2" t="str">
        <f aca="false">IF(ROUND(F1194,2)=F1194,"OK","FIX")</f>
        <v>OK</v>
      </c>
    </row>
    <row r="1195" customFormat="false" ht="15" hidden="false" customHeight="false" outlineLevel="0" collapsed="false">
      <c r="A1195" s="2" t="s">
        <v>4263</v>
      </c>
      <c r="B1195" s="3" t="n">
        <v>45824</v>
      </c>
      <c r="C1195" s="2" t="s">
        <v>4264</v>
      </c>
      <c r="D1195" s="2" t="s">
        <v>36</v>
      </c>
      <c r="E1195" s="2" t="n">
        <v>1</v>
      </c>
      <c r="F1195" s="4" t="n">
        <v>687.89</v>
      </c>
      <c r="G1195" s="2" t="s">
        <v>347</v>
      </c>
      <c r="H1195" s="2" t="s">
        <v>69</v>
      </c>
      <c r="I1195" s="2" t="s">
        <v>47</v>
      </c>
      <c r="J1195" s="2" t="s">
        <v>4265</v>
      </c>
      <c r="K1195" s="2" t="n">
        <v>1</v>
      </c>
      <c r="L1195" s="2" t="s">
        <v>41</v>
      </c>
      <c r="M1195" s="2" t="s">
        <v>42</v>
      </c>
      <c r="N1195" s="4" t="n">
        <v>687.89</v>
      </c>
      <c r="O1195" s="2" t="str">
        <f aca="false">IF(COUNTIF($A$2:$A$1201,A1195)&gt;1,"DUPLICATE","Unique")</f>
        <v>Unique</v>
      </c>
      <c r="P1195" s="2" t="str">
        <f aca="false">IF(L1195="","MISSING","OK")</f>
        <v>OK</v>
      </c>
      <c r="Q1195" s="2" t="str">
        <f aca="false">IF(ISNUMBER(B1195),"OK","BAD DATE")</f>
        <v>OK</v>
      </c>
      <c r="R1195" s="2" t="str">
        <f aca="false">IF(ROUND(F1195,2)=F1195,"OK","FIX")</f>
        <v>OK</v>
      </c>
    </row>
    <row r="1196" customFormat="false" ht="15" hidden="false" customHeight="false" outlineLevel="0" collapsed="false">
      <c r="A1196" s="2" t="s">
        <v>4266</v>
      </c>
      <c r="B1196" s="3" t="n">
        <v>45249</v>
      </c>
      <c r="C1196" s="2" t="s">
        <v>4267</v>
      </c>
      <c r="D1196" s="2" t="s">
        <v>52</v>
      </c>
      <c r="E1196" s="2" t="n">
        <v>3</v>
      </c>
      <c r="F1196" s="4" t="n">
        <v>189.44</v>
      </c>
      <c r="G1196" s="2" t="s">
        <v>787</v>
      </c>
      <c r="H1196" s="2" t="s">
        <v>69</v>
      </c>
      <c r="I1196" s="2" t="s">
        <v>93</v>
      </c>
      <c r="J1196" s="2" t="s">
        <v>4268</v>
      </c>
      <c r="K1196" s="2" t="n">
        <v>4</v>
      </c>
      <c r="L1196" s="2" t="s">
        <v>41</v>
      </c>
      <c r="M1196" s="2" t="s">
        <v>42</v>
      </c>
      <c r="N1196" s="4" t="n">
        <v>568.32</v>
      </c>
      <c r="O1196" s="2" t="str">
        <f aca="false">IF(COUNTIF($A$2:$A$1201,A1196)&gt;1,"DUPLICATE","Unique")</f>
        <v>Unique</v>
      </c>
      <c r="P1196" s="2" t="str">
        <f aca="false">IF(L1196="","MISSING","OK")</f>
        <v>OK</v>
      </c>
      <c r="Q1196" s="2" t="str">
        <f aca="false">IF(ISNUMBER(B1196),"OK","BAD DATE")</f>
        <v>OK</v>
      </c>
      <c r="R1196" s="2" t="str">
        <f aca="false">IF(ROUND(F1196,2)=F1196,"OK","FIX")</f>
        <v>OK</v>
      </c>
    </row>
    <row r="1197" customFormat="false" ht="15" hidden="false" customHeight="false" outlineLevel="0" collapsed="false">
      <c r="A1197" s="2" t="s">
        <v>4269</v>
      </c>
      <c r="B1197" s="3" t="n">
        <v>45463</v>
      </c>
      <c r="C1197" s="2" t="s">
        <v>4270</v>
      </c>
      <c r="D1197" s="2" t="s">
        <v>77</v>
      </c>
      <c r="E1197" s="2" t="n">
        <v>1</v>
      </c>
      <c r="F1197" s="4" t="n">
        <v>107.04</v>
      </c>
      <c r="G1197" s="2" t="s">
        <v>4271</v>
      </c>
      <c r="H1197" s="2" t="s">
        <v>38</v>
      </c>
      <c r="I1197" s="2" t="s">
        <v>39</v>
      </c>
      <c r="J1197" s="2" t="s">
        <v>4272</v>
      </c>
      <c r="K1197" s="2" t="n">
        <v>6</v>
      </c>
      <c r="L1197" s="2" t="s">
        <v>41</v>
      </c>
      <c r="M1197" s="2" t="s">
        <v>80</v>
      </c>
      <c r="N1197" s="4" t="n">
        <v>107.04</v>
      </c>
      <c r="O1197" s="2" t="str">
        <f aca="false">IF(COUNTIF($A$2:$A$1201,A1197)&gt;1,"DUPLICATE","Unique")</f>
        <v>Unique</v>
      </c>
      <c r="P1197" s="2" t="str">
        <f aca="false">IF(L1197="","MISSING","OK")</f>
        <v>OK</v>
      </c>
      <c r="Q1197" s="2" t="str">
        <f aca="false">IF(ISNUMBER(B1197),"OK","BAD DATE")</f>
        <v>OK</v>
      </c>
      <c r="R1197" s="2" t="str">
        <f aca="false">IF(ROUND(F1197,2)=F1197,"OK","FIX")</f>
        <v>OK</v>
      </c>
    </row>
    <row r="1198" customFormat="false" ht="15" hidden="false" customHeight="false" outlineLevel="0" collapsed="false">
      <c r="A1198" s="2" t="s">
        <v>4273</v>
      </c>
      <c r="B1198" s="3" t="n">
        <v>45355</v>
      </c>
      <c r="C1198" s="2" t="s">
        <v>4274</v>
      </c>
      <c r="D1198" s="2" t="s">
        <v>20</v>
      </c>
      <c r="E1198" s="2" t="n">
        <v>2</v>
      </c>
      <c r="F1198" s="4" t="n">
        <v>662.53</v>
      </c>
      <c r="G1198" s="2" t="s">
        <v>1553</v>
      </c>
      <c r="H1198" s="2" t="s">
        <v>31</v>
      </c>
      <c r="I1198" s="2" t="s">
        <v>39</v>
      </c>
      <c r="J1198" s="2" t="s">
        <v>4275</v>
      </c>
      <c r="K1198" s="2" t="n">
        <v>5</v>
      </c>
      <c r="L1198" s="2"/>
      <c r="M1198" s="2" t="s">
        <v>49</v>
      </c>
      <c r="N1198" s="4" t="n">
        <v>1325.06</v>
      </c>
      <c r="O1198" s="2" t="str">
        <f aca="false">IF(COUNTIF($A$2:$A$1201,A1198)&gt;1,"DUPLICATE","Unique")</f>
        <v>Unique</v>
      </c>
      <c r="P1198" s="2" t="str">
        <f aca="false">IF(L1198="","MISSING","OK")</f>
        <v>MISSING</v>
      </c>
      <c r="Q1198" s="2" t="str">
        <f aca="false">IF(ISNUMBER(B1198),"OK","BAD DATE")</f>
        <v>OK</v>
      </c>
      <c r="R1198" s="2" t="str">
        <f aca="false">IF(ROUND(F1198,2)=F1198,"OK","FIX")</f>
        <v>OK</v>
      </c>
    </row>
    <row r="1199" customFormat="false" ht="15" hidden="false" customHeight="false" outlineLevel="0" collapsed="false">
      <c r="A1199" s="2" t="s">
        <v>4276</v>
      </c>
      <c r="B1199" s="3" t="n">
        <v>45120</v>
      </c>
      <c r="C1199" s="2" t="s">
        <v>4277</v>
      </c>
      <c r="D1199" s="2" t="s">
        <v>36</v>
      </c>
      <c r="E1199" s="2" t="n">
        <v>2</v>
      </c>
      <c r="F1199" s="4" t="n">
        <v>436.84</v>
      </c>
      <c r="G1199" s="2" t="s">
        <v>46</v>
      </c>
      <c r="H1199" s="2" t="s">
        <v>31</v>
      </c>
      <c r="I1199" s="2" t="s">
        <v>54</v>
      </c>
      <c r="J1199" s="2" t="s">
        <v>4278</v>
      </c>
      <c r="K1199" s="2" t="n">
        <v>2</v>
      </c>
      <c r="L1199" s="2" t="s">
        <v>41</v>
      </c>
      <c r="M1199" s="2" t="s">
        <v>26</v>
      </c>
      <c r="N1199" s="4" t="n">
        <v>873.68</v>
      </c>
      <c r="O1199" s="2" t="str">
        <f aca="false">IF(COUNTIF($A$2:$A$1201,A1199)&gt;1,"DUPLICATE","Unique")</f>
        <v>Unique</v>
      </c>
      <c r="P1199" s="2" t="str">
        <f aca="false">IF(L1199="","MISSING","OK")</f>
        <v>OK</v>
      </c>
      <c r="Q1199" s="2" t="str">
        <f aca="false">IF(ISNUMBER(B1199),"OK","BAD DATE")</f>
        <v>OK</v>
      </c>
      <c r="R1199" s="2" t="str">
        <f aca="false">IF(ROUND(F1199,2)=F1199,"OK","FIX")</f>
        <v>OK</v>
      </c>
    </row>
    <row r="1200" customFormat="false" ht="15" hidden="false" customHeight="false" outlineLevel="0" collapsed="false">
      <c r="A1200" s="2" t="s">
        <v>4279</v>
      </c>
      <c r="B1200" s="3" t="n">
        <v>45526</v>
      </c>
      <c r="C1200" s="2" t="s">
        <v>4280</v>
      </c>
      <c r="D1200" s="2" t="s">
        <v>45</v>
      </c>
      <c r="E1200" s="2" t="n">
        <v>4</v>
      </c>
      <c r="F1200" s="4" t="n">
        <v>262.52</v>
      </c>
      <c r="G1200" s="2" t="s">
        <v>4281</v>
      </c>
      <c r="H1200" s="2" t="s">
        <v>22</v>
      </c>
      <c r="I1200" s="2" t="s">
        <v>39</v>
      </c>
      <c r="J1200" s="2" t="s">
        <v>4282</v>
      </c>
      <c r="K1200" s="2" t="n">
        <v>4</v>
      </c>
      <c r="L1200" s="2" t="s">
        <v>85</v>
      </c>
      <c r="M1200" s="2" t="s">
        <v>26</v>
      </c>
      <c r="N1200" s="4" t="n">
        <v>1050.08</v>
      </c>
      <c r="O1200" s="2" t="str">
        <f aca="false">IF(COUNTIF($A$2:$A$1201,A1200)&gt;1,"DUPLICATE","Unique")</f>
        <v>Unique</v>
      </c>
      <c r="P1200" s="2" t="str">
        <f aca="false">IF(L1200="","MISSING","OK")</f>
        <v>OK</v>
      </c>
      <c r="Q1200" s="2" t="str">
        <f aca="false">IF(ISNUMBER(B1200),"OK","BAD DATE")</f>
        <v>OK</v>
      </c>
      <c r="R1200" s="2" t="str">
        <f aca="false">IF(ROUND(F1200,2)=F1200,"OK","FIX")</f>
        <v>OK</v>
      </c>
    </row>
    <row r="1201" customFormat="false" ht="15" hidden="false" customHeight="false" outlineLevel="0" collapsed="false">
      <c r="A1201" s="2" t="s">
        <v>4283</v>
      </c>
      <c r="B1201" s="3" t="n">
        <v>45088</v>
      </c>
      <c r="C1201" s="2" t="s">
        <v>4284</v>
      </c>
      <c r="D1201" s="2" t="s">
        <v>36</v>
      </c>
      <c r="E1201" s="2" t="n">
        <v>4</v>
      </c>
      <c r="F1201" s="4" t="n">
        <v>560.58</v>
      </c>
      <c r="G1201" s="2" t="s">
        <v>4285</v>
      </c>
      <c r="H1201" s="2" t="s">
        <v>64</v>
      </c>
      <c r="I1201" s="2" t="s">
        <v>47</v>
      </c>
      <c r="J1201" s="2" t="s">
        <v>4286</v>
      </c>
      <c r="K1201" s="2" t="n">
        <v>6</v>
      </c>
      <c r="L1201" s="2" t="s">
        <v>25</v>
      </c>
      <c r="M1201" s="2" t="s">
        <v>33</v>
      </c>
      <c r="N1201" s="4" t="n">
        <v>2242.32</v>
      </c>
      <c r="O1201" s="2" t="str">
        <f aca="false">IF(COUNTIF($A$2:$A$1201,A1201)&gt;1,"DUPLICATE","Unique")</f>
        <v>Unique</v>
      </c>
      <c r="P1201" s="2" t="str">
        <f aca="false">IF(L1201="","MISSING","OK")</f>
        <v>OK</v>
      </c>
      <c r="Q1201" s="2" t="str">
        <f aca="false">IF(ISNUMBER(B1201),"OK","BAD DATE")</f>
        <v>OK</v>
      </c>
      <c r="R1201" s="2" t="str">
        <f aca="false">IF(ROUND(F1201,2)=F1201,"OK","FIX")</f>
        <v>OK</v>
      </c>
    </row>
    <row r="1203" customFormat="false" ht="17.35" hidden="false" customHeight="false" outlineLevel="0" collapsed="false">
      <c r="N1203" s="5" t="s">
        <v>4287</v>
      </c>
      <c r="O1203" s="6" t="n">
        <f aca="false">COUNTIF(O2:O1201,"DUPLICATE")+COUNTIF(P2:P1201,"MISSING")+COUNTIF(Q2:Q1201,"BAD DATE")+COUNTIF(R2:R1201,"FIX")</f>
        <v>309</v>
      </c>
    </row>
    <row r="1204" customFormat="false" ht="17.15" hidden="false" customHeight="false" outlineLevel="0" collapsed="false">
      <c r="N1204" s="5" t="s">
        <v>4288</v>
      </c>
      <c r="O1204" s="7" t="str">
        <f aca="false">IF(O1203=0,"CLEAN","NEEDS REVIEW")</f>
        <v>NEEDS REVIEW</v>
      </c>
    </row>
  </sheetData>
  <conditionalFormatting sqref="O2:O1201">
    <cfRule type="expression" priority="2" aboveAverage="0" equalAverage="0" bottom="0" percent="0" rank="0" text="" dxfId="0">
      <formula>O2="DUPLICATE"</formula>
    </cfRule>
  </conditionalFormatting>
  <conditionalFormatting sqref="P2:P1201">
    <cfRule type="expression" priority="3" aboveAverage="0" equalAverage="0" bottom="0" percent="0" rank="0" text="" dxfId="0">
      <formula>P2="MISSING"</formula>
    </cfRule>
  </conditionalFormatting>
  <conditionalFormatting sqref="Q2:Q1201">
    <cfRule type="expression" priority="4" aboveAverage="0" equalAverage="0" bottom="0" percent="0" rank="0" text="" dxfId="0">
      <formula>Q2="BAD DATE"</formula>
    </cfRule>
  </conditionalFormatting>
  <conditionalFormatting sqref="R2:R1201">
    <cfRule type="expression" priority="5" aboveAverage="0" equalAverage="0" bottom="0" percent="0" rank="0" text="" dxfId="0">
      <formula>R2="FIX"</formula>
    </cfRule>
  </conditionalFormatting>
  <conditionalFormatting sqref="O1204">
    <cfRule type="expression" priority="6" aboveAverage="0" equalAverage="0" bottom="0" percent="0" rank="0" text="" dxfId="1">
      <formula>O1204="CLEAN"</formula>
    </cfRule>
    <cfRule type="expression" priority="7" aboveAverage="0" equalAverage="0" bottom="0" percent="0" rank="0" text="" dxfId="0">
      <formula>O1204="NEEDS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tr">
        <f aca="false">TRIM(UPPER(Raw_Data!A2))</f>
        <v>ORD200000</v>
      </c>
      <c r="B2" s="3" t="n">
        <f aca="false">IF(ISNUMBER(Raw_Data!B2),Raw_Data!B2,DATEVALUE(Raw_Data!B2))</f>
        <v>44930</v>
      </c>
      <c r="C2" s="2" t="str">
        <f aca="false">TRIM(UPPER(Raw_Data!C2))</f>
        <v>C72649</v>
      </c>
      <c r="D2" s="2" t="str">
        <f aca="false">PROPER(TRIM(Raw_Data!D2))</f>
        <v>Monitor</v>
      </c>
      <c r="E2" s="2" t="n">
        <f aca="false">Raw_Data!E2</f>
        <v>5</v>
      </c>
      <c r="F2" s="4" t="n">
        <f aca="false">ROUND(Raw_Data!F2,2)</f>
        <v>570.62</v>
      </c>
      <c r="G2" s="2" t="str">
        <f aca="false">PROPER(TRIM(Raw_Data!G2))</f>
        <v>928 Main St</v>
      </c>
      <c r="H2" s="2" t="str">
        <f aca="false">PROPER(TRIM(Raw_Data!H2))</f>
        <v>Debit Card</v>
      </c>
      <c r="I2" s="2" t="str">
        <f aca="false">PROPER(TRIM(Raw_Data!I2))</f>
        <v>Shipped</v>
      </c>
      <c r="J2" s="2" t="str">
        <f aca="false">TRIM(UPPER(Raw_Data!J2))</f>
        <v>TRK37947903</v>
      </c>
      <c r="K2" s="2" t="n">
        <f aca="false">Raw_Data!K2</f>
        <v>7</v>
      </c>
      <c r="L2" s="2" t="str">
        <f aca="false">IF(TRIM(Raw_Data!L2)="","No Coupon",TRIM(UPPER(Raw_Data!L2)))</f>
        <v>SAVE10</v>
      </c>
      <c r="M2" s="2" t="str">
        <f aca="false">PROPER(TRIM(Raw_Data!M2))</f>
        <v>Instagram</v>
      </c>
      <c r="N2" s="4" t="n">
        <f aca="false">ROUND(E2*F2,2)</f>
        <v>2853.1</v>
      </c>
      <c r="O2" s="2" t="str">
        <f aca="false">IF(COUNTIF($A$2:$A$1201,A2)&gt;1,"DUPLICATE","Unique")</f>
        <v>Unique</v>
      </c>
      <c r="P2" s="2" t="str">
        <f aca="false">IF(L2="","MISSING","OK")</f>
        <v>OK</v>
      </c>
      <c r="Q2" s="2" t="str">
        <f aca="false">IF(ISNUMBER(B2),"OK","BAD DATE")</f>
        <v>OK</v>
      </c>
      <c r="R2" s="2" t="str">
        <f aca="false">IF(ROUND(F2,2)=F2,"OK","FIX")</f>
        <v>OK</v>
      </c>
    </row>
    <row r="3" customFormat="false" ht="15" hidden="false" customHeight="false" outlineLevel="0" collapsed="false">
      <c r="A3" s="2" t="str">
        <f aca="false">TRIM(UPPER(Raw_Data!A3))</f>
        <v>ORD200001</v>
      </c>
      <c r="B3" s="3" t="n">
        <f aca="false">IF(ISNUMBER(Raw_Data!B3),Raw_Data!B3,DATEVALUE(Raw_Data!B3))</f>
        <v>45527</v>
      </c>
      <c r="C3" s="2" t="str">
        <f aca="false">TRIM(UPPER(Raw_Data!C3))</f>
        <v>C75739</v>
      </c>
      <c r="D3" s="2" t="str">
        <f aca="false">PROPER(TRIM(Raw_Data!D3))</f>
        <v>Phone</v>
      </c>
      <c r="E3" s="2" t="n">
        <f aca="false">Raw_Data!E3</f>
        <v>2</v>
      </c>
      <c r="F3" s="4" t="n">
        <f aca="false">ROUND(Raw_Data!F3,2)</f>
        <v>151.35</v>
      </c>
      <c r="G3" s="2" t="str">
        <f aca="false">PROPER(TRIM(Raw_Data!G3))</f>
        <v>823 Main St</v>
      </c>
      <c r="H3" s="2" t="str">
        <f aca="false">PROPER(TRIM(Raw_Data!H3))</f>
        <v>Online</v>
      </c>
      <c r="I3" s="2" t="str">
        <f aca="false">PROPER(TRIM(Raw_Data!I3))</f>
        <v>Shipped</v>
      </c>
      <c r="J3" s="2" t="str">
        <f aca="false">TRIM(UPPER(Raw_Data!J3))</f>
        <v>TRK91186779</v>
      </c>
      <c r="K3" s="2" t="n">
        <f aca="false">Raw_Data!K3</f>
        <v>3</v>
      </c>
      <c r="L3" s="2" t="str">
        <f aca="false">IF(TRIM(Raw_Data!L3)="","No Coupon",TRIM(UPPER(Raw_Data!L3)))</f>
        <v>SAVE10</v>
      </c>
      <c r="M3" s="2" t="str">
        <f aca="false">PROPER(TRIM(Raw_Data!M3))</f>
        <v>Referral</v>
      </c>
      <c r="N3" s="4" t="n">
        <f aca="false">ROUND(E3*F3,2)</f>
        <v>302.7</v>
      </c>
      <c r="O3" s="2" t="str">
        <f aca="false">IF(COUNTIF($A$2:$A$1201,A3)&gt;1,"DUPLICATE","Unique")</f>
        <v>Unique</v>
      </c>
      <c r="P3" s="2" t="str">
        <f aca="false">IF(L3="","MISSING","OK")</f>
        <v>OK</v>
      </c>
      <c r="Q3" s="2" t="str">
        <f aca="false">IF(ISNUMBER(B3),"OK","BAD DATE")</f>
        <v>OK</v>
      </c>
      <c r="R3" s="2" t="str">
        <f aca="false">IF(ROUND(F3,2)=F3,"OK","FIX")</f>
        <v>OK</v>
      </c>
    </row>
    <row r="4" customFormat="false" ht="15" hidden="false" customHeight="false" outlineLevel="0" collapsed="false">
      <c r="A4" s="2" t="str">
        <f aca="false">TRIM(UPPER(Raw_Data!A4))</f>
        <v>ORD200002</v>
      </c>
      <c r="B4" s="3" t="n">
        <f aca="false">IF(ISNUMBER(Raw_Data!B4),Raw_Data!B4,DATEVALUE(Raw_Data!B4))</f>
        <v>45349</v>
      </c>
      <c r="C4" s="2" t="str">
        <f aca="false">TRIM(UPPER(Raw_Data!C4))</f>
        <v>C81728</v>
      </c>
      <c r="D4" s="2" t="str">
        <f aca="false">PROPER(TRIM(Raw_Data!D4))</f>
        <v>Tablet</v>
      </c>
      <c r="E4" s="2" t="n">
        <f aca="false">Raw_Data!E4</f>
        <v>5</v>
      </c>
      <c r="F4" s="4" t="n">
        <f aca="false">ROUND(Raw_Data!F4,2)</f>
        <v>550.68</v>
      </c>
      <c r="G4" s="2" t="str">
        <f aca="false">PROPER(TRIM(Raw_Data!G4))</f>
        <v>512 Main St</v>
      </c>
      <c r="H4" s="2" t="str">
        <f aca="false">PROPER(TRIM(Raw_Data!H4))</f>
        <v>Credit Card</v>
      </c>
      <c r="I4" s="2" t="str">
        <f aca="false">PROPER(TRIM(Raw_Data!I4))</f>
        <v>Cancelled</v>
      </c>
      <c r="J4" s="2" t="str">
        <f aca="false">TRIM(UPPER(Raw_Data!J4))</f>
        <v>TRK42903982</v>
      </c>
      <c r="K4" s="2" t="n">
        <f aca="false">Raw_Data!K4</f>
        <v>8</v>
      </c>
      <c r="L4" s="2" t="str">
        <f aca="false">IF(TRIM(Raw_Data!L4)="","No Coupon",TRIM(UPPER(Raw_Data!L4)))</f>
        <v>FREESHIP</v>
      </c>
      <c r="M4" s="2" t="str">
        <f aca="false">PROPER(TRIM(Raw_Data!M4))</f>
        <v>Email</v>
      </c>
      <c r="N4" s="4" t="n">
        <f aca="false">ROUND(E4*F4,2)</f>
        <v>2753.4</v>
      </c>
      <c r="O4" s="2" t="str">
        <f aca="false">IF(COUNTIF($A$2:$A$1201,A4)&gt;1,"DUPLICATE","Unique")</f>
        <v>Unique</v>
      </c>
      <c r="P4" s="2" t="str">
        <f aca="false">IF(L4="","MISSING","OK")</f>
        <v>OK</v>
      </c>
      <c r="Q4" s="2" t="str">
        <f aca="false">IF(ISNUMBER(B4),"OK","BAD DATE")</f>
        <v>OK</v>
      </c>
      <c r="R4" s="2" t="str">
        <f aca="false">IF(ROUND(F4,2)=F4,"OK","FIX")</f>
        <v>OK</v>
      </c>
    </row>
    <row r="5" customFormat="false" ht="15" hidden="false" customHeight="false" outlineLevel="0" collapsed="false">
      <c r="A5" s="2" t="str">
        <f aca="false">TRIM(UPPER(Raw_Data!A5))</f>
        <v>ORD200003</v>
      </c>
      <c r="B5" s="3" t="n">
        <f aca="false">IF(ISNUMBER(Raw_Data!B5),Raw_Data!B5,DATEVALUE(Raw_Data!B5))</f>
        <v>45214</v>
      </c>
      <c r="C5" s="2" t="str">
        <f aca="false">TRIM(UPPER(Raw_Data!C5))</f>
        <v>C33540</v>
      </c>
      <c r="D5" s="2" t="str">
        <f aca="false">PROPER(TRIM(Raw_Data!D5))</f>
        <v>Chair</v>
      </c>
      <c r="E5" s="2" t="n">
        <f aca="false">Raw_Data!E5</f>
        <v>1</v>
      </c>
      <c r="F5" s="4" t="n">
        <f aca="false">ROUND(Raw_Data!F5,2)</f>
        <v>273.19</v>
      </c>
      <c r="G5" s="2" t="str">
        <f aca="false">PROPER(TRIM(Raw_Data!G5))</f>
        <v>275 Main St</v>
      </c>
      <c r="H5" s="2" t="str">
        <f aca="false">PROPER(TRIM(Raw_Data!H5))</f>
        <v>Debit Card</v>
      </c>
      <c r="I5" s="2" t="str">
        <f aca="false">PROPER(TRIM(Raw_Data!I5))</f>
        <v>Returned</v>
      </c>
      <c r="J5" s="2" t="str">
        <f aca="false">TRIM(UPPER(Raw_Data!J5))</f>
        <v>TRK62788070</v>
      </c>
      <c r="K5" s="2" t="n">
        <f aca="false">Raw_Data!K5</f>
        <v>5</v>
      </c>
      <c r="L5" s="2" t="str">
        <f aca="false">IF(TRIM(Raw_Data!L5)="","No Coupon",TRIM(UPPER(Raw_Data!L5)))</f>
        <v>SAVE10</v>
      </c>
      <c r="M5" s="2" t="str">
        <f aca="false">PROPER(TRIM(Raw_Data!M5))</f>
        <v>Facebook</v>
      </c>
      <c r="N5" s="4" t="n">
        <f aca="false">ROUND(E5*F5,2)</f>
        <v>273.19</v>
      </c>
      <c r="O5" s="2" t="str">
        <f aca="false">IF(COUNTIF($A$2:$A$1201,A5)&gt;1,"DUPLICATE","Unique")</f>
        <v>Unique</v>
      </c>
      <c r="P5" s="2" t="str">
        <f aca="false">IF(L5="","MISSING","OK")</f>
        <v>OK</v>
      </c>
      <c r="Q5" s="2" t="str">
        <f aca="false">IF(ISNUMBER(B5),"OK","BAD DATE")</f>
        <v>OK</v>
      </c>
      <c r="R5" s="2" t="str">
        <f aca="false">IF(ROUND(F5,2)=F5,"OK","FIX")</f>
        <v>OK</v>
      </c>
    </row>
    <row r="6" customFormat="false" ht="15" hidden="false" customHeight="false" outlineLevel="0" collapsed="false">
      <c r="A6" s="2" t="str">
        <f aca="false">TRIM(UPPER(Raw_Data!A6))</f>
        <v>ORD200004</v>
      </c>
      <c r="B6" s="3" t="n">
        <f aca="false">IF(ISNUMBER(Raw_Data!B6),Raw_Data!B6,DATEVALUE(Raw_Data!B6))</f>
        <v>45785</v>
      </c>
      <c r="C6" s="2" t="str">
        <f aca="false">TRIM(UPPER(Raw_Data!C6))</f>
        <v>C81840</v>
      </c>
      <c r="D6" s="2" t="str">
        <f aca="false">PROPER(TRIM(Raw_Data!D6))</f>
        <v>Printer</v>
      </c>
      <c r="E6" s="2" t="n">
        <f aca="false">Raw_Data!E6</f>
        <v>4</v>
      </c>
      <c r="F6" s="4" t="n">
        <f aca="false">ROUND(Raw_Data!F6,2)</f>
        <v>626.01</v>
      </c>
      <c r="G6" s="2" t="str">
        <f aca="false">PROPER(TRIM(Raw_Data!G6))</f>
        <v>668 Main St</v>
      </c>
      <c r="H6" s="2" t="str">
        <f aca="false">PROPER(TRIM(Raw_Data!H6))</f>
        <v>Online</v>
      </c>
      <c r="I6" s="2" t="str">
        <f aca="false">PROPER(TRIM(Raw_Data!I6))</f>
        <v>Delivered</v>
      </c>
      <c r="J6" s="2" t="str">
        <f aca="false">TRIM(UPPER(Raw_Data!J6))</f>
        <v>TRK29241424</v>
      </c>
      <c r="K6" s="2" t="n">
        <f aca="false">Raw_Data!K6</f>
        <v>8</v>
      </c>
      <c r="L6" s="2" t="str">
        <f aca="false">IF(TRIM(Raw_Data!L6)="","No Coupon",TRIM(UPPER(Raw_Data!L6)))</f>
        <v>SAVE10</v>
      </c>
      <c r="M6" s="2" t="str">
        <f aca="false">PROPER(TRIM(Raw_Data!M6))</f>
        <v>Email</v>
      </c>
      <c r="N6" s="4" t="n">
        <f aca="false">ROUND(E6*F6,2)</f>
        <v>2504.04</v>
      </c>
      <c r="O6" s="2" t="str">
        <f aca="false">IF(COUNTIF($A$2:$A$1201,A6)&gt;1,"DUPLICATE","Unique")</f>
        <v>Unique</v>
      </c>
      <c r="P6" s="2" t="str">
        <f aca="false">IF(L6="","MISSING","OK")</f>
        <v>OK</v>
      </c>
      <c r="Q6" s="2" t="str">
        <f aca="false">IF(ISNUMBER(B6),"OK","BAD DATE")</f>
        <v>OK</v>
      </c>
      <c r="R6" s="2" t="str">
        <f aca="false">IF(ROUND(F6,2)=F6,"OK","FIX")</f>
        <v>OK</v>
      </c>
    </row>
    <row r="7" customFormat="false" ht="15" hidden="false" customHeight="false" outlineLevel="0" collapsed="false">
      <c r="A7" s="2" t="str">
        <f aca="false">TRIM(UPPER(Raw_Data!A7))</f>
        <v>ORD200005</v>
      </c>
      <c r="B7" s="3" t="n">
        <f aca="false">IF(ISNUMBER(Raw_Data!B7),Raw_Data!B7,DATEVALUE(Raw_Data!B7))</f>
        <v>45222</v>
      </c>
      <c r="C7" s="2" t="str">
        <f aca="false">TRIM(UPPER(Raw_Data!C7))</f>
        <v>C37249</v>
      </c>
      <c r="D7" s="2" t="str">
        <f aca="false">PROPER(TRIM(Raw_Data!D7))</f>
        <v>Phone</v>
      </c>
      <c r="E7" s="2" t="n">
        <f aca="false">Raw_Data!E7</f>
        <v>2</v>
      </c>
      <c r="F7" s="4" t="n">
        <f aca="false">ROUND(Raw_Data!F7,2)</f>
        <v>245.86</v>
      </c>
      <c r="G7" s="2" t="str">
        <f aca="false">PROPER(TRIM(Raw_Data!G7))</f>
        <v>934 Main St</v>
      </c>
      <c r="H7" s="2" t="str">
        <f aca="false">PROPER(TRIM(Raw_Data!H7))</f>
        <v>Credit Card</v>
      </c>
      <c r="I7" s="2" t="str">
        <f aca="false">PROPER(TRIM(Raw_Data!I7))</f>
        <v>Shipped</v>
      </c>
      <c r="J7" s="2" t="str">
        <f aca="false">TRIM(UPPER(Raw_Data!J7))</f>
        <v>TRK72976927</v>
      </c>
      <c r="K7" s="2" t="n">
        <f aca="false">Raw_Data!K7</f>
        <v>4</v>
      </c>
      <c r="L7" s="2" t="str">
        <f aca="false">IF(TRIM(Raw_Data!L7)="","No Coupon",TRIM(UPPER(Raw_Data!L7)))</f>
        <v>SAVE10</v>
      </c>
      <c r="M7" s="2" t="str">
        <f aca="false">PROPER(TRIM(Raw_Data!M7))</f>
        <v>Instagram</v>
      </c>
      <c r="N7" s="4" t="n">
        <f aca="false">ROUND(E7*F7,2)</f>
        <v>491.72</v>
      </c>
      <c r="O7" s="2" t="str">
        <f aca="false">IF(COUNTIF($A$2:$A$1201,A7)&gt;1,"DUPLICATE","Unique")</f>
        <v>Unique</v>
      </c>
      <c r="P7" s="2" t="str">
        <f aca="false">IF(L7="","MISSING","OK")</f>
        <v>OK</v>
      </c>
      <c r="Q7" s="2" t="str">
        <f aca="false">IF(ISNUMBER(B7),"OK","BAD DATE")</f>
        <v>OK</v>
      </c>
      <c r="R7" s="2" t="str">
        <f aca="false">IF(ROUND(F7,2)=F7,"OK","FIX")</f>
        <v>OK</v>
      </c>
    </row>
    <row r="8" customFormat="false" ht="15" hidden="false" customHeight="false" outlineLevel="0" collapsed="false">
      <c r="A8" s="2" t="str">
        <f aca="false">TRIM(UPPER(Raw_Data!A8))</f>
        <v>ORD200006</v>
      </c>
      <c r="B8" s="3" t="n">
        <f aca="false">IF(ISNUMBER(Raw_Data!B8),Raw_Data!B8,DATEVALUE(Raw_Data!B8))</f>
        <v>45825</v>
      </c>
      <c r="C8" s="2" t="str">
        <f aca="false">TRIM(UPPER(Raw_Data!C8))</f>
        <v>C83492</v>
      </c>
      <c r="D8" s="2" t="str">
        <f aca="false">PROPER(TRIM(Raw_Data!D8))</f>
        <v>Laptop</v>
      </c>
      <c r="E8" s="2" t="n">
        <f aca="false">Raw_Data!E8</f>
        <v>1</v>
      </c>
      <c r="F8" s="4" t="n">
        <f aca="false">ROUND(Raw_Data!F8,2)</f>
        <v>664.42</v>
      </c>
      <c r="G8" s="2" t="str">
        <f aca="false">PROPER(TRIM(Raw_Data!G8))</f>
        <v>986 Main St</v>
      </c>
      <c r="H8" s="2" t="str">
        <f aca="false">PROPER(TRIM(Raw_Data!H8))</f>
        <v>Gift Card</v>
      </c>
      <c r="I8" s="2" t="str">
        <f aca="false">PROPER(TRIM(Raw_Data!I8))</f>
        <v>Returned</v>
      </c>
      <c r="J8" s="2" t="str">
        <f aca="false">TRIM(UPPER(Raw_Data!J8))</f>
        <v>TRK96417362</v>
      </c>
      <c r="K8" s="2" t="n">
        <f aca="false">Raw_Data!K8</f>
        <v>6</v>
      </c>
      <c r="L8" s="2" t="str">
        <f aca="false">IF(TRIM(Raw_Data!L8)="","No Coupon",TRIM(UPPER(Raw_Data!L8)))</f>
        <v>SAVE10</v>
      </c>
      <c r="M8" s="2" t="str">
        <f aca="false">PROPER(TRIM(Raw_Data!M8))</f>
        <v>Facebook</v>
      </c>
      <c r="N8" s="4" t="n">
        <f aca="false">ROUND(E8*F8,2)</f>
        <v>664.42</v>
      </c>
      <c r="O8" s="2" t="str">
        <f aca="false">IF(COUNTIF($A$2:$A$1201,A8)&gt;1,"DUPLICATE","Unique")</f>
        <v>Unique</v>
      </c>
      <c r="P8" s="2" t="str">
        <f aca="false">IF(L8="","MISSING","OK")</f>
        <v>OK</v>
      </c>
      <c r="Q8" s="2" t="str">
        <f aca="false">IF(ISNUMBER(B8),"OK","BAD DATE")</f>
        <v>OK</v>
      </c>
      <c r="R8" s="2" t="str">
        <f aca="false">IF(ROUND(F8,2)=F8,"OK","FIX")</f>
        <v>OK</v>
      </c>
    </row>
    <row r="9" customFormat="false" ht="15" hidden="false" customHeight="false" outlineLevel="0" collapsed="false">
      <c r="A9" s="2" t="str">
        <f aca="false">TRIM(UPPER(Raw_Data!A9))</f>
        <v>ORD200007</v>
      </c>
      <c r="B9" s="3" t="n">
        <f aca="false">IF(ISNUMBER(Raw_Data!B9),Raw_Data!B9,DATEVALUE(Raw_Data!B9))</f>
        <v>45058</v>
      </c>
      <c r="C9" s="2" t="str">
        <f aca="false">TRIM(UPPER(Raw_Data!C9))</f>
        <v>C41460</v>
      </c>
      <c r="D9" s="2" t="str">
        <f aca="false">PROPER(TRIM(Raw_Data!D9))</f>
        <v>Monitor</v>
      </c>
      <c r="E9" s="2" t="n">
        <f aca="false">Raw_Data!E9</f>
        <v>5</v>
      </c>
      <c r="F9" s="4" t="n">
        <f aca="false">ROUND(Raw_Data!F9,2)</f>
        <v>149.55</v>
      </c>
      <c r="G9" s="2" t="str">
        <f aca="false">PROPER(TRIM(Raw_Data!G9))</f>
        <v>706 Main St</v>
      </c>
      <c r="H9" s="2" t="str">
        <f aca="false">PROPER(TRIM(Raw_Data!H9))</f>
        <v>Cash</v>
      </c>
      <c r="I9" s="2" t="str">
        <f aca="false">PROPER(TRIM(Raw_Data!I9))</f>
        <v>Shipped</v>
      </c>
      <c r="J9" s="2" t="str">
        <f aca="false">TRIM(UPPER(Raw_Data!J9))</f>
        <v>TRK78809193</v>
      </c>
      <c r="K9" s="2" t="n">
        <f aca="false">Raw_Data!K9</f>
        <v>9</v>
      </c>
      <c r="L9" s="2" t="str">
        <f aca="false">IF(TRIM(Raw_Data!L9)="","No Coupon",TRIM(UPPER(Raw_Data!L9)))</f>
        <v>FREESHIP</v>
      </c>
      <c r="M9" s="2" t="str">
        <f aca="false">PROPER(TRIM(Raw_Data!M9))</f>
        <v>Facebook</v>
      </c>
      <c r="N9" s="4" t="n">
        <f aca="false">ROUND(E9*F9,2)</f>
        <v>747.75</v>
      </c>
      <c r="O9" s="2" t="str">
        <f aca="false">IF(COUNTIF($A$2:$A$1201,A9)&gt;1,"DUPLICATE","Unique")</f>
        <v>Unique</v>
      </c>
      <c r="P9" s="2" t="str">
        <f aca="false">IF(L9="","MISSING","OK")</f>
        <v>OK</v>
      </c>
      <c r="Q9" s="2" t="str">
        <f aca="false">IF(ISNUMBER(B9),"OK","BAD DATE")</f>
        <v>OK</v>
      </c>
      <c r="R9" s="2" t="str">
        <f aca="false">IF(ROUND(F9,2)=F9,"OK","FIX")</f>
        <v>OK</v>
      </c>
    </row>
    <row r="10" customFormat="false" ht="15" hidden="false" customHeight="false" outlineLevel="0" collapsed="false">
      <c r="A10" s="2" t="str">
        <f aca="false">TRIM(UPPER(Raw_Data!A10))</f>
        <v>ORD200008</v>
      </c>
      <c r="B10" s="3" t="n">
        <f aca="false">IF(ISNUMBER(Raw_Data!B10),Raw_Data!B10,DATEVALUE(Raw_Data!B10))</f>
        <v>45749</v>
      </c>
      <c r="C10" s="2" t="str">
        <f aca="false">TRIM(UPPER(Raw_Data!C10))</f>
        <v>C26817</v>
      </c>
      <c r="D10" s="2" t="str">
        <f aca="false">PROPER(TRIM(Raw_Data!D10))</f>
        <v>Phone</v>
      </c>
      <c r="E10" s="2" t="n">
        <f aca="false">Raw_Data!E10</f>
        <v>2</v>
      </c>
      <c r="F10" s="4" t="n">
        <f aca="false">ROUND(Raw_Data!F10,2)</f>
        <v>134.28</v>
      </c>
      <c r="G10" s="2" t="str">
        <f aca="false">PROPER(TRIM(Raw_Data!G10))</f>
        <v>904 Main St</v>
      </c>
      <c r="H10" s="2" t="str">
        <f aca="false">PROPER(TRIM(Raw_Data!H10))</f>
        <v>Gift Card</v>
      </c>
      <c r="I10" s="2" t="str">
        <f aca="false">PROPER(TRIM(Raw_Data!I10))</f>
        <v>Cancelled</v>
      </c>
      <c r="J10" s="2" t="str">
        <f aca="false">TRIM(UPPER(Raw_Data!J10))</f>
        <v>TRK61042692</v>
      </c>
      <c r="K10" s="2" t="n">
        <f aca="false">Raw_Data!K10</f>
        <v>2</v>
      </c>
      <c r="L10" s="2" t="str">
        <f aca="false">IF(TRIM(Raw_Data!L10)="","No Coupon",TRIM(UPPER(Raw_Data!L10)))</f>
        <v>No Coupon</v>
      </c>
      <c r="M10" s="2" t="str">
        <f aca="false">PROPER(TRIM(Raw_Data!M10))</f>
        <v>Email</v>
      </c>
      <c r="N10" s="4" t="n">
        <f aca="false">ROUND(E10*F10,2)</f>
        <v>268.56</v>
      </c>
      <c r="O10" s="2" t="str">
        <f aca="false">IF(COUNTIF($A$2:$A$1201,A10)&gt;1,"DUPLICATE","Unique")</f>
        <v>Unique</v>
      </c>
      <c r="P10" s="2" t="str">
        <f aca="false">IF(L10="","MISSING","OK")</f>
        <v>OK</v>
      </c>
      <c r="Q10" s="2" t="str">
        <f aca="false">IF(ISNUMBER(B10),"OK","BAD DATE")</f>
        <v>OK</v>
      </c>
      <c r="R10" s="2" t="str">
        <f aca="false">IF(ROUND(F10,2)=F10,"OK","FIX")</f>
        <v>OK</v>
      </c>
    </row>
    <row r="11" customFormat="false" ht="15" hidden="false" customHeight="false" outlineLevel="0" collapsed="false">
      <c r="A11" s="2" t="str">
        <f aca="false">TRIM(UPPER(Raw_Data!A11))</f>
        <v>ORD200009</v>
      </c>
      <c r="B11" s="3" t="n">
        <f aca="false">IF(ISNUMBER(Raw_Data!B11),Raw_Data!B11,DATEVALUE(Raw_Data!B11))</f>
        <v>45251</v>
      </c>
      <c r="C11" s="2" t="str">
        <f aca="false">TRIM(UPPER(Raw_Data!C11))</f>
        <v>C31946</v>
      </c>
      <c r="D11" s="2" t="str">
        <f aca="false">PROPER(TRIM(Raw_Data!D11))</f>
        <v>Desk</v>
      </c>
      <c r="E11" s="2" t="n">
        <f aca="false">Raw_Data!E11</f>
        <v>4</v>
      </c>
      <c r="F11" s="4" t="n">
        <f aca="false">ROUND(Raw_Data!F11,2)</f>
        <v>509.38</v>
      </c>
      <c r="G11" s="2" t="str">
        <f aca="false">PROPER(TRIM(Raw_Data!G11))</f>
        <v>102 Main St</v>
      </c>
      <c r="H11" s="2" t="str">
        <f aca="false">PROPER(TRIM(Raw_Data!H11))</f>
        <v>Credit Card</v>
      </c>
      <c r="I11" s="2" t="str">
        <f aca="false">PROPER(TRIM(Raw_Data!I11))</f>
        <v>Shipped</v>
      </c>
      <c r="J11" s="2" t="str">
        <f aca="false">TRIM(UPPER(Raw_Data!J11))</f>
        <v>TRK33478363</v>
      </c>
      <c r="K11" s="2" t="n">
        <f aca="false">Raw_Data!K11</f>
        <v>6</v>
      </c>
      <c r="L11" s="2" t="str">
        <f aca="false">IF(TRIM(Raw_Data!L11)="","No Coupon",TRIM(UPPER(Raw_Data!L11)))</f>
        <v>SAVE10</v>
      </c>
      <c r="M11" s="2" t="str">
        <f aca="false">PROPER(TRIM(Raw_Data!M11))</f>
        <v>Google</v>
      </c>
      <c r="N11" s="4" t="n">
        <f aca="false">ROUND(E11*F11,2)</f>
        <v>2037.52</v>
      </c>
      <c r="O11" s="2" t="str">
        <f aca="false">IF(COUNTIF($A$2:$A$1201,A11)&gt;1,"DUPLICATE","Unique")</f>
        <v>Unique</v>
      </c>
      <c r="P11" s="2" t="str">
        <f aca="false">IF(L11="","MISSING","OK")</f>
        <v>OK</v>
      </c>
      <c r="Q11" s="2" t="str">
        <f aca="false">IF(ISNUMBER(B11),"OK","BAD DATE")</f>
        <v>OK</v>
      </c>
      <c r="R11" s="2" t="str">
        <f aca="false">IF(ROUND(F11,2)=F11,"OK","FIX")</f>
        <v>OK</v>
      </c>
    </row>
    <row r="12" customFormat="false" ht="15" hidden="false" customHeight="false" outlineLevel="0" collapsed="false">
      <c r="A12" s="2" t="str">
        <f aca="false">TRIM(UPPER(Raw_Data!A12))</f>
        <v>ORD200010</v>
      </c>
      <c r="B12" s="3" t="n">
        <f aca="false">IF(ISNUMBER(Raw_Data!B12),Raw_Data!B12,DATEVALUE(Raw_Data!B12))</f>
        <v>45289</v>
      </c>
      <c r="C12" s="2" t="str">
        <f aca="false">TRIM(UPPER(Raw_Data!C12))</f>
        <v>C43443</v>
      </c>
      <c r="D12" s="2" t="str">
        <f aca="false">PROPER(TRIM(Raw_Data!D12))</f>
        <v>Tablet</v>
      </c>
      <c r="E12" s="2" t="n">
        <f aca="false">Raw_Data!E12</f>
        <v>5</v>
      </c>
      <c r="F12" s="4" t="n">
        <f aca="false">ROUND(Raw_Data!F12,2)</f>
        <v>625.97</v>
      </c>
      <c r="G12" s="2" t="str">
        <f aca="false">PROPER(TRIM(Raw_Data!G12))</f>
        <v>333 Main St</v>
      </c>
      <c r="H12" s="2" t="str">
        <f aca="false">PROPER(TRIM(Raw_Data!H12))</f>
        <v>Credit Card</v>
      </c>
      <c r="I12" s="2" t="str">
        <f aca="false">PROPER(TRIM(Raw_Data!I12))</f>
        <v>Returned</v>
      </c>
      <c r="J12" s="2" t="str">
        <f aca="false">TRIM(UPPER(Raw_Data!J12))</f>
        <v>TRK98859248</v>
      </c>
      <c r="K12" s="2" t="n">
        <f aca="false">Raw_Data!K12</f>
        <v>9</v>
      </c>
      <c r="L12" s="2" t="str">
        <f aca="false">IF(TRIM(Raw_Data!L12)="","No Coupon",TRIM(UPPER(Raw_Data!L12)))</f>
        <v>WINTER15</v>
      </c>
      <c r="M12" s="2" t="str">
        <f aca="false">PROPER(TRIM(Raw_Data!M12))</f>
        <v>Instagram</v>
      </c>
      <c r="N12" s="4" t="n">
        <f aca="false">ROUND(E12*F12,2)</f>
        <v>3129.85</v>
      </c>
      <c r="O12" s="2" t="str">
        <f aca="false">IF(COUNTIF($A$2:$A$1201,A12)&gt;1,"DUPLICATE","Unique")</f>
        <v>Unique</v>
      </c>
      <c r="P12" s="2" t="str">
        <f aca="false">IF(L12="","MISSING","OK")</f>
        <v>OK</v>
      </c>
      <c r="Q12" s="2" t="str">
        <f aca="false">IF(ISNUMBER(B12),"OK","BAD DATE")</f>
        <v>OK</v>
      </c>
      <c r="R12" s="2" t="str">
        <f aca="false">IF(ROUND(F12,2)=F12,"OK","FIX")</f>
        <v>OK</v>
      </c>
    </row>
    <row r="13" customFormat="false" ht="15" hidden="false" customHeight="false" outlineLevel="0" collapsed="false">
      <c r="A13" s="2" t="str">
        <f aca="false">TRIM(UPPER(Raw_Data!A13))</f>
        <v>ORD200011</v>
      </c>
      <c r="B13" s="3" t="n">
        <f aca="false">IF(ISNUMBER(Raw_Data!B13),Raw_Data!B13,DATEVALUE(Raw_Data!B13))</f>
        <v>45339</v>
      </c>
      <c r="C13" s="2" t="str">
        <f aca="false">TRIM(UPPER(Raw_Data!C13))</f>
        <v>C93861</v>
      </c>
      <c r="D13" s="2" t="str">
        <f aca="false">PROPER(TRIM(Raw_Data!D13))</f>
        <v>Monitor</v>
      </c>
      <c r="E13" s="2" t="n">
        <f aca="false">Raw_Data!E13</f>
        <v>3</v>
      </c>
      <c r="F13" s="4" t="n">
        <f aca="false">ROUND(Raw_Data!F13,2)</f>
        <v>49.14</v>
      </c>
      <c r="G13" s="2" t="str">
        <f aca="false">PROPER(TRIM(Raw_Data!G13))</f>
        <v>831 Main St</v>
      </c>
      <c r="H13" s="2" t="str">
        <f aca="false">PROPER(TRIM(Raw_Data!H13))</f>
        <v>Online</v>
      </c>
      <c r="I13" s="2" t="str">
        <f aca="false">PROPER(TRIM(Raw_Data!I13))</f>
        <v>Returned</v>
      </c>
      <c r="J13" s="2" t="str">
        <f aca="false">TRIM(UPPER(Raw_Data!J13))</f>
        <v>TRK48234646</v>
      </c>
      <c r="K13" s="2" t="n">
        <f aca="false">Raw_Data!K13</f>
        <v>7</v>
      </c>
      <c r="L13" s="2" t="str">
        <f aca="false">IF(TRIM(Raw_Data!L13)="","No Coupon",TRIM(UPPER(Raw_Data!L13)))</f>
        <v>SAVE10</v>
      </c>
      <c r="M13" s="2" t="str">
        <f aca="false">PROPER(TRIM(Raw_Data!M13))</f>
        <v>Email</v>
      </c>
      <c r="N13" s="4" t="n">
        <f aca="false">ROUND(E13*F13,2)</f>
        <v>147.42</v>
      </c>
      <c r="O13" s="2" t="str">
        <f aca="false">IF(COUNTIF($A$2:$A$1201,A13)&gt;1,"DUPLICATE","Unique")</f>
        <v>Unique</v>
      </c>
      <c r="P13" s="2" t="str">
        <f aca="false">IF(L13="","MISSING","OK")</f>
        <v>OK</v>
      </c>
      <c r="Q13" s="2" t="str">
        <f aca="false">IF(ISNUMBER(B13),"OK","BAD DATE")</f>
        <v>OK</v>
      </c>
      <c r="R13" s="2" t="str">
        <f aca="false">IF(ROUND(F13,2)=F13,"OK","FIX")</f>
        <v>OK</v>
      </c>
    </row>
    <row r="14" customFormat="false" ht="15" hidden="false" customHeight="false" outlineLevel="0" collapsed="false">
      <c r="A14" s="2" t="str">
        <f aca="false">TRIM(UPPER(Raw_Data!A14))</f>
        <v>ORD200012</v>
      </c>
      <c r="B14" s="3" t="n">
        <f aca="false">IF(ISNUMBER(Raw_Data!B14),Raw_Data!B14,DATEVALUE(Raw_Data!B14))</f>
        <v>45580</v>
      </c>
      <c r="C14" s="2" t="str">
        <f aca="false">TRIM(UPPER(Raw_Data!C14))</f>
        <v>C38785</v>
      </c>
      <c r="D14" s="2" t="str">
        <f aca="false">PROPER(TRIM(Raw_Data!D14))</f>
        <v>Monitor</v>
      </c>
      <c r="E14" s="2" t="n">
        <f aca="false">Raw_Data!E14</f>
        <v>2</v>
      </c>
      <c r="F14" s="4" t="n">
        <f aca="false">ROUND(Raw_Data!F14,2)</f>
        <v>180.5</v>
      </c>
      <c r="G14" s="2" t="str">
        <f aca="false">PROPER(TRIM(Raw_Data!G14))</f>
        <v>179 Main St</v>
      </c>
      <c r="H14" s="2" t="str">
        <f aca="false">PROPER(TRIM(Raw_Data!H14))</f>
        <v>Debit Card</v>
      </c>
      <c r="I14" s="2" t="str">
        <f aca="false">PROPER(TRIM(Raw_Data!I14))</f>
        <v>Pending</v>
      </c>
      <c r="J14" s="2" t="str">
        <f aca="false">TRIM(UPPER(Raw_Data!J14))</f>
        <v>TRK20419991</v>
      </c>
      <c r="K14" s="2" t="n">
        <f aca="false">Raw_Data!K14</f>
        <v>6</v>
      </c>
      <c r="L14" s="2" t="str">
        <f aca="false">IF(TRIM(Raw_Data!L14)="","No Coupon",TRIM(UPPER(Raw_Data!L14)))</f>
        <v>FREESHIP</v>
      </c>
      <c r="M14" s="2" t="str">
        <f aca="false">PROPER(TRIM(Raw_Data!M14))</f>
        <v>Referral</v>
      </c>
      <c r="N14" s="4" t="n">
        <f aca="false">ROUND(E14*F14,2)</f>
        <v>361</v>
      </c>
      <c r="O14" s="2" t="str">
        <f aca="false">IF(COUNTIF($A$2:$A$1201,A14)&gt;1,"DUPLICATE","Unique")</f>
        <v>Unique</v>
      </c>
      <c r="P14" s="2" t="str">
        <f aca="false">IF(L14="","MISSING","OK")</f>
        <v>OK</v>
      </c>
      <c r="Q14" s="2" t="str">
        <f aca="false">IF(ISNUMBER(B14),"OK","BAD DATE")</f>
        <v>OK</v>
      </c>
      <c r="R14" s="2" t="str">
        <f aca="false">IF(ROUND(F14,2)=F14,"OK","FIX")</f>
        <v>OK</v>
      </c>
    </row>
    <row r="15" customFormat="false" ht="15" hidden="false" customHeight="false" outlineLevel="0" collapsed="false">
      <c r="A15" s="2" t="str">
        <f aca="false">TRIM(UPPER(Raw_Data!A15))</f>
        <v>ORD200013</v>
      </c>
      <c r="B15" s="3" t="n">
        <f aca="false">IF(ISNUMBER(Raw_Data!B15),Raw_Data!B15,DATEVALUE(Raw_Data!B15))</f>
        <v>45168</v>
      </c>
      <c r="C15" s="2" t="str">
        <f aca="false">TRIM(UPPER(Raw_Data!C15))</f>
        <v>C88348</v>
      </c>
      <c r="D15" s="2" t="str">
        <f aca="false">PROPER(TRIM(Raw_Data!D15))</f>
        <v>Laptop</v>
      </c>
      <c r="E15" s="2" t="n">
        <f aca="false">Raw_Data!E15</f>
        <v>3</v>
      </c>
      <c r="F15" s="4" t="n">
        <f aca="false">ROUND(Raw_Data!F15,2)</f>
        <v>201.49</v>
      </c>
      <c r="G15" s="2" t="str">
        <f aca="false">PROPER(TRIM(Raw_Data!G15))</f>
        <v>903 Main St</v>
      </c>
      <c r="H15" s="2" t="str">
        <f aca="false">PROPER(TRIM(Raw_Data!H15))</f>
        <v>Credit Card</v>
      </c>
      <c r="I15" s="2" t="str">
        <f aca="false">PROPER(TRIM(Raw_Data!I15))</f>
        <v>Returned</v>
      </c>
      <c r="J15" s="2" t="str">
        <f aca="false">TRIM(UPPER(Raw_Data!J15))</f>
        <v>TRK81913874</v>
      </c>
      <c r="K15" s="2" t="n">
        <f aca="false">Raw_Data!K15</f>
        <v>4</v>
      </c>
      <c r="L15" s="2" t="str">
        <f aca="false">IF(TRIM(Raw_Data!L15)="","No Coupon",TRIM(UPPER(Raw_Data!L15)))</f>
        <v>FREESHIP</v>
      </c>
      <c r="M15" s="2" t="str">
        <f aca="false">PROPER(TRIM(Raw_Data!M15))</f>
        <v>Facebook</v>
      </c>
      <c r="N15" s="4" t="n">
        <f aca="false">ROUND(E15*F15,2)</f>
        <v>604.47</v>
      </c>
      <c r="O15" s="2" t="str">
        <f aca="false">IF(COUNTIF($A$2:$A$1201,A15)&gt;1,"DUPLICATE","Unique")</f>
        <v>Unique</v>
      </c>
      <c r="P15" s="2" t="str">
        <f aca="false">IF(L15="","MISSING","OK")</f>
        <v>OK</v>
      </c>
      <c r="Q15" s="2" t="str">
        <f aca="false">IF(ISNUMBER(B15),"OK","BAD DATE")</f>
        <v>OK</v>
      </c>
      <c r="R15" s="2" t="str">
        <f aca="false">IF(ROUND(F15,2)=F15,"OK","FIX")</f>
        <v>OK</v>
      </c>
    </row>
    <row r="16" customFormat="false" ht="15" hidden="false" customHeight="false" outlineLevel="0" collapsed="false">
      <c r="A16" s="2" t="str">
        <f aca="false">TRIM(UPPER(Raw_Data!A16))</f>
        <v>ORD200014</v>
      </c>
      <c r="B16" s="3" t="n">
        <f aca="false">IF(ISNUMBER(Raw_Data!B16),Raw_Data!B16,DATEVALUE(Raw_Data!B16))</f>
        <v>45012</v>
      </c>
      <c r="C16" s="2" t="str">
        <f aca="false">TRIM(UPPER(Raw_Data!C16))</f>
        <v>C98474</v>
      </c>
      <c r="D16" s="2" t="str">
        <f aca="false">PROPER(TRIM(Raw_Data!D16))</f>
        <v>Tablet</v>
      </c>
      <c r="E16" s="2" t="n">
        <f aca="false">Raw_Data!E16</f>
        <v>2</v>
      </c>
      <c r="F16" s="4" t="n">
        <f aca="false">ROUND(Raw_Data!F16,2)</f>
        <v>393.33</v>
      </c>
      <c r="G16" s="2" t="str">
        <f aca="false">PROPER(TRIM(Raw_Data!G16))</f>
        <v>980 Main St</v>
      </c>
      <c r="H16" s="2" t="str">
        <f aca="false">PROPER(TRIM(Raw_Data!H16))</f>
        <v>Debit Card</v>
      </c>
      <c r="I16" s="2" t="str">
        <f aca="false">PROPER(TRIM(Raw_Data!I16))</f>
        <v>Pending</v>
      </c>
      <c r="J16" s="2" t="str">
        <f aca="false">TRIM(UPPER(Raw_Data!J16))</f>
        <v>TRK79186539</v>
      </c>
      <c r="K16" s="2" t="n">
        <f aca="false">Raw_Data!K16</f>
        <v>3</v>
      </c>
      <c r="L16" s="2" t="str">
        <f aca="false">IF(TRIM(Raw_Data!L16)="","No Coupon",TRIM(UPPER(Raw_Data!L16)))</f>
        <v>SAVE10</v>
      </c>
      <c r="M16" s="2" t="str">
        <f aca="false">PROPER(TRIM(Raw_Data!M16))</f>
        <v>Instagram</v>
      </c>
      <c r="N16" s="4" t="n">
        <f aca="false">ROUND(E16*F16,2)</f>
        <v>786.66</v>
      </c>
      <c r="O16" s="2" t="str">
        <f aca="false">IF(COUNTIF($A$2:$A$1201,A16)&gt;1,"DUPLICATE","Unique")</f>
        <v>Unique</v>
      </c>
      <c r="P16" s="2" t="str">
        <f aca="false">IF(L16="","MISSING","OK")</f>
        <v>OK</v>
      </c>
      <c r="Q16" s="2" t="str">
        <f aca="false">IF(ISNUMBER(B16),"OK","BAD DATE")</f>
        <v>OK</v>
      </c>
      <c r="R16" s="2" t="str">
        <f aca="false">IF(ROUND(F16,2)=F16,"OK","FIX")</f>
        <v>OK</v>
      </c>
    </row>
    <row r="17" customFormat="false" ht="15" hidden="false" customHeight="false" outlineLevel="0" collapsed="false">
      <c r="A17" s="2" t="str">
        <f aca="false">TRIM(UPPER(Raw_Data!A17))</f>
        <v>ORD200015</v>
      </c>
      <c r="B17" s="3" t="n">
        <f aca="false">IF(ISNUMBER(Raw_Data!B17),Raw_Data!B17,DATEVALUE(Raw_Data!B17))</f>
        <v>45124</v>
      </c>
      <c r="C17" s="2" t="str">
        <f aca="false">TRIM(UPPER(Raw_Data!C17))</f>
        <v>C39416</v>
      </c>
      <c r="D17" s="2" t="str">
        <f aca="false">PROPER(TRIM(Raw_Data!D17))</f>
        <v>Printer</v>
      </c>
      <c r="E17" s="2" t="n">
        <f aca="false">Raw_Data!E17</f>
        <v>1</v>
      </c>
      <c r="F17" s="4" t="n">
        <f aca="false">ROUND(Raw_Data!F17,2)</f>
        <v>473.96</v>
      </c>
      <c r="G17" s="2" t="str">
        <f aca="false">PROPER(TRIM(Raw_Data!G17))</f>
        <v>942 Main St</v>
      </c>
      <c r="H17" s="2" t="str">
        <f aca="false">PROPER(TRIM(Raw_Data!H17))</f>
        <v>Cash</v>
      </c>
      <c r="I17" s="2" t="str">
        <f aca="false">PROPER(TRIM(Raw_Data!I17))</f>
        <v>Delivered</v>
      </c>
      <c r="J17" s="2" t="str">
        <f aca="false">TRIM(UPPER(Raw_Data!J17))</f>
        <v>TRK54930938</v>
      </c>
      <c r="K17" s="2" t="n">
        <f aca="false">Raw_Data!K17</f>
        <v>3</v>
      </c>
      <c r="L17" s="2" t="str">
        <f aca="false">IF(TRIM(Raw_Data!L17)="","No Coupon",TRIM(UPPER(Raw_Data!L17)))</f>
        <v>No Coupon</v>
      </c>
      <c r="M17" s="2" t="str">
        <f aca="false">PROPER(TRIM(Raw_Data!M17))</f>
        <v>Google</v>
      </c>
      <c r="N17" s="4" t="n">
        <f aca="false">ROUND(E17*F17,2)</f>
        <v>473.96</v>
      </c>
      <c r="O17" s="2" t="str">
        <f aca="false">IF(COUNTIF($A$2:$A$1201,A17)&gt;1,"DUPLICATE","Unique")</f>
        <v>Unique</v>
      </c>
      <c r="P17" s="2" t="str">
        <f aca="false">IF(L17="","MISSING","OK")</f>
        <v>OK</v>
      </c>
      <c r="Q17" s="2" t="str">
        <f aca="false">IF(ISNUMBER(B17),"OK","BAD DATE")</f>
        <v>OK</v>
      </c>
      <c r="R17" s="2" t="str">
        <f aca="false">IF(ROUND(F17,2)=F17,"OK","FIX")</f>
        <v>OK</v>
      </c>
    </row>
    <row r="18" customFormat="false" ht="15" hidden="false" customHeight="false" outlineLevel="0" collapsed="false">
      <c r="A18" s="2" t="str">
        <f aca="false">TRIM(UPPER(Raw_Data!A18))</f>
        <v>ORD200016</v>
      </c>
      <c r="B18" s="3" t="n">
        <f aca="false">IF(ISNUMBER(Raw_Data!B18),Raw_Data!B18,DATEVALUE(Raw_Data!B18))</f>
        <v>44950</v>
      </c>
      <c r="C18" s="2" t="str">
        <f aca="false">TRIM(UPPER(Raw_Data!C18))</f>
        <v>C28976</v>
      </c>
      <c r="D18" s="2" t="str">
        <f aca="false">PROPER(TRIM(Raw_Data!D18))</f>
        <v>Printer</v>
      </c>
      <c r="E18" s="2" t="n">
        <f aca="false">Raw_Data!E18</f>
        <v>2</v>
      </c>
      <c r="F18" s="4" t="n">
        <f aca="false">ROUND(Raw_Data!F18,2)</f>
        <v>533.81</v>
      </c>
      <c r="G18" s="2" t="str">
        <f aca="false">PROPER(TRIM(Raw_Data!G18))</f>
        <v>914 Main St</v>
      </c>
      <c r="H18" s="2" t="str">
        <f aca="false">PROPER(TRIM(Raw_Data!H18))</f>
        <v>Credit Card</v>
      </c>
      <c r="I18" s="2" t="str">
        <f aca="false">PROPER(TRIM(Raw_Data!I18))</f>
        <v>Pending</v>
      </c>
      <c r="J18" s="2" t="str">
        <f aca="false">TRIM(UPPER(Raw_Data!J18))</f>
        <v>TRK13194259</v>
      </c>
      <c r="K18" s="2" t="n">
        <f aca="false">Raw_Data!K18</f>
        <v>3</v>
      </c>
      <c r="L18" s="2" t="str">
        <f aca="false">IF(TRIM(Raw_Data!L18)="","No Coupon",TRIM(UPPER(Raw_Data!L18)))</f>
        <v>FREESHIP</v>
      </c>
      <c r="M18" s="2" t="str">
        <f aca="false">PROPER(TRIM(Raw_Data!M18))</f>
        <v>Email</v>
      </c>
      <c r="N18" s="4" t="n">
        <f aca="false">ROUND(E18*F18,2)</f>
        <v>1067.62</v>
      </c>
      <c r="O18" s="2" t="str">
        <f aca="false">IF(COUNTIF($A$2:$A$1201,A18)&gt;1,"DUPLICATE","Unique")</f>
        <v>Unique</v>
      </c>
      <c r="P18" s="2" t="str">
        <f aca="false">IF(L18="","MISSING","OK")</f>
        <v>OK</v>
      </c>
      <c r="Q18" s="2" t="str">
        <f aca="false">IF(ISNUMBER(B18),"OK","BAD DATE")</f>
        <v>OK</v>
      </c>
      <c r="R18" s="2" t="str">
        <f aca="false">IF(ROUND(F18,2)=F18,"OK","FIX")</f>
        <v>OK</v>
      </c>
    </row>
    <row r="19" customFormat="false" ht="15" hidden="false" customHeight="false" outlineLevel="0" collapsed="false">
      <c r="A19" s="2" t="str">
        <f aca="false">TRIM(UPPER(Raw_Data!A19))</f>
        <v>ORD200017</v>
      </c>
      <c r="B19" s="3" t="n">
        <f aca="false">IF(ISNUMBER(Raw_Data!B19),Raw_Data!B19,DATEVALUE(Raw_Data!B19))</f>
        <v>45353</v>
      </c>
      <c r="C19" s="2" t="str">
        <f aca="false">TRIM(UPPER(Raw_Data!C19))</f>
        <v>C60672</v>
      </c>
      <c r="D19" s="2" t="str">
        <f aca="false">PROPER(TRIM(Raw_Data!D19))</f>
        <v>Tablet</v>
      </c>
      <c r="E19" s="2" t="n">
        <f aca="false">Raw_Data!E19</f>
        <v>1</v>
      </c>
      <c r="F19" s="4" t="n">
        <f aca="false">ROUND(Raw_Data!F19,2)</f>
        <v>423.4</v>
      </c>
      <c r="G19" s="2" t="str">
        <f aca="false">PROPER(TRIM(Raw_Data!G19))</f>
        <v>382 Main St</v>
      </c>
      <c r="H19" s="2" t="str">
        <f aca="false">PROPER(TRIM(Raw_Data!H19))</f>
        <v>Debit Card</v>
      </c>
      <c r="I19" s="2" t="str">
        <f aca="false">PROPER(TRIM(Raw_Data!I19))</f>
        <v>Shipped</v>
      </c>
      <c r="J19" s="2" t="str">
        <f aca="false">TRIM(UPPER(Raw_Data!J19))</f>
        <v>TRK11972116</v>
      </c>
      <c r="K19" s="2" t="n">
        <f aca="false">Raw_Data!K19</f>
        <v>3</v>
      </c>
      <c r="L19" s="2" t="str">
        <f aca="false">IF(TRIM(Raw_Data!L19)="","No Coupon",TRIM(UPPER(Raw_Data!L19)))</f>
        <v>No Coupon</v>
      </c>
      <c r="M19" s="2" t="str">
        <f aca="false">PROPER(TRIM(Raw_Data!M19))</f>
        <v>Referral</v>
      </c>
      <c r="N19" s="4" t="n">
        <f aca="false">ROUND(E19*F19,2)</f>
        <v>423.4</v>
      </c>
      <c r="O19" s="2" t="str">
        <f aca="false">IF(COUNTIF($A$2:$A$1201,A19)&gt;1,"DUPLICATE","Unique")</f>
        <v>Unique</v>
      </c>
      <c r="P19" s="2" t="str">
        <f aca="false">IF(L19="","MISSING","OK")</f>
        <v>OK</v>
      </c>
      <c r="Q19" s="2" t="str">
        <f aca="false">IF(ISNUMBER(B19),"OK","BAD DATE")</f>
        <v>OK</v>
      </c>
      <c r="R19" s="2" t="str">
        <f aca="false">IF(ROUND(F19,2)=F19,"OK","FIX")</f>
        <v>OK</v>
      </c>
    </row>
    <row r="20" customFormat="false" ht="15" hidden="false" customHeight="false" outlineLevel="0" collapsed="false">
      <c r="A20" s="2" t="str">
        <f aca="false">TRIM(UPPER(Raw_Data!A20))</f>
        <v>ORD200018</v>
      </c>
      <c r="B20" s="3" t="n">
        <f aca="false">IF(ISNUMBER(Raw_Data!B20),Raw_Data!B20,DATEVALUE(Raw_Data!B20))</f>
        <v>45742</v>
      </c>
      <c r="C20" s="2" t="str">
        <f aca="false">TRIM(UPPER(Raw_Data!C20))</f>
        <v>C84329</v>
      </c>
      <c r="D20" s="2" t="str">
        <f aca="false">PROPER(TRIM(Raw_Data!D20))</f>
        <v>Desk</v>
      </c>
      <c r="E20" s="2" t="n">
        <f aca="false">Raw_Data!E20</f>
        <v>1</v>
      </c>
      <c r="F20" s="4" t="n">
        <f aca="false">ROUND(Raw_Data!F20,2)</f>
        <v>431.44</v>
      </c>
      <c r="G20" s="2" t="str">
        <f aca="false">PROPER(TRIM(Raw_Data!G20))</f>
        <v>891 Main St</v>
      </c>
      <c r="H20" s="2" t="str">
        <f aca="false">PROPER(TRIM(Raw_Data!H20))</f>
        <v>Gift Card</v>
      </c>
      <c r="I20" s="2" t="str">
        <f aca="false">PROPER(TRIM(Raw_Data!I20))</f>
        <v>Pending</v>
      </c>
      <c r="J20" s="2" t="str">
        <f aca="false">TRIM(UPPER(Raw_Data!J20))</f>
        <v>TRK65191045</v>
      </c>
      <c r="K20" s="2" t="n">
        <f aca="false">Raw_Data!K20</f>
        <v>3</v>
      </c>
      <c r="L20" s="2" t="str">
        <f aca="false">IF(TRIM(Raw_Data!L20)="","No Coupon",TRIM(UPPER(Raw_Data!L20)))</f>
        <v>SAVE10</v>
      </c>
      <c r="M20" s="2" t="str">
        <f aca="false">PROPER(TRIM(Raw_Data!M20))</f>
        <v>Facebook</v>
      </c>
      <c r="N20" s="4" t="n">
        <f aca="false">ROUND(E20*F20,2)</f>
        <v>431.44</v>
      </c>
      <c r="O20" s="2" t="str">
        <f aca="false">IF(COUNTIF($A$2:$A$1201,A20)&gt;1,"DUPLICATE","Unique")</f>
        <v>Unique</v>
      </c>
      <c r="P20" s="2" t="str">
        <f aca="false">IF(L20="","MISSING","OK")</f>
        <v>OK</v>
      </c>
      <c r="Q20" s="2" t="str">
        <f aca="false">IF(ISNUMBER(B20),"OK","BAD DATE")</f>
        <v>OK</v>
      </c>
      <c r="R20" s="2" t="str">
        <f aca="false">IF(ROUND(F20,2)=F20,"OK","FIX")</f>
        <v>OK</v>
      </c>
    </row>
    <row r="21" customFormat="false" ht="15" hidden="false" customHeight="false" outlineLevel="0" collapsed="false">
      <c r="A21" s="2" t="str">
        <f aca="false">TRIM(UPPER(Raw_Data!A21))</f>
        <v>ORD200019</v>
      </c>
      <c r="B21" s="3" t="n">
        <f aca="false">IF(ISNUMBER(Raw_Data!B21),Raw_Data!B21,DATEVALUE(Raw_Data!B21))</f>
        <v>44949</v>
      </c>
      <c r="C21" s="2" t="str">
        <f aca="false">TRIM(UPPER(Raw_Data!C21))</f>
        <v>C14552</v>
      </c>
      <c r="D21" s="2" t="str">
        <f aca="false">PROPER(TRIM(Raw_Data!D21))</f>
        <v>Monitor</v>
      </c>
      <c r="E21" s="2" t="n">
        <f aca="false">Raw_Data!E21</f>
        <v>5</v>
      </c>
      <c r="F21" s="4" t="n">
        <f aca="false">ROUND(Raw_Data!F21,2)</f>
        <v>224</v>
      </c>
      <c r="G21" s="2" t="str">
        <f aca="false">PROPER(TRIM(Raw_Data!G21))</f>
        <v>273 Main St</v>
      </c>
      <c r="H21" s="2" t="str">
        <f aca="false">PROPER(TRIM(Raw_Data!H21))</f>
        <v>Cash</v>
      </c>
      <c r="I21" s="2" t="str">
        <f aca="false">PROPER(TRIM(Raw_Data!I21))</f>
        <v>Returned</v>
      </c>
      <c r="J21" s="2" t="str">
        <f aca="false">TRIM(UPPER(Raw_Data!J21))</f>
        <v>TRK59101365</v>
      </c>
      <c r="K21" s="2" t="n">
        <f aca="false">Raw_Data!K21</f>
        <v>9</v>
      </c>
      <c r="L21" s="2" t="str">
        <f aca="false">IF(TRIM(Raw_Data!L21)="","No Coupon",TRIM(UPPER(Raw_Data!L21)))</f>
        <v>SAVE10</v>
      </c>
      <c r="M21" s="2" t="str">
        <f aca="false">PROPER(TRIM(Raw_Data!M21))</f>
        <v>Google</v>
      </c>
      <c r="N21" s="4" t="n">
        <f aca="false">ROUND(E21*F21,2)</f>
        <v>1120</v>
      </c>
      <c r="O21" s="2" t="str">
        <f aca="false">IF(COUNTIF($A$2:$A$1201,A21)&gt;1,"DUPLICATE","Unique")</f>
        <v>Unique</v>
      </c>
      <c r="P21" s="2" t="str">
        <f aca="false">IF(L21="","MISSING","OK")</f>
        <v>OK</v>
      </c>
      <c r="Q21" s="2" t="str">
        <f aca="false">IF(ISNUMBER(B21),"OK","BAD DATE")</f>
        <v>OK</v>
      </c>
      <c r="R21" s="2" t="str">
        <f aca="false">IF(ROUND(F21,2)=F21,"OK","FIX")</f>
        <v>OK</v>
      </c>
    </row>
    <row r="22" customFormat="false" ht="15" hidden="false" customHeight="false" outlineLevel="0" collapsed="false">
      <c r="A22" s="2" t="str">
        <f aca="false">TRIM(UPPER(Raw_Data!A22))</f>
        <v>ORD200020</v>
      </c>
      <c r="B22" s="3" t="n">
        <f aca="false">IF(ISNUMBER(Raw_Data!B22),Raw_Data!B22,DATEVALUE(Raw_Data!B22))</f>
        <v>45054</v>
      </c>
      <c r="C22" s="2" t="str">
        <f aca="false">TRIM(UPPER(Raw_Data!C22))</f>
        <v>C54829</v>
      </c>
      <c r="D22" s="2" t="str">
        <f aca="false">PROPER(TRIM(Raw_Data!D22))</f>
        <v>Chair</v>
      </c>
      <c r="E22" s="2" t="n">
        <f aca="false">Raw_Data!E22</f>
        <v>5</v>
      </c>
      <c r="F22" s="4" t="n">
        <f aca="false">ROUND(Raw_Data!F22,2)</f>
        <v>62.51</v>
      </c>
      <c r="G22" s="2" t="str">
        <f aca="false">PROPER(TRIM(Raw_Data!G22))</f>
        <v>587 Main St</v>
      </c>
      <c r="H22" s="2" t="str">
        <f aca="false">PROPER(TRIM(Raw_Data!H22))</f>
        <v>Cash</v>
      </c>
      <c r="I22" s="2" t="str">
        <f aca="false">PROPER(TRIM(Raw_Data!I22))</f>
        <v>Pending</v>
      </c>
      <c r="J22" s="2" t="str">
        <f aca="false">TRIM(UPPER(Raw_Data!J22))</f>
        <v>TRK16718651</v>
      </c>
      <c r="K22" s="2" t="n">
        <f aca="false">Raw_Data!K22</f>
        <v>9</v>
      </c>
      <c r="L22" s="2" t="str">
        <f aca="false">IF(TRIM(Raw_Data!L22)="","No Coupon",TRIM(UPPER(Raw_Data!L22)))</f>
        <v>WINTER15</v>
      </c>
      <c r="M22" s="2" t="str">
        <f aca="false">PROPER(TRIM(Raw_Data!M22))</f>
        <v>Instagram</v>
      </c>
      <c r="N22" s="4" t="n">
        <f aca="false">ROUND(E22*F22,2)</f>
        <v>312.55</v>
      </c>
      <c r="O22" s="2" t="str">
        <f aca="false">IF(COUNTIF($A$2:$A$1201,A22)&gt;1,"DUPLICATE","Unique")</f>
        <v>Unique</v>
      </c>
      <c r="P22" s="2" t="str">
        <f aca="false">IF(L22="","MISSING","OK")</f>
        <v>OK</v>
      </c>
      <c r="Q22" s="2" t="str">
        <f aca="false">IF(ISNUMBER(B22),"OK","BAD DATE")</f>
        <v>OK</v>
      </c>
      <c r="R22" s="2" t="str">
        <f aca="false">IF(ROUND(F22,2)=F22,"OK","FIX")</f>
        <v>OK</v>
      </c>
    </row>
    <row r="23" customFormat="false" ht="15" hidden="false" customHeight="false" outlineLevel="0" collapsed="false">
      <c r="A23" s="2" t="str">
        <f aca="false">TRIM(UPPER(Raw_Data!A23))</f>
        <v>ORD200021</v>
      </c>
      <c r="B23" s="3" t="n">
        <f aca="false">IF(ISNUMBER(Raw_Data!B23),Raw_Data!B23,DATEVALUE(Raw_Data!B23))</f>
        <v>45613</v>
      </c>
      <c r="C23" s="2" t="str">
        <f aca="false">TRIM(UPPER(Raw_Data!C23))</f>
        <v>C99023</v>
      </c>
      <c r="D23" s="2" t="str">
        <f aca="false">PROPER(TRIM(Raw_Data!D23))</f>
        <v>Monitor</v>
      </c>
      <c r="E23" s="2" t="n">
        <f aca="false">Raw_Data!E23</f>
        <v>4</v>
      </c>
      <c r="F23" s="4" t="n">
        <f aca="false">ROUND(Raw_Data!F23,2)</f>
        <v>342.95</v>
      </c>
      <c r="G23" s="2" t="str">
        <f aca="false">PROPER(TRIM(Raw_Data!G23))</f>
        <v>569 Main St</v>
      </c>
      <c r="H23" s="2" t="str">
        <f aca="false">PROPER(TRIM(Raw_Data!H23))</f>
        <v>Cash</v>
      </c>
      <c r="I23" s="2" t="str">
        <f aca="false">PROPER(TRIM(Raw_Data!I23))</f>
        <v>Delivered</v>
      </c>
      <c r="J23" s="2" t="str">
        <f aca="false">TRIM(UPPER(Raw_Data!J23))</f>
        <v>TRK52646983</v>
      </c>
      <c r="K23" s="2" t="n">
        <f aca="false">Raw_Data!K23</f>
        <v>6</v>
      </c>
      <c r="L23" s="2" t="str">
        <f aca="false">IF(TRIM(Raw_Data!L23)="","No Coupon",TRIM(UPPER(Raw_Data!L23)))</f>
        <v>No Coupon</v>
      </c>
      <c r="M23" s="2" t="str">
        <f aca="false">PROPER(TRIM(Raw_Data!M23))</f>
        <v>Google</v>
      </c>
      <c r="N23" s="4" t="n">
        <f aca="false">ROUND(E23*F23,2)</f>
        <v>1371.8</v>
      </c>
      <c r="O23" s="2" t="str">
        <f aca="false">IF(COUNTIF($A$2:$A$1201,A23)&gt;1,"DUPLICATE","Unique")</f>
        <v>Unique</v>
      </c>
      <c r="P23" s="2" t="str">
        <f aca="false">IF(L23="","MISSING","OK")</f>
        <v>OK</v>
      </c>
      <c r="Q23" s="2" t="str">
        <f aca="false">IF(ISNUMBER(B23),"OK","BAD DATE")</f>
        <v>OK</v>
      </c>
      <c r="R23" s="2" t="str">
        <f aca="false">IF(ROUND(F23,2)=F23,"OK","FIX")</f>
        <v>OK</v>
      </c>
    </row>
    <row r="24" customFormat="false" ht="15" hidden="false" customHeight="false" outlineLevel="0" collapsed="false">
      <c r="A24" s="2" t="str">
        <f aca="false">TRIM(UPPER(Raw_Data!A24))</f>
        <v>ORD200022</v>
      </c>
      <c r="B24" s="3" t="n">
        <f aca="false">IF(ISNUMBER(Raw_Data!B24),Raw_Data!B24,DATEVALUE(Raw_Data!B24))</f>
        <v>44955</v>
      </c>
      <c r="C24" s="2" t="str">
        <f aca="false">TRIM(UPPER(Raw_Data!C24))</f>
        <v>C34416</v>
      </c>
      <c r="D24" s="2" t="str">
        <f aca="false">PROPER(TRIM(Raw_Data!D24))</f>
        <v>Monitor</v>
      </c>
      <c r="E24" s="2" t="n">
        <f aca="false">Raw_Data!E24</f>
        <v>2</v>
      </c>
      <c r="F24" s="4" t="n">
        <f aca="false">ROUND(Raw_Data!F24,2)</f>
        <v>49.62</v>
      </c>
      <c r="G24" s="2" t="str">
        <f aca="false">PROPER(TRIM(Raw_Data!G24))</f>
        <v>633 Main St</v>
      </c>
      <c r="H24" s="2" t="str">
        <f aca="false">PROPER(TRIM(Raw_Data!H24))</f>
        <v>Online</v>
      </c>
      <c r="I24" s="2" t="str">
        <f aca="false">PROPER(TRIM(Raw_Data!I24))</f>
        <v>Pending</v>
      </c>
      <c r="J24" s="2" t="str">
        <f aca="false">TRIM(UPPER(Raw_Data!J24))</f>
        <v>TRK75937350</v>
      </c>
      <c r="K24" s="2" t="n">
        <f aca="false">Raw_Data!K24</f>
        <v>2</v>
      </c>
      <c r="L24" s="2" t="str">
        <f aca="false">IF(TRIM(Raw_Data!L24)="","No Coupon",TRIM(UPPER(Raw_Data!L24)))</f>
        <v>SAVE10</v>
      </c>
      <c r="M24" s="2" t="str">
        <f aca="false">PROPER(TRIM(Raw_Data!M24))</f>
        <v>Google</v>
      </c>
      <c r="N24" s="4" t="n">
        <f aca="false">ROUND(E24*F24,2)</f>
        <v>99.24</v>
      </c>
      <c r="O24" s="2" t="str">
        <f aca="false">IF(COUNTIF($A$2:$A$1201,A24)&gt;1,"DUPLICATE","Unique")</f>
        <v>Unique</v>
      </c>
      <c r="P24" s="2" t="str">
        <f aca="false">IF(L24="","MISSING","OK")</f>
        <v>OK</v>
      </c>
      <c r="Q24" s="2" t="str">
        <f aca="false">IF(ISNUMBER(B24),"OK","BAD DATE")</f>
        <v>OK</v>
      </c>
      <c r="R24" s="2" t="str">
        <f aca="false">IF(ROUND(F24,2)=F24,"OK","FIX")</f>
        <v>OK</v>
      </c>
    </row>
    <row r="25" customFormat="false" ht="15" hidden="false" customHeight="false" outlineLevel="0" collapsed="false">
      <c r="A25" s="2" t="str">
        <f aca="false">TRIM(UPPER(Raw_Data!A25))</f>
        <v>ORD200023</v>
      </c>
      <c r="B25" s="3" t="n">
        <f aca="false">IF(ISNUMBER(Raw_Data!B25),Raw_Data!B25,DATEVALUE(Raw_Data!B25))</f>
        <v>45756</v>
      </c>
      <c r="C25" s="2" t="str">
        <f aca="false">TRIM(UPPER(Raw_Data!C25))</f>
        <v>C42372</v>
      </c>
      <c r="D25" s="2" t="str">
        <f aca="false">PROPER(TRIM(Raw_Data!D25))</f>
        <v>Phone</v>
      </c>
      <c r="E25" s="2" t="n">
        <f aca="false">Raw_Data!E25</f>
        <v>4</v>
      </c>
      <c r="F25" s="4" t="n">
        <f aca="false">ROUND(Raw_Data!F25,2)</f>
        <v>273.25</v>
      </c>
      <c r="G25" s="2" t="str">
        <f aca="false">PROPER(TRIM(Raw_Data!G25))</f>
        <v>755 Main St</v>
      </c>
      <c r="H25" s="2" t="str">
        <f aca="false">PROPER(TRIM(Raw_Data!H25))</f>
        <v>Debit Card</v>
      </c>
      <c r="I25" s="2" t="str">
        <f aca="false">PROPER(TRIM(Raw_Data!I25))</f>
        <v>Cancelled</v>
      </c>
      <c r="J25" s="2" t="str">
        <f aca="false">TRIM(UPPER(Raw_Data!J25))</f>
        <v>TRK36168083</v>
      </c>
      <c r="K25" s="2" t="n">
        <f aca="false">Raw_Data!K25</f>
        <v>5</v>
      </c>
      <c r="L25" s="2" t="str">
        <f aca="false">IF(TRIM(Raw_Data!L25)="","No Coupon",TRIM(UPPER(Raw_Data!L25)))</f>
        <v>FREESHIP</v>
      </c>
      <c r="M25" s="2" t="str">
        <f aca="false">PROPER(TRIM(Raw_Data!M25))</f>
        <v>Referral</v>
      </c>
      <c r="N25" s="4" t="n">
        <f aca="false">ROUND(E25*F25,2)</f>
        <v>1093</v>
      </c>
      <c r="O25" s="2" t="str">
        <f aca="false">IF(COUNTIF($A$2:$A$1201,A25)&gt;1,"DUPLICATE","Unique")</f>
        <v>Unique</v>
      </c>
      <c r="P25" s="2" t="str">
        <f aca="false">IF(L25="","MISSING","OK")</f>
        <v>OK</v>
      </c>
      <c r="Q25" s="2" t="str">
        <f aca="false">IF(ISNUMBER(B25),"OK","BAD DATE")</f>
        <v>OK</v>
      </c>
      <c r="R25" s="2" t="str">
        <f aca="false">IF(ROUND(F25,2)=F25,"OK","FIX")</f>
        <v>OK</v>
      </c>
    </row>
    <row r="26" customFormat="false" ht="15" hidden="false" customHeight="false" outlineLevel="0" collapsed="false">
      <c r="A26" s="2" t="str">
        <f aca="false">TRIM(UPPER(Raw_Data!A26))</f>
        <v>ORD200024</v>
      </c>
      <c r="B26" s="3" t="n">
        <f aca="false">IF(ISNUMBER(Raw_Data!B26),Raw_Data!B26,DATEVALUE(Raw_Data!B26))</f>
        <v>45595</v>
      </c>
      <c r="C26" s="2" t="str">
        <f aca="false">TRIM(UPPER(Raw_Data!C26))</f>
        <v>C17470</v>
      </c>
      <c r="D26" s="2" t="str">
        <f aca="false">PROPER(TRIM(Raw_Data!D26))</f>
        <v>Laptop</v>
      </c>
      <c r="E26" s="2" t="n">
        <f aca="false">Raw_Data!E26</f>
        <v>2</v>
      </c>
      <c r="F26" s="4" t="n">
        <f aca="false">ROUND(Raw_Data!F26,2)</f>
        <v>230.95</v>
      </c>
      <c r="G26" s="2" t="str">
        <f aca="false">PROPER(TRIM(Raw_Data!G26))</f>
        <v>956 Main St</v>
      </c>
      <c r="H26" s="2" t="str">
        <f aca="false">PROPER(TRIM(Raw_Data!H26))</f>
        <v>Online</v>
      </c>
      <c r="I26" s="2" t="str">
        <f aca="false">PROPER(TRIM(Raw_Data!I26))</f>
        <v>Delivered</v>
      </c>
      <c r="J26" s="2" t="str">
        <f aca="false">TRIM(UPPER(Raw_Data!J26))</f>
        <v>TRK28775057</v>
      </c>
      <c r="K26" s="2" t="n">
        <f aca="false">Raw_Data!K26</f>
        <v>3</v>
      </c>
      <c r="L26" s="2" t="str">
        <f aca="false">IF(TRIM(Raw_Data!L26)="","No Coupon",TRIM(UPPER(Raw_Data!L26)))</f>
        <v>WINTER15</v>
      </c>
      <c r="M26" s="2" t="str">
        <f aca="false">PROPER(TRIM(Raw_Data!M26))</f>
        <v>Referral</v>
      </c>
      <c r="N26" s="4" t="n">
        <f aca="false">ROUND(E26*F26,2)</f>
        <v>461.9</v>
      </c>
      <c r="O26" s="2" t="str">
        <f aca="false">IF(COUNTIF($A$2:$A$1201,A26)&gt;1,"DUPLICATE","Unique")</f>
        <v>Unique</v>
      </c>
      <c r="P26" s="2" t="str">
        <f aca="false">IF(L26="","MISSING","OK")</f>
        <v>OK</v>
      </c>
      <c r="Q26" s="2" t="str">
        <f aca="false">IF(ISNUMBER(B26),"OK","BAD DATE")</f>
        <v>OK</v>
      </c>
      <c r="R26" s="2" t="str">
        <f aca="false">IF(ROUND(F26,2)=F26,"OK","FIX")</f>
        <v>OK</v>
      </c>
    </row>
    <row r="27" customFormat="false" ht="15" hidden="false" customHeight="false" outlineLevel="0" collapsed="false">
      <c r="A27" s="2" t="str">
        <f aca="false">TRIM(UPPER(Raw_Data!A27))</f>
        <v>ORD200025</v>
      </c>
      <c r="B27" s="3" t="n">
        <f aca="false">IF(ISNUMBER(Raw_Data!B27),Raw_Data!B27,DATEVALUE(Raw_Data!B27))</f>
        <v>45497</v>
      </c>
      <c r="C27" s="2" t="str">
        <f aca="false">TRIM(UPPER(Raw_Data!C27))</f>
        <v>C42577</v>
      </c>
      <c r="D27" s="2" t="str">
        <f aca="false">PROPER(TRIM(Raw_Data!D27))</f>
        <v>Monitor</v>
      </c>
      <c r="E27" s="2" t="n">
        <f aca="false">Raw_Data!E27</f>
        <v>1</v>
      </c>
      <c r="F27" s="4" t="n">
        <f aca="false">ROUND(Raw_Data!F27,2)</f>
        <v>399.98</v>
      </c>
      <c r="G27" s="2" t="str">
        <f aca="false">PROPER(TRIM(Raw_Data!G27))</f>
        <v>709 Main St</v>
      </c>
      <c r="H27" s="2" t="str">
        <f aca="false">PROPER(TRIM(Raw_Data!H27))</f>
        <v>Debit Card</v>
      </c>
      <c r="I27" s="2" t="str">
        <f aca="false">PROPER(TRIM(Raw_Data!I27))</f>
        <v>Delivered</v>
      </c>
      <c r="J27" s="2" t="str">
        <f aca="false">TRIM(UPPER(Raw_Data!J27))</f>
        <v>TRK69423327</v>
      </c>
      <c r="K27" s="2" t="n">
        <f aca="false">Raw_Data!K27</f>
        <v>3</v>
      </c>
      <c r="L27" s="2" t="str">
        <f aca="false">IF(TRIM(Raw_Data!L27)="","No Coupon",TRIM(UPPER(Raw_Data!L27)))</f>
        <v>WINTER15</v>
      </c>
      <c r="M27" s="2" t="str">
        <f aca="false">PROPER(TRIM(Raw_Data!M27))</f>
        <v>Email</v>
      </c>
      <c r="N27" s="4" t="n">
        <f aca="false">ROUND(E27*F27,2)</f>
        <v>399.98</v>
      </c>
      <c r="O27" s="2" t="str">
        <f aca="false">IF(COUNTIF($A$2:$A$1201,A27)&gt;1,"DUPLICATE","Unique")</f>
        <v>Unique</v>
      </c>
      <c r="P27" s="2" t="str">
        <f aca="false">IF(L27="","MISSING","OK")</f>
        <v>OK</v>
      </c>
      <c r="Q27" s="2" t="str">
        <f aca="false">IF(ISNUMBER(B27),"OK","BAD DATE")</f>
        <v>OK</v>
      </c>
      <c r="R27" s="2" t="str">
        <f aca="false">IF(ROUND(F27,2)=F27,"OK","FIX")</f>
        <v>OK</v>
      </c>
    </row>
    <row r="28" customFormat="false" ht="15" hidden="false" customHeight="false" outlineLevel="0" collapsed="false">
      <c r="A28" s="2" t="str">
        <f aca="false">TRIM(UPPER(Raw_Data!A28))</f>
        <v>ORD200026</v>
      </c>
      <c r="B28" s="3" t="n">
        <f aca="false">IF(ISNUMBER(Raw_Data!B28),Raw_Data!B28,DATEVALUE(Raw_Data!B28))</f>
        <v>45357</v>
      </c>
      <c r="C28" s="2" t="str">
        <f aca="false">TRIM(UPPER(Raw_Data!C28))</f>
        <v>C21944</v>
      </c>
      <c r="D28" s="2" t="str">
        <f aca="false">PROPER(TRIM(Raw_Data!D28))</f>
        <v>Laptop</v>
      </c>
      <c r="E28" s="2" t="n">
        <f aca="false">Raw_Data!E28</f>
        <v>5</v>
      </c>
      <c r="F28" s="4" t="n">
        <f aca="false">ROUND(Raw_Data!F28,2)</f>
        <v>59.55</v>
      </c>
      <c r="G28" s="2" t="str">
        <f aca="false">PROPER(TRIM(Raw_Data!G28))</f>
        <v>296 Main St</v>
      </c>
      <c r="H28" s="2" t="str">
        <f aca="false">PROPER(TRIM(Raw_Data!H28))</f>
        <v>Online</v>
      </c>
      <c r="I28" s="2" t="str">
        <f aca="false">PROPER(TRIM(Raw_Data!I28))</f>
        <v>Delivered</v>
      </c>
      <c r="J28" s="2" t="str">
        <f aca="false">TRIM(UPPER(Raw_Data!J28))</f>
        <v>TRK80276812</v>
      </c>
      <c r="K28" s="2" t="n">
        <f aca="false">Raw_Data!K28</f>
        <v>6</v>
      </c>
      <c r="L28" s="2" t="str">
        <f aca="false">IF(TRIM(Raw_Data!L28)="","No Coupon",TRIM(UPPER(Raw_Data!L28)))</f>
        <v>No Coupon</v>
      </c>
      <c r="M28" s="2" t="str">
        <f aca="false">PROPER(TRIM(Raw_Data!M28))</f>
        <v>Referral</v>
      </c>
      <c r="N28" s="4" t="n">
        <f aca="false">ROUND(E28*F28,2)</f>
        <v>297.75</v>
      </c>
      <c r="O28" s="2" t="str">
        <f aca="false">IF(COUNTIF($A$2:$A$1201,A28)&gt;1,"DUPLICATE","Unique")</f>
        <v>Unique</v>
      </c>
      <c r="P28" s="2" t="str">
        <f aca="false">IF(L28="","MISSING","OK")</f>
        <v>OK</v>
      </c>
      <c r="Q28" s="2" t="str">
        <f aca="false">IF(ISNUMBER(B28),"OK","BAD DATE")</f>
        <v>OK</v>
      </c>
      <c r="R28" s="2" t="str">
        <f aca="false">IF(ROUND(F28,2)=F28,"OK","FIX")</f>
        <v>OK</v>
      </c>
    </row>
    <row r="29" customFormat="false" ht="15" hidden="false" customHeight="false" outlineLevel="0" collapsed="false">
      <c r="A29" s="2" t="str">
        <f aca="false">TRIM(UPPER(Raw_Data!A29))</f>
        <v>ORD200027</v>
      </c>
      <c r="B29" s="3" t="n">
        <f aca="false">IF(ISNUMBER(Raw_Data!B29),Raw_Data!B29,DATEVALUE(Raw_Data!B29))</f>
        <v>45344</v>
      </c>
      <c r="C29" s="2" t="str">
        <f aca="false">TRIM(UPPER(Raw_Data!C29))</f>
        <v>C97593</v>
      </c>
      <c r="D29" s="2" t="str">
        <f aca="false">PROPER(TRIM(Raw_Data!D29))</f>
        <v>Printer</v>
      </c>
      <c r="E29" s="2" t="n">
        <f aca="false">Raw_Data!E29</f>
        <v>1</v>
      </c>
      <c r="F29" s="4" t="n">
        <f aca="false">ROUND(Raw_Data!F29,2)</f>
        <v>472.74</v>
      </c>
      <c r="G29" s="2" t="str">
        <f aca="false">PROPER(TRIM(Raw_Data!G29))</f>
        <v>881 Main St</v>
      </c>
      <c r="H29" s="2" t="str">
        <f aca="false">PROPER(TRIM(Raw_Data!H29))</f>
        <v>Online</v>
      </c>
      <c r="I29" s="2" t="str">
        <f aca="false">PROPER(TRIM(Raw_Data!I29))</f>
        <v>Shipped</v>
      </c>
      <c r="J29" s="2" t="str">
        <f aca="false">TRIM(UPPER(Raw_Data!J29))</f>
        <v>TRK89117573</v>
      </c>
      <c r="K29" s="2" t="n">
        <f aca="false">Raw_Data!K29</f>
        <v>6</v>
      </c>
      <c r="L29" s="2" t="str">
        <f aca="false">IF(TRIM(Raw_Data!L29)="","No Coupon",TRIM(UPPER(Raw_Data!L29)))</f>
        <v>WINTER15</v>
      </c>
      <c r="M29" s="2" t="str">
        <f aca="false">PROPER(TRIM(Raw_Data!M29))</f>
        <v>Google</v>
      </c>
      <c r="N29" s="4" t="n">
        <f aca="false">ROUND(E29*F29,2)</f>
        <v>472.74</v>
      </c>
      <c r="O29" s="2" t="str">
        <f aca="false">IF(COUNTIF($A$2:$A$1201,A29)&gt;1,"DUPLICATE","Unique")</f>
        <v>Unique</v>
      </c>
      <c r="P29" s="2" t="str">
        <f aca="false">IF(L29="","MISSING","OK")</f>
        <v>OK</v>
      </c>
      <c r="Q29" s="2" t="str">
        <f aca="false">IF(ISNUMBER(B29),"OK","BAD DATE")</f>
        <v>OK</v>
      </c>
      <c r="R29" s="2" t="str">
        <f aca="false">IF(ROUND(F29,2)=F29,"OK","FIX")</f>
        <v>OK</v>
      </c>
    </row>
    <row r="30" customFormat="false" ht="15" hidden="false" customHeight="false" outlineLevel="0" collapsed="false">
      <c r="A30" s="2" t="str">
        <f aca="false">TRIM(UPPER(Raw_Data!A30))</f>
        <v>ORD200028</v>
      </c>
      <c r="B30" s="3" t="n">
        <f aca="false">IF(ISNUMBER(Raw_Data!B30),Raw_Data!B30,DATEVALUE(Raw_Data!B30))</f>
        <v>45251</v>
      </c>
      <c r="C30" s="2" t="str">
        <f aca="false">TRIM(UPPER(Raw_Data!C30))</f>
        <v>C59823</v>
      </c>
      <c r="D30" s="2" t="str">
        <f aca="false">PROPER(TRIM(Raw_Data!D30))</f>
        <v>Phone</v>
      </c>
      <c r="E30" s="2" t="n">
        <f aca="false">Raw_Data!E30</f>
        <v>4</v>
      </c>
      <c r="F30" s="4" t="n">
        <f aca="false">ROUND(Raw_Data!F30,2)</f>
        <v>160.07</v>
      </c>
      <c r="G30" s="2" t="str">
        <f aca="false">PROPER(TRIM(Raw_Data!G30))</f>
        <v>568 Main St</v>
      </c>
      <c r="H30" s="2" t="str">
        <f aca="false">PROPER(TRIM(Raw_Data!H30))</f>
        <v>Online</v>
      </c>
      <c r="I30" s="2" t="str">
        <f aca="false">PROPER(TRIM(Raw_Data!I30))</f>
        <v>Pending</v>
      </c>
      <c r="J30" s="2" t="str">
        <f aca="false">TRIM(UPPER(Raw_Data!J30))</f>
        <v>TRK65895539</v>
      </c>
      <c r="K30" s="2" t="n">
        <f aca="false">Raw_Data!K30</f>
        <v>5</v>
      </c>
      <c r="L30" s="2" t="str">
        <f aca="false">IF(TRIM(Raw_Data!L30)="","No Coupon",TRIM(UPPER(Raw_Data!L30)))</f>
        <v>No Coupon</v>
      </c>
      <c r="M30" s="2" t="str">
        <f aca="false">PROPER(TRIM(Raw_Data!M30))</f>
        <v>Email</v>
      </c>
      <c r="N30" s="4" t="n">
        <f aca="false">ROUND(E30*F30,2)</f>
        <v>640.28</v>
      </c>
      <c r="O30" s="2" t="str">
        <f aca="false">IF(COUNTIF($A$2:$A$1201,A30)&gt;1,"DUPLICATE","Unique")</f>
        <v>Unique</v>
      </c>
      <c r="P30" s="2" t="str">
        <f aca="false">IF(L30="","MISSING","OK")</f>
        <v>OK</v>
      </c>
      <c r="Q30" s="2" t="str">
        <f aca="false">IF(ISNUMBER(B30),"OK","BAD DATE")</f>
        <v>OK</v>
      </c>
      <c r="R30" s="2" t="str">
        <f aca="false">IF(ROUND(F30,2)=F30,"OK","FIX")</f>
        <v>OK</v>
      </c>
    </row>
    <row r="31" customFormat="false" ht="15" hidden="false" customHeight="false" outlineLevel="0" collapsed="false">
      <c r="A31" s="2" t="str">
        <f aca="false">TRIM(UPPER(Raw_Data!A31))</f>
        <v>ORD200029</v>
      </c>
      <c r="B31" s="3" t="n">
        <f aca="false">IF(ISNUMBER(Raw_Data!B31),Raw_Data!B31,DATEVALUE(Raw_Data!B31))</f>
        <v>45555</v>
      </c>
      <c r="C31" s="2" t="str">
        <f aca="false">TRIM(UPPER(Raw_Data!C31))</f>
        <v>C33260</v>
      </c>
      <c r="D31" s="2" t="str">
        <f aca="false">PROPER(TRIM(Raw_Data!D31))</f>
        <v>Desk</v>
      </c>
      <c r="E31" s="2" t="n">
        <f aca="false">Raw_Data!E31</f>
        <v>3</v>
      </c>
      <c r="F31" s="4" t="n">
        <f aca="false">ROUND(Raw_Data!F31,2)</f>
        <v>423.53</v>
      </c>
      <c r="G31" s="2" t="str">
        <f aca="false">PROPER(TRIM(Raw_Data!G31))</f>
        <v>930 Main St</v>
      </c>
      <c r="H31" s="2" t="str">
        <f aca="false">PROPER(TRIM(Raw_Data!H31))</f>
        <v>Credit Card</v>
      </c>
      <c r="I31" s="2" t="str">
        <f aca="false">PROPER(TRIM(Raw_Data!I31))</f>
        <v>Delivered</v>
      </c>
      <c r="J31" s="2" t="str">
        <f aca="false">TRIM(UPPER(Raw_Data!J31))</f>
        <v>TRK59744090</v>
      </c>
      <c r="K31" s="2" t="n">
        <f aca="false">Raw_Data!K31</f>
        <v>6</v>
      </c>
      <c r="L31" s="2" t="str">
        <f aca="false">IF(TRIM(Raw_Data!L31)="","No Coupon",TRIM(UPPER(Raw_Data!L31)))</f>
        <v>SAVE10</v>
      </c>
      <c r="M31" s="2" t="str">
        <f aca="false">PROPER(TRIM(Raw_Data!M31))</f>
        <v>Referral</v>
      </c>
      <c r="N31" s="4" t="n">
        <f aca="false">ROUND(E31*F31,2)</f>
        <v>1270.59</v>
      </c>
      <c r="O31" s="2" t="str">
        <f aca="false">IF(COUNTIF($A$2:$A$1201,A31)&gt;1,"DUPLICATE","Unique")</f>
        <v>Unique</v>
      </c>
      <c r="P31" s="2" t="str">
        <f aca="false">IF(L31="","MISSING","OK")</f>
        <v>OK</v>
      </c>
      <c r="Q31" s="2" t="str">
        <f aca="false">IF(ISNUMBER(B31),"OK","BAD DATE")</f>
        <v>OK</v>
      </c>
      <c r="R31" s="2" t="str">
        <f aca="false">IF(ROUND(F31,2)=F31,"OK","FIX")</f>
        <v>OK</v>
      </c>
    </row>
    <row r="32" customFormat="false" ht="15" hidden="false" customHeight="false" outlineLevel="0" collapsed="false">
      <c r="A32" s="2" t="str">
        <f aca="false">TRIM(UPPER(Raw_Data!A32))</f>
        <v>ORD200030</v>
      </c>
      <c r="B32" s="3" t="n">
        <f aca="false">IF(ISNUMBER(Raw_Data!B32),Raw_Data!B32,DATEVALUE(Raw_Data!B32))</f>
        <v>45738</v>
      </c>
      <c r="C32" s="2" t="str">
        <f aca="false">TRIM(UPPER(Raw_Data!C32))</f>
        <v>C44267</v>
      </c>
      <c r="D32" s="2" t="str">
        <f aca="false">PROPER(TRIM(Raw_Data!D32))</f>
        <v>Monitor</v>
      </c>
      <c r="E32" s="2" t="n">
        <f aca="false">Raw_Data!E32</f>
        <v>2</v>
      </c>
      <c r="F32" s="4" t="n">
        <f aca="false">ROUND(Raw_Data!F32,2)</f>
        <v>426.7</v>
      </c>
      <c r="G32" s="2" t="str">
        <f aca="false">PROPER(TRIM(Raw_Data!G32))</f>
        <v>895 Main St</v>
      </c>
      <c r="H32" s="2" t="str">
        <f aca="false">PROPER(TRIM(Raw_Data!H32))</f>
        <v>Online</v>
      </c>
      <c r="I32" s="2" t="str">
        <f aca="false">PROPER(TRIM(Raw_Data!I32))</f>
        <v>Pending</v>
      </c>
      <c r="J32" s="2" t="str">
        <f aca="false">TRIM(UPPER(Raw_Data!J32))</f>
        <v>TRK54751444</v>
      </c>
      <c r="K32" s="2" t="n">
        <f aca="false">Raw_Data!K32</f>
        <v>5</v>
      </c>
      <c r="L32" s="2" t="str">
        <f aca="false">IF(TRIM(Raw_Data!L32)="","No Coupon",TRIM(UPPER(Raw_Data!L32)))</f>
        <v>SAVE10</v>
      </c>
      <c r="M32" s="2" t="str">
        <f aca="false">PROPER(TRIM(Raw_Data!M32))</f>
        <v>Referral</v>
      </c>
      <c r="N32" s="4" t="n">
        <f aca="false">ROUND(E32*F32,2)</f>
        <v>853.4</v>
      </c>
      <c r="O32" s="2" t="str">
        <f aca="false">IF(COUNTIF($A$2:$A$1201,A32)&gt;1,"DUPLICATE","Unique")</f>
        <v>Unique</v>
      </c>
      <c r="P32" s="2" t="str">
        <f aca="false">IF(L32="","MISSING","OK")</f>
        <v>OK</v>
      </c>
      <c r="Q32" s="2" t="str">
        <f aca="false">IF(ISNUMBER(B32),"OK","BAD DATE")</f>
        <v>OK</v>
      </c>
      <c r="R32" s="2" t="str">
        <f aca="false">IF(ROUND(F32,2)=F32,"OK","FIX")</f>
        <v>OK</v>
      </c>
    </row>
    <row r="33" customFormat="false" ht="15" hidden="false" customHeight="false" outlineLevel="0" collapsed="false">
      <c r="A33" s="2" t="str">
        <f aca="false">TRIM(UPPER(Raw_Data!A33))</f>
        <v>ORD200031</v>
      </c>
      <c r="B33" s="3" t="n">
        <f aca="false">IF(ISNUMBER(Raw_Data!B33),Raw_Data!B33,DATEVALUE(Raw_Data!B33))</f>
        <v>45107</v>
      </c>
      <c r="C33" s="2" t="str">
        <f aca="false">TRIM(UPPER(Raw_Data!C33))</f>
        <v>C26445</v>
      </c>
      <c r="D33" s="2" t="str">
        <f aca="false">PROPER(TRIM(Raw_Data!D33))</f>
        <v>Chair</v>
      </c>
      <c r="E33" s="2" t="n">
        <f aca="false">Raw_Data!E33</f>
        <v>3</v>
      </c>
      <c r="F33" s="4" t="n">
        <f aca="false">ROUND(Raw_Data!F33,2)</f>
        <v>500.08</v>
      </c>
      <c r="G33" s="2" t="str">
        <f aca="false">PROPER(TRIM(Raw_Data!G33))</f>
        <v>996 Main St</v>
      </c>
      <c r="H33" s="2" t="str">
        <f aca="false">PROPER(TRIM(Raw_Data!H33))</f>
        <v>Debit Card</v>
      </c>
      <c r="I33" s="2" t="str">
        <f aca="false">PROPER(TRIM(Raw_Data!I33))</f>
        <v>Returned</v>
      </c>
      <c r="J33" s="2" t="str">
        <f aca="false">TRIM(UPPER(Raw_Data!J33))</f>
        <v>TRK31229981</v>
      </c>
      <c r="K33" s="2" t="n">
        <f aca="false">Raw_Data!K33</f>
        <v>6</v>
      </c>
      <c r="L33" s="2" t="str">
        <f aca="false">IF(TRIM(Raw_Data!L33)="","No Coupon",TRIM(UPPER(Raw_Data!L33)))</f>
        <v>No Coupon</v>
      </c>
      <c r="M33" s="2" t="str">
        <f aca="false">PROPER(TRIM(Raw_Data!M33))</f>
        <v>Facebook</v>
      </c>
      <c r="N33" s="4" t="n">
        <f aca="false">ROUND(E33*F33,2)</f>
        <v>1500.24</v>
      </c>
      <c r="O33" s="2" t="str">
        <f aca="false">IF(COUNTIF($A$2:$A$1201,A33)&gt;1,"DUPLICATE","Unique")</f>
        <v>Unique</v>
      </c>
      <c r="P33" s="2" t="str">
        <f aca="false">IF(L33="","MISSING","OK")</f>
        <v>OK</v>
      </c>
      <c r="Q33" s="2" t="str">
        <f aca="false">IF(ISNUMBER(B33),"OK","BAD DATE")</f>
        <v>OK</v>
      </c>
      <c r="R33" s="2" t="str">
        <f aca="false">IF(ROUND(F33,2)=F33,"OK","FIX")</f>
        <v>OK</v>
      </c>
    </row>
    <row r="34" customFormat="false" ht="15" hidden="false" customHeight="false" outlineLevel="0" collapsed="false">
      <c r="A34" s="2" t="str">
        <f aca="false">TRIM(UPPER(Raw_Data!A34))</f>
        <v>ORD200032</v>
      </c>
      <c r="B34" s="3" t="n">
        <f aca="false">IF(ISNUMBER(Raw_Data!B34),Raw_Data!B34,DATEVALUE(Raw_Data!B34))</f>
        <v>45047</v>
      </c>
      <c r="C34" s="2" t="str">
        <f aca="false">TRIM(UPPER(Raw_Data!C34))</f>
        <v>C12388</v>
      </c>
      <c r="D34" s="2" t="str">
        <f aca="false">PROPER(TRIM(Raw_Data!D34))</f>
        <v>Tablet</v>
      </c>
      <c r="E34" s="2" t="n">
        <f aca="false">Raw_Data!E34</f>
        <v>5</v>
      </c>
      <c r="F34" s="4" t="n">
        <f aca="false">ROUND(Raw_Data!F34,2)</f>
        <v>536.72</v>
      </c>
      <c r="G34" s="2" t="str">
        <f aca="false">PROPER(TRIM(Raw_Data!G34))</f>
        <v>830 Main St</v>
      </c>
      <c r="H34" s="2" t="str">
        <f aca="false">PROPER(TRIM(Raw_Data!H34))</f>
        <v>Cash</v>
      </c>
      <c r="I34" s="2" t="str">
        <f aca="false">PROPER(TRIM(Raw_Data!I34))</f>
        <v>Delivered</v>
      </c>
      <c r="J34" s="2" t="str">
        <f aca="false">TRIM(UPPER(Raw_Data!J34))</f>
        <v>TRK99261395</v>
      </c>
      <c r="K34" s="2" t="n">
        <f aca="false">Raw_Data!K34</f>
        <v>10</v>
      </c>
      <c r="L34" s="2" t="str">
        <f aca="false">IF(TRIM(Raw_Data!L34)="","No Coupon",TRIM(UPPER(Raw_Data!L34)))</f>
        <v>No Coupon</v>
      </c>
      <c r="M34" s="2" t="str">
        <f aca="false">PROPER(TRIM(Raw_Data!M34))</f>
        <v>Email</v>
      </c>
      <c r="N34" s="4" t="n">
        <f aca="false">ROUND(E34*F34,2)</f>
        <v>2683.6</v>
      </c>
      <c r="O34" s="2" t="str">
        <f aca="false">IF(COUNTIF($A$2:$A$1201,A34)&gt;1,"DUPLICATE","Unique")</f>
        <v>Unique</v>
      </c>
      <c r="P34" s="2" t="str">
        <f aca="false">IF(L34="","MISSING","OK")</f>
        <v>OK</v>
      </c>
      <c r="Q34" s="2" t="str">
        <f aca="false">IF(ISNUMBER(B34),"OK","BAD DATE")</f>
        <v>OK</v>
      </c>
      <c r="R34" s="2" t="str">
        <f aca="false">IF(ROUND(F34,2)=F34,"OK","FIX")</f>
        <v>OK</v>
      </c>
    </row>
    <row r="35" customFormat="false" ht="15" hidden="false" customHeight="false" outlineLevel="0" collapsed="false">
      <c r="A35" s="2" t="str">
        <f aca="false">TRIM(UPPER(Raw_Data!A35))</f>
        <v>ORD200033</v>
      </c>
      <c r="B35" s="3" t="n">
        <f aca="false">IF(ISNUMBER(Raw_Data!B35),Raw_Data!B35,DATEVALUE(Raw_Data!B35))</f>
        <v>45082</v>
      </c>
      <c r="C35" s="2" t="str">
        <f aca="false">TRIM(UPPER(Raw_Data!C35))</f>
        <v>C52184</v>
      </c>
      <c r="D35" s="2" t="str">
        <f aca="false">PROPER(TRIM(Raw_Data!D35))</f>
        <v>Chair</v>
      </c>
      <c r="E35" s="2" t="n">
        <f aca="false">Raw_Data!E35</f>
        <v>1</v>
      </c>
      <c r="F35" s="4" t="n">
        <f aca="false">ROUND(Raw_Data!F35,2)</f>
        <v>162.77</v>
      </c>
      <c r="G35" s="2" t="str">
        <f aca="false">PROPER(TRIM(Raw_Data!G35))</f>
        <v>912 Main St</v>
      </c>
      <c r="H35" s="2" t="str">
        <f aca="false">PROPER(TRIM(Raw_Data!H35))</f>
        <v>Online</v>
      </c>
      <c r="I35" s="2" t="str">
        <f aca="false">PROPER(TRIM(Raw_Data!I35))</f>
        <v>Cancelled</v>
      </c>
      <c r="J35" s="2" t="str">
        <f aca="false">TRIM(UPPER(Raw_Data!J35))</f>
        <v>TRK73312471</v>
      </c>
      <c r="K35" s="2" t="n">
        <f aca="false">Raw_Data!K35</f>
        <v>4</v>
      </c>
      <c r="L35" s="2" t="str">
        <f aca="false">IF(TRIM(Raw_Data!L35)="","No Coupon",TRIM(UPPER(Raw_Data!L35)))</f>
        <v>WINTER15</v>
      </c>
      <c r="M35" s="2" t="str">
        <f aca="false">PROPER(TRIM(Raw_Data!M35))</f>
        <v>Facebook</v>
      </c>
      <c r="N35" s="4" t="n">
        <f aca="false">ROUND(E35*F35,2)</f>
        <v>162.77</v>
      </c>
      <c r="O35" s="2" t="str">
        <f aca="false">IF(COUNTIF($A$2:$A$1201,A35)&gt;1,"DUPLICATE","Unique")</f>
        <v>Unique</v>
      </c>
      <c r="P35" s="2" t="str">
        <f aca="false">IF(L35="","MISSING","OK")</f>
        <v>OK</v>
      </c>
      <c r="Q35" s="2" t="str">
        <f aca="false">IF(ISNUMBER(B35),"OK","BAD DATE")</f>
        <v>OK</v>
      </c>
      <c r="R35" s="2" t="str">
        <f aca="false">IF(ROUND(F35,2)=F35,"OK","FIX")</f>
        <v>OK</v>
      </c>
    </row>
    <row r="36" customFormat="false" ht="15" hidden="false" customHeight="false" outlineLevel="0" collapsed="false">
      <c r="A36" s="2" t="str">
        <f aca="false">TRIM(UPPER(Raw_Data!A36))</f>
        <v>ORD200034</v>
      </c>
      <c r="B36" s="3" t="n">
        <f aca="false">IF(ISNUMBER(Raw_Data!B36),Raw_Data!B36,DATEVALUE(Raw_Data!B36))</f>
        <v>44933</v>
      </c>
      <c r="C36" s="2" t="str">
        <f aca="false">TRIM(UPPER(Raw_Data!C36))</f>
        <v>C67195</v>
      </c>
      <c r="D36" s="2" t="str">
        <f aca="false">PROPER(TRIM(Raw_Data!D36))</f>
        <v>Chair</v>
      </c>
      <c r="E36" s="2" t="n">
        <f aca="false">Raw_Data!E36</f>
        <v>4</v>
      </c>
      <c r="F36" s="4" t="n">
        <f aca="false">ROUND(Raw_Data!F36,2)</f>
        <v>576.52</v>
      </c>
      <c r="G36" s="2" t="str">
        <f aca="false">PROPER(TRIM(Raw_Data!G36))</f>
        <v>926 Main St</v>
      </c>
      <c r="H36" s="2" t="str">
        <f aca="false">PROPER(TRIM(Raw_Data!H36))</f>
        <v>Credit Card</v>
      </c>
      <c r="I36" s="2" t="str">
        <f aca="false">PROPER(TRIM(Raw_Data!I36))</f>
        <v>Pending</v>
      </c>
      <c r="J36" s="2" t="str">
        <f aca="false">TRIM(UPPER(Raw_Data!J36))</f>
        <v>TRK55467915</v>
      </c>
      <c r="K36" s="2" t="n">
        <f aca="false">Raw_Data!K36</f>
        <v>5</v>
      </c>
      <c r="L36" s="2" t="str">
        <f aca="false">IF(TRIM(Raw_Data!L36)="","No Coupon",TRIM(UPPER(Raw_Data!L36)))</f>
        <v>WINTER15</v>
      </c>
      <c r="M36" s="2" t="str">
        <f aca="false">PROPER(TRIM(Raw_Data!M36))</f>
        <v>Facebook</v>
      </c>
      <c r="N36" s="4" t="n">
        <f aca="false">ROUND(E36*F36,2)</f>
        <v>2306.08</v>
      </c>
      <c r="O36" s="2" t="str">
        <f aca="false">IF(COUNTIF($A$2:$A$1201,A36)&gt;1,"DUPLICATE","Unique")</f>
        <v>Unique</v>
      </c>
      <c r="P36" s="2" t="str">
        <f aca="false">IF(L36="","MISSING","OK")</f>
        <v>OK</v>
      </c>
      <c r="Q36" s="2" t="str">
        <f aca="false">IF(ISNUMBER(B36),"OK","BAD DATE")</f>
        <v>OK</v>
      </c>
      <c r="R36" s="2" t="str">
        <f aca="false">IF(ROUND(F36,2)=F36,"OK","FIX")</f>
        <v>OK</v>
      </c>
    </row>
    <row r="37" customFormat="false" ht="15" hidden="false" customHeight="false" outlineLevel="0" collapsed="false">
      <c r="A37" s="2" t="str">
        <f aca="false">TRIM(UPPER(Raw_Data!A37))</f>
        <v>ORD200035</v>
      </c>
      <c r="B37" s="3" t="n">
        <f aca="false">IF(ISNUMBER(Raw_Data!B37),Raw_Data!B37,DATEVALUE(Raw_Data!B37))</f>
        <v>45633</v>
      </c>
      <c r="C37" s="2" t="str">
        <f aca="false">TRIM(UPPER(Raw_Data!C37))</f>
        <v>C50304</v>
      </c>
      <c r="D37" s="2" t="str">
        <f aca="false">PROPER(TRIM(Raw_Data!D37))</f>
        <v>Monitor</v>
      </c>
      <c r="E37" s="2" t="n">
        <f aca="false">Raw_Data!E37</f>
        <v>2</v>
      </c>
      <c r="F37" s="4" t="n">
        <f aca="false">ROUND(Raw_Data!F37,2)</f>
        <v>465.15</v>
      </c>
      <c r="G37" s="2" t="str">
        <f aca="false">PROPER(TRIM(Raw_Data!G37))</f>
        <v>128 Main St</v>
      </c>
      <c r="H37" s="2" t="str">
        <f aca="false">PROPER(TRIM(Raw_Data!H37))</f>
        <v>Online</v>
      </c>
      <c r="I37" s="2" t="str">
        <f aca="false">PROPER(TRIM(Raw_Data!I37))</f>
        <v>Shipped</v>
      </c>
      <c r="J37" s="2" t="str">
        <f aca="false">TRIM(UPPER(Raw_Data!J37))</f>
        <v>TRK46850888</v>
      </c>
      <c r="K37" s="2" t="n">
        <f aca="false">Raw_Data!K37</f>
        <v>2</v>
      </c>
      <c r="L37" s="2" t="str">
        <f aca="false">IF(TRIM(Raw_Data!L37)="","No Coupon",TRIM(UPPER(Raw_Data!L37)))</f>
        <v>SAVE10</v>
      </c>
      <c r="M37" s="2" t="str">
        <f aca="false">PROPER(TRIM(Raw_Data!M37))</f>
        <v>Facebook</v>
      </c>
      <c r="N37" s="4" t="n">
        <f aca="false">ROUND(E37*F37,2)</f>
        <v>930.3</v>
      </c>
      <c r="O37" s="2" t="str">
        <f aca="false">IF(COUNTIF($A$2:$A$1201,A37)&gt;1,"DUPLICATE","Unique")</f>
        <v>Unique</v>
      </c>
      <c r="P37" s="2" t="str">
        <f aca="false">IF(L37="","MISSING","OK")</f>
        <v>OK</v>
      </c>
      <c r="Q37" s="2" t="str">
        <f aca="false">IF(ISNUMBER(B37),"OK","BAD DATE")</f>
        <v>OK</v>
      </c>
      <c r="R37" s="2" t="str">
        <f aca="false">IF(ROUND(F37,2)=F37,"OK","FIX")</f>
        <v>OK</v>
      </c>
    </row>
    <row r="38" customFormat="false" ht="15" hidden="false" customHeight="false" outlineLevel="0" collapsed="false">
      <c r="A38" s="2" t="str">
        <f aca="false">TRIM(UPPER(Raw_Data!A38))</f>
        <v>ORD200036</v>
      </c>
      <c r="B38" s="3" t="n">
        <f aca="false">IF(ISNUMBER(Raw_Data!B38),Raw_Data!B38,DATEVALUE(Raw_Data!B38))</f>
        <v>45785</v>
      </c>
      <c r="C38" s="2" t="str">
        <f aca="false">TRIM(UPPER(Raw_Data!C38))</f>
        <v>C59337</v>
      </c>
      <c r="D38" s="2" t="str">
        <f aca="false">PROPER(TRIM(Raw_Data!D38))</f>
        <v>Laptop</v>
      </c>
      <c r="E38" s="2" t="n">
        <f aca="false">Raw_Data!E38</f>
        <v>2</v>
      </c>
      <c r="F38" s="4" t="n">
        <f aca="false">ROUND(Raw_Data!F38,2)</f>
        <v>534.43</v>
      </c>
      <c r="G38" s="2" t="str">
        <f aca="false">PROPER(TRIM(Raw_Data!G38))</f>
        <v>465 Main St</v>
      </c>
      <c r="H38" s="2" t="str">
        <f aca="false">PROPER(TRIM(Raw_Data!H38))</f>
        <v>Debit Card</v>
      </c>
      <c r="I38" s="2" t="str">
        <f aca="false">PROPER(TRIM(Raw_Data!I38))</f>
        <v>Pending</v>
      </c>
      <c r="J38" s="2" t="str">
        <f aca="false">TRIM(UPPER(Raw_Data!J38))</f>
        <v>TRK50961250</v>
      </c>
      <c r="K38" s="2" t="n">
        <f aca="false">Raw_Data!K38</f>
        <v>5</v>
      </c>
      <c r="L38" s="2" t="str">
        <f aca="false">IF(TRIM(Raw_Data!L38)="","No Coupon",TRIM(UPPER(Raw_Data!L38)))</f>
        <v>No Coupon</v>
      </c>
      <c r="M38" s="2" t="str">
        <f aca="false">PROPER(TRIM(Raw_Data!M38))</f>
        <v>Facebook</v>
      </c>
      <c r="N38" s="4" t="n">
        <f aca="false">ROUND(E38*F38,2)</f>
        <v>1068.86</v>
      </c>
      <c r="O38" s="2" t="str">
        <f aca="false">IF(COUNTIF($A$2:$A$1201,A38)&gt;1,"DUPLICATE","Unique")</f>
        <v>Unique</v>
      </c>
      <c r="P38" s="2" t="str">
        <f aca="false">IF(L38="","MISSING","OK")</f>
        <v>OK</v>
      </c>
      <c r="Q38" s="2" t="str">
        <f aca="false">IF(ISNUMBER(B38),"OK","BAD DATE")</f>
        <v>OK</v>
      </c>
      <c r="R38" s="2" t="str">
        <f aca="false">IF(ROUND(F38,2)=F38,"OK","FIX")</f>
        <v>OK</v>
      </c>
    </row>
    <row r="39" customFormat="false" ht="15" hidden="false" customHeight="false" outlineLevel="0" collapsed="false">
      <c r="A39" s="2" t="str">
        <f aca="false">TRIM(UPPER(Raw_Data!A39))</f>
        <v>ORD200037</v>
      </c>
      <c r="B39" s="3" t="n">
        <f aca="false">IF(ISNUMBER(Raw_Data!B39),Raw_Data!B39,DATEVALUE(Raw_Data!B39))</f>
        <v>45579</v>
      </c>
      <c r="C39" s="2" t="str">
        <f aca="false">TRIM(UPPER(Raw_Data!C39))</f>
        <v>C10054</v>
      </c>
      <c r="D39" s="2" t="str">
        <f aca="false">PROPER(TRIM(Raw_Data!D39))</f>
        <v>Laptop</v>
      </c>
      <c r="E39" s="2" t="n">
        <f aca="false">Raw_Data!E39</f>
        <v>2</v>
      </c>
      <c r="F39" s="4" t="n">
        <f aca="false">ROUND(Raw_Data!F39,2)</f>
        <v>76.74</v>
      </c>
      <c r="G39" s="2" t="str">
        <f aca="false">PROPER(TRIM(Raw_Data!G39))</f>
        <v>409 Main St</v>
      </c>
      <c r="H39" s="2" t="str">
        <f aca="false">PROPER(TRIM(Raw_Data!H39))</f>
        <v>Cash</v>
      </c>
      <c r="I39" s="2" t="str">
        <f aca="false">PROPER(TRIM(Raw_Data!I39))</f>
        <v>Returned</v>
      </c>
      <c r="J39" s="2" t="str">
        <f aca="false">TRIM(UPPER(Raw_Data!J39))</f>
        <v>TRK94005261</v>
      </c>
      <c r="K39" s="2" t="n">
        <f aca="false">Raw_Data!K39</f>
        <v>7</v>
      </c>
      <c r="L39" s="2" t="str">
        <f aca="false">IF(TRIM(Raw_Data!L39)="","No Coupon",TRIM(UPPER(Raw_Data!L39)))</f>
        <v>SAVE10</v>
      </c>
      <c r="M39" s="2" t="str">
        <f aca="false">PROPER(TRIM(Raw_Data!M39))</f>
        <v>Instagram</v>
      </c>
      <c r="N39" s="4" t="n">
        <f aca="false">ROUND(E39*F39,2)</f>
        <v>153.48</v>
      </c>
      <c r="O39" s="2" t="str">
        <f aca="false">IF(COUNTIF($A$2:$A$1201,A39)&gt;1,"DUPLICATE","Unique")</f>
        <v>Unique</v>
      </c>
      <c r="P39" s="2" t="str">
        <f aca="false">IF(L39="","MISSING","OK")</f>
        <v>OK</v>
      </c>
      <c r="Q39" s="2" t="str">
        <f aca="false">IF(ISNUMBER(B39),"OK","BAD DATE")</f>
        <v>OK</v>
      </c>
      <c r="R39" s="2" t="str">
        <f aca="false">IF(ROUND(F39,2)=F39,"OK","FIX")</f>
        <v>OK</v>
      </c>
    </row>
    <row r="40" customFormat="false" ht="15" hidden="false" customHeight="false" outlineLevel="0" collapsed="false">
      <c r="A40" s="2" t="str">
        <f aca="false">TRIM(UPPER(Raw_Data!A40))</f>
        <v>ORD200038</v>
      </c>
      <c r="B40" s="3" t="n">
        <f aca="false">IF(ISNUMBER(Raw_Data!B40),Raw_Data!B40,DATEVALUE(Raw_Data!B40))</f>
        <v>45645</v>
      </c>
      <c r="C40" s="2" t="str">
        <f aca="false">TRIM(UPPER(Raw_Data!C40))</f>
        <v>C15924</v>
      </c>
      <c r="D40" s="2" t="str">
        <f aca="false">PROPER(TRIM(Raw_Data!D40))</f>
        <v>Laptop</v>
      </c>
      <c r="E40" s="2" t="n">
        <f aca="false">Raw_Data!E40</f>
        <v>1</v>
      </c>
      <c r="F40" s="4" t="n">
        <f aca="false">ROUND(Raw_Data!F40,2)</f>
        <v>245.89</v>
      </c>
      <c r="G40" s="2" t="str">
        <f aca="false">PROPER(TRIM(Raw_Data!G40))</f>
        <v>549 Main St</v>
      </c>
      <c r="H40" s="2" t="str">
        <f aca="false">PROPER(TRIM(Raw_Data!H40))</f>
        <v>Debit Card</v>
      </c>
      <c r="I40" s="2" t="str">
        <f aca="false">PROPER(TRIM(Raw_Data!I40))</f>
        <v>Delivered</v>
      </c>
      <c r="J40" s="2" t="str">
        <f aca="false">TRIM(UPPER(Raw_Data!J40))</f>
        <v>TRK14835975</v>
      </c>
      <c r="K40" s="2" t="n">
        <f aca="false">Raw_Data!K40</f>
        <v>3</v>
      </c>
      <c r="L40" s="2" t="str">
        <f aca="false">IF(TRIM(Raw_Data!L40)="","No Coupon",TRIM(UPPER(Raw_Data!L40)))</f>
        <v>SAVE10</v>
      </c>
      <c r="M40" s="2" t="str">
        <f aca="false">PROPER(TRIM(Raw_Data!M40))</f>
        <v>Google</v>
      </c>
      <c r="N40" s="4" t="n">
        <f aca="false">ROUND(E40*F40,2)</f>
        <v>245.89</v>
      </c>
      <c r="O40" s="2" t="str">
        <f aca="false">IF(COUNTIF($A$2:$A$1201,A40)&gt;1,"DUPLICATE","Unique")</f>
        <v>Unique</v>
      </c>
      <c r="P40" s="2" t="str">
        <f aca="false">IF(L40="","MISSING","OK")</f>
        <v>OK</v>
      </c>
      <c r="Q40" s="2" t="str">
        <f aca="false">IF(ISNUMBER(B40),"OK","BAD DATE")</f>
        <v>OK</v>
      </c>
      <c r="R40" s="2" t="str">
        <f aca="false">IF(ROUND(F40,2)=F40,"OK","FIX")</f>
        <v>OK</v>
      </c>
    </row>
    <row r="41" customFormat="false" ht="15" hidden="false" customHeight="false" outlineLevel="0" collapsed="false">
      <c r="A41" s="2" t="str">
        <f aca="false">TRIM(UPPER(Raw_Data!A41))</f>
        <v>ORD200039</v>
      </c>
      <c r="B41" s="3" t="n">
        <f aca="false">IF(ISNUMBER(Raw_Data!B41),Raw_Data!B41,DATEVALUE(Raw_Data!B41))</f>
        <v>45715</v>
      </c>
      <c r="C41" s="2" t="str">
        <f aca="false">TRIM(UPPER(Raw_Data!C41))</f>
        <v>C96664</v>
      </c>
      <c r="D41" s="2" t="str">
        <f aca="false">PROPER(TRIM(Raw_Data!D41))</f>
        <v>Printer</v>
      </c>
      <c r="E41" s="2" t="n">
        <f aca="false">Raw_Data!E41</f>
        <v>3</v>
      </c>
      <c r="F41" s="4" t="n">
        <f aca="false">ROUND(Raw_Data!F41,2)</f>
        <v>256.46</v>
      </c>
      <c r="G41" s="2" t="str">
        <f aca="false">PROPER(TRIM(Raw_Data!G41))</f>
        <v>666 Main St</v>
      </c>
      <c r="H41" s="2" t="str">
        <f aca="false">PROPER(TRIM(Raw_Data!H41))</f>
        <v>Credit Card</v>
      </c>
      <c r="I41" s="2" t="str">
        <f aca="false">PROPER(TRIM(Raw_Data!I41))</f>
        <v>Delivered</v>
      </c>
      <c r="J41" s="2" t="str">
        <f aca="false">TRIM(UPPER(Raw_Data!J41))</f>
        <v>TRK85508960</v>
      </c>
      <c r="K41" s="2" t="n">
        <f aca="false">Raw_Data!K41</f>
        <v>4</v>
      </c>
      <c r="L41" s="2" t="str">
        <f aca="false">IF(TRIM(Raw_Data!L41)="","No Coupon",TRIM(UPPER(Raw_Data!L41)))</f>
        <v>SAVE10</v>
      </c>
      <c r="M41" s="2" t="str">
        <f aca="false">PROPER(TRIM(Raw_Data!M41))</f>
        <v>Referral</v>
      </c>
      <c r="N41" s="4" t="n">
        <f aca="false">ROUND(E41*F41,2)</f>
        <v>769.38</v>
      </c>
      <c r="O41" s="2" t="str">
        <f aca="false">IF(COUNTIF($A$2:$A$1201,A41)&gt;1,"DUPLICATE","Unique")</f>
        <v>Unique</v>
      </c>
      <c r="P41" s="2" t="str">
        <f aca="false">IF(L41="","MISSING","OK")</f>
        <v>OK</v>
      </c>
      <c r="Q41" s="2" t="str">
        <f aca="false">IF(ISNUMBER(B41),"OK","BAD DATE")</f>
        <v>OK</v>
      </c>
      <c r="R41" s="2" t="str">
        <f aca="false">IF(ROUND(F41,2)=F41,"OK","FIX")</f>
        <v>OK</v>
      </c>
    </row>
    <row r="42" customFormat="false" ht="15" hidden="false" customHeight="false" outlineLevel="0" collapsed="false">
      <c r="A42" s="2" t="str">
        <f aca="false">TRIM(UPPER(Raw_Data!A42))</f>
        <v>ORD200040</v>
      </c>
      <c r="B42" s="3" t="n">
        <f aca="false">IF(ISNUMBER(Raw_Data!B42),Raw_Data!B42,DATEVALUE(Raw_Data!B42))</f>
        <v>45158</v>
      </c>
      <c r="C42" s="2" t="str">
        <f aca="false">TRIM(UPPER(Raw_Data!C42))</f>
        <v>C84766</v>
      </c>
      <c r="D42" s="2" t="str">
        <f aca="false">PROPER(TRIM(Raw_Data!D42))</f>
        <v>Desk</v>
      </c>
      <c r="E42" s="2" t="n">
        <f aca="false">Raw_Data!E42</f>
        <v>2</v>
      </c>
      <c r="F42" s="4" t="n">
        <f aca="false">ROUND(Raw_Data!F42,2)</f>
        <v>344.02</v>
      </c>
      <c r="G42" s="2" t="str">
        <f aca="false">PROPER(TRIM(Raw_Data!G42))</f>
        <v>267 Main St</v>
      </c>
      <c r="H42" s="2" t="str">
        <f aca="false">PROPER(TRIM(Raw_Data!H42))</f>
        <v>Online</v>
      </c>
      <c r="I42" s="2" t="str">
        <f aca="false">PROPER(TRIM(Raw_Data!I42))</f>
        <v>Delivered</v>
      </c>
      <c r="J42" s="2" t="str">
        <f aca="false">TRIM(UPPER(Raw_Data!J42))</f>
        <v>TRK78967923</v>
      </c>
      <c r="K42" s="2" t="n">
        <f aca="false">Raw_Data!K42</f>
        <v>4</v>
      </c>
      <c r="L42" s="2" t="str">
        <f aca="false">IF(TRIM(Raw_Data!L42)="","No Coupon",TRIM(UPPER(Raw_Data!L42)))</f>
        <v>FREESHIP</v>
      </c>
      <c r="M42" s="2" t="str">
        <f aca="false">PROPER(TRIM(Raw_Data!M42))</f>
        <v>Instagram</v>
      </c>
      <c r="N42" s="4" t="n">
        <f aca="false">ROUND(E42*F42,2)</f>
        <v>688.04</v>
      </c>
      <c r="O42" s="2" t="str">
        <f aca="false">IF(COUNTIF($A$2:$A$1201,A42)&gt;1,"DUPLICATE","Unique")</f>
        <v>Unique</v>
      </c>
      <c r="P42" s="2" t="str">
        <f aca="false">IF(L42="","MISSING","OK")</f>
        <v>OK</v>
      </c>
      <c r="Q42" s="2" t="str">
        <f aca="false">IF(ISNUMBER(B42),"OK","BAD DATE")</f>
        <v>OK</v>
      </c>
      <c r="R42" s="2" t="str">
        <f aca="false">IF(ROUND(F42,2)=F42,"OK","FIX")</f>
        <v>OK</v>
      </c>
    </row>
    <row r="43" customFormat="false" ht="15" hidden="false" customHeight="false" outlineLevel="0" collapsed="false">
      <c r="A43" s="2" t="str">
        <f aca="false">TRIM(UPPER(Raw_Data!A43))</f>
        <v>ORD200041</v>
      </c>
      <c r="B43" s="3" t="n">
        <f aca="false">IF(ISNUMBER(Raw_Data!B43),Raw_Data!B43,DATEVALUE(Raw_Data!B43))</f>
        <v>45265</v>
      </c>
      <c r="C43" s="2" t="str">
        <f aca="false">TRIM(UPPER(Raw_Data!C43))</f>
        <v>C20212</v>
      </c>
      <c r="D43" s="2" t="str">
        <f aca="false">PROPER(TRIM(Raw_Data!D43))</f>
        <v>Monitor</v>
      </c>
      <c r="E43" s="2" t="n">
        <f aca="false">Raw_Data!E43</f>
        <v>3</v>
      </c>
      <c r="F43" s="4" t="n">
        <f aca="false">ROUND(Raw_Data!F43,2)</f>
        <v>611.45</v>
      </c>
      <c r="G43" s="2" t="str">
        <f aca="false">PROPER(TRIM(Raw_Data!G43))</f>
        <v>657 Main St</v>
      </c>
      <c r="H43" s="2" t="str">
        <f aca="false">PROPER(TRIM(Raw_Data!H43))</f>
        <v>Gift Card</v>
      </c>
      <c r="I43" s="2" t="str">
        <f aca="false">PROPER(TRIM(Raw_Data!I43))</f>
        <v>Pending</v>
      </c>
      <c r="J43" s="2" t="str">
        <f aca="false">TRIM(UPPER(Raw_Data!J43))</f>
        <v>TRK69733327</v>
      </c>
      <c r="K43" s="2" t="n">
        <f aca="false">Raw_Data!K43</f>
        <v>4</v>
      </c>
      <c r="L43" s="2" t="str">
        <f aca="false">IF(TRIM(Raw_Data!L43)="","No Coupon",TRIM(UPPER(Raw_Data!L43)))</f>
        <v>FREESHIP</v>
      </c>
      <c r="M43" s="2" t="str">
        <f aca="false">PROPER(TRIM(Raw_Data!M43))</f>
        <v>Instagram</v>
      </c>
      <c r="N43" s="4" t="n">
        <f aca="false">ROUND(E43*F43,2)</f>
        <v>1834.35</v>
      </c>
      <c r="O43" s="2" t="str">
        <f aca="false">IF(COUNTIF($A$2:$A$1201,A43)&gt;1,"DUPLICATE","Unique")</f>
        <v>Unique</v>
      </c>
      <c r="P43" s="2" t="str">
        <f aca="false">IF(L43="","MISSING","OK")</f>
        <v>OK</v>
      </c>
      <c r="Q43" s="2" t="str">
        <f aca="false">IF(ISNUMBER(B43),"OK","BAD DATE")</f>
        <v>OK</v>
      </c>
      <c r="R43" s="2" t="str">
        <f aca="false">IF(ROUND(F43,2)=F43,"OK","FIX")</f>
        <v>OK</v>
      </c>
    </row>
    <row r="44" customFormat="false" ht="15" hidden="false" customHeight="false" outlineLevel="0" collapsed="false">
      <c r="A44" s="2" t="str">
        <f aca="false">TRIM(UPPER(Raw_Data!A44))</f>
        <v>ORD200042</v>
      </c>
      <c r="B44" s="3" t="n">
        <f aca="false">IF(ISNUMBER(Raw_Data!B44),Raw_Data!B44,DATEVALUE(Raw_Data!B44))</f>
        <v>45418</v>
      </c>
      <c r="C44" s="2" t="str">
        <f aca="false">TRIM(UPPER(Raw_Data!C44))</f>
        <v>C28712</v>
      </c>
      <c r="D44" s="2" t="str">
        <f aca="false">PROPER(TRIM(Raw_Data!D44))</f>
        <v>Printer</v>
      </c>
      <c r="E44" s="2" t="n">
        <f aca="false">Raw_Data!E44</f>
        <v>2</v>
      </c>
      <c r="F44" s="4" t="n">
        <f aca="false">ROUND(Raw_Data!F44,2)</f>
        <v>151.66</v>
      </c>
      <c r="G44" s="2" t="str">
        <f aca="false">PROPER(TRIM(Raw_Data!G44))</f>
        <v>980 Main St</v>
      </c>
      <c r="H44" s="2" t="str">
        <f aca="false">PROPER(TRIM(Raw_Data!H44))</f>
        <v>Cash</v>
      </c>
      <c r="I44" s="2" t="str">
        <f aca="false">PROPER(TRIM(Raw_Data!I44))</f>
        <v>Cancelled</v>
      </c>
      <c r="J44" s="2" t="str">
        <f aca="false">TRIM(UPPER(Raw_Data!J44))</f>
        <v>TRK40772558</v>
      </c>
      <c r="K44" s="2" t="n">
        <f aca="false">Raw_Data!K44</f>
        <v>6</v>
      </c>
      <c r="L44" s="2" t="str">
        <f aca="false">IF(TRIM(Raw_Data!L44)="","No Coupon",TRIM(UPPER(Raw_Data!L44)))</f>
        <v>No Coupon</v>
      </c>
      <c r="M44" s="2" t="str">
        <f aca="false">PROPER(TRIM(Raw_Data!M44))</f>
        <v>Instagram</v>
      </c>
      <c r="N44" s="4" t="n">
        <f aca="false">ROUND(E44*F44,2)</f>
        <v>303.32</v>
      </c>
      <c r="O44" s="2" t="str">
        <f aca="false">IF(COUNTIF($A$2:$A$1201,A44)&gt;1,"DUPLICATE","Unique")</f>
        <v>Unique</v>
      </c>
      <c r="P44" s="2" t="str">
        <f aca="false">IF(L44="","MISSING","OK")</f>
        <v>OK</v>
      </c>
      <c r="Q44" s="2" t="str">
        <f aca="false">IF(ISNUMBER(B44),"OK","BAD DATE")</f>
        <v>OK</v>
      </c>
      <c r="R44" s="2" t="str">
        <f aca="false">IF(ROUND(F44,2)=F44,"OK","FIX")</f>
        <v>OK</v>
      </c>
    </row>
    <row r="45" customFormat="false" ht="15" hidden="false" customHeight="false" outlineLevel="0" collapsed="false">
      <c r="A45" s="2" t="str">
        <f aca="false">TRIM(UPPER(Raw_Data!A45))</f>
        <v>ORD200043</v>
      </c>
      <c r="B45" s="3" t="n">
        <f aca="false">IF(ISNUMBER(Raw_Data!B45),Raw_Data!B45,DATEVALUE(Raw_Data!B45))</f>
        <v>45274</v>
      </c>
      <c r="C45" s="2" t="str">
        <f aca="false">TRIM(UPPER(Raw_Data!C45))</f>
        <v>C60572</v>
      </c>
      <c r="D45" s="2" t="str">
        <f aca="false">PROPER(TRIM(Raw_Data!D45))</f>
        <v>Chair</v>
      </c>
      <c r="E45" s="2" t="n">
        <f aca="false">Raw_Data!E45</f>
        <v>3</v>
      </c>
      <c r="F45" s="4" t="n">
        <f aca="false">ROUND(Raw_Data!F45,2)</f>
        <v>499.21</v>
      </c>
      <c r="G45" s="2" t="str">
        <f aca="false">PROPER(TRIM(Raw_Data!G45))</f>
        <v>871 Main St</v>
      </c>
      <c r="H45" s="2" t="str">
        <f aca="false">PROPER(TRIM(Raw_Data!H45))</f>
        <v>Online</v>
      </c>
      <c r="I45" s="2" t="str">
        <f aca="false">PROPER(TRIM(Raw_Data!I45))</f>
        <v>Cancelled</v>
      </c>
      <c r="J45" s="2" t="str">
        <f aca="false">TRIM(UPPER(Raw_Data!J45))</f>
        <v>TRK20351666</v>
      </c>
      <c r="K45" s="2" t="n">
        <f aca="false">Raw_Data!K45</f>
        <v>8</v>
      </c>
      <c r="L45" s="2" t="str">
        <f aca="false">IF(TRIM(Raw_Data!L45)="","No Coupon",TRIM(UPPER(Raw_Data!L45)))</f>
        <v>No Coupon</v>
      </c>
      <c r="M45" s="2" t="str">
        <f aca="false">PROPER(TRIM(Raw_Data!M45))</f>
        <v>Instagram</v>
      </c>
      <c r="N45" s="4" t="n">
        <f aca="false">ROUND(E45*F45,2)</f>
        <v>1497.63</v>
      </c>
      <c r="O45" s="2" t="str">
        <f aca="false">IF(COUNTIF($A$2:$A$1201,A45)&gt;1,"DUPLICATE","Unique")</f>
        <v>Unique</v>
      </c>
      <c r="P45" s="2" t="str">
        <f aca="false">IF(L45="","MISSING","OK")</f>
        <v>OK</v>
      </c>
      <c r="Q45" s="2" t="str">
        <f aca="false">IF(ISNUMBER(B45),"OK","BAD DATE")</f>
        <v>OK</v>
      </c>
      <c r="R45" s="2" t="str">
        <f aca="false">IF(ROUND(F45,2)=F45,"OK","FIX")</f>
        <v>OK</v>
      </c>
    </row>
    <row r="46" customFormat="false" ht="15" hidden="false" customHeight="false" outlineLevel="0" collapsed="false">
      <c r="A46" s="2" t="str">
        <f aca="false">TRIM(UPPER(Raw_Data!A46))</f>
        <v>ORD200044</v>
      </c>
      <c r="B46" s="3" t="n">
        <f aca="false">IF(ISNUMBER(Raw_Data!B46),Raw_Data!B46,DATEVALUE(Raw_Data!B46))</f>
        <v>45768</v>
      </c>
      <c r="C46" s="2" t="str">
        <f aca="false">TRIM(UPPER(Raw_Data!C46))</f>
        <v>C73225</v>
      </c>
      <c r="D46" s="2" t="str">
        <f aca="false">PROPER(TRIM(Raw_Data!D46))</f>
        <v>Phone</v>
      </c>
      <c r="E46" s="2" t="n">
        <f aca="false">Raw_Data!E46</f>
        <v>2</v>
      </c>
      <c r="F46" s="4" t="n">
        <f aca="false">ROUND(Raw_Data!F46,2)</f>
        <v>550.18</v>
      </c>
      <c r="G46" s="2" t="str">
        <f aca="false">PROPER(TRIM(Raw_Data!G46))</f>
        <v>996 Main St</v>
      </c>
      <c r="H46" s="2" t="str">
        <f aca="false">PROPER(TRIM(Raw_Data!H46))</f>
        <v>Gift Card</v>
      </c>
      <c r="I46" s="2" t="str">
        <f aca="false">PROPER(TRIM(Raw_Data!I46))</f>
        <v>Returned</v>
      </c>
      <c r="J46" s="2" t="str">
        <f aca="false">TRIM(UPPER(Raw_Data!J46))</f>
        <v>TRK73848522</v>
      </c>
      <c r="K46" s="2" t="n">
        <f aca="false">Raw_Data!K46</f>
        <v>3</v>
      </c>
      <c r="L46" s="2" t="str">
        <f aca="false">IF(TRIM(Raw_Data!L46)="","No Coupon",TRIM(UPPER(Raw_Data!L46)))</f>
        <v>FREESHIP</v>
      </c>
      <c r="M46" s="2" t="str">
        <f aca="false">PROPER(TRIM(Raw_Data!M46))</f>
        <v>Referral</v>
      </c>
      <c r="N46" s="4" t="n">
        <f aca="false">ROUND(E46*F46,2)</f>
        <v>1100.36</v>
      </c>
      <c r="O46" s="2" t="str">
        <f aca="false">IF(COUNTIF($A$2:$A$1201,A46)&gt;1,"DUPLICATE","Unique")</f>
        <v>Unique</v>
      </c>
      <c r="P46" s="2" t="str">
        <f aca="false">IF(L46="","MISSING","OK")</f>
        <v>OK</v>
      </c>
      <c r="Q46" s="2" t="str">
        <f aca="false">IF(ISNUMBER(B46),"OK","BAD DATE")</f>
        <v>OK</v>
      </c>
      <c r="R46" s="2" t="str">
        <f aca="false">IF(ROUND(F46,2)=F46,"OK","FIX")</f>
        <v>OK</v>
      </c>
    </row>
    <row r="47" customFormat="false" ht="15" hidden="false" customHeight="false" outlineLevel="0" collapsed="false">
      <c r="A47" s="2" t="str">
        <f aca="false">TRIM(UPPER(Raw_Data!A47))</f>
        <v>ORD200045</v>
      </c>
      <c r="B47" s="3" t="n">
        <f aca="false">IF(ISNUMBER(Raw_Data!B47),Raw_Data!B47,DATEVALUE(Raw_Data!B47))</f>
        <v>45332</v>
      </c>
      <c r="C47" s="2" t="str">
        <f aca="false">TRIM(UPPER(Raw_Data!C47))</f>
        <v>C17388</v>
      </c>
      <c r="D47" s="2" t="str">
        <f aca="false">PROPER(TRIM(Raw_Data!D47))</f>
        <v>Chair</v>
      </c>
      <c r="E47" s="2" t="n">
        <f aca="false">Raw_Data!E47</f>
        <v>1</v>
      </c>
      <c r="F47" s="4" t="n">
        <f aca="false">ROUND(Raw_Data!F47,2)</f>
        <v>317.25</v>
      </c>
      <c r="G47" s="2" t="str">
        <f aca="false">PROPER(TRIM(Raw_Data!G47))</f>
        <v>157 Main St</v>
      </c>
      <c r="H47" s="2" t="str">
        <f aca="false">PROPER(TRIM(Raw_Data!H47))</f>
        <v>Debit Card</v>
      </c>
      <c r="I47" s="2" t="str">
        <f aca="false">PROPER(TRIM(Raw_Data!I47))</f>
        <v>Returned</v>
      </c>
      <c r="J47" s="2" t="str">
        <f aca="false">TRIM(UPPER(Raw_Data!J47))</f>
        <v>TRK47077395</v>
      </c>
      <c r="K47" s="2" t="n">
        <f aca="false">Raw_Data!K47</f>
        <v>1</v>
      </c>
      <c r="L47" s="2" t="str">
        <f aca="false">IF(TRIM(Raw_Data!L47)="","No Coupon",TRIM(UPPER(Raw_Data!L47)))</f>
        <v>SAVE10</v>
      </c>
      <c r="M47" s="2" t="str">
        <f aca="false">PROPER(TRIM(Raw_Data!M47))</f>
        <v>Facebook</v>
      </c>
      <c r="N47" s="4" t="n">
        <f aca="false">ROUND(E47*F47,2)</f>
        <v>317.25</v>
      </c>
      <c r="O47" s="2" t="str">
        <f aca="false">IF(COUNTIF($A$2:$A$1201,A47)&gt;1,"DUPLICATE","Unique")</f>
        <v>Unique</v>
      </c>
      <c r="P47" s="2" t="str">
        <f aca="false">IF(L47="","MISSING","OK")</f>
        <v>OK</v>
      </c>
      <c r="Q47" s="2" t="str">
        <f aca="false">IF(ISNUMBER(B47),"OK","BAD DATE")</f>
        <v>OK</v>
      </c>
      <c r="R47" s="2" t="str">
        <f aca="false">IF(ROUND(F47,2)=F47,"OK","FIX")</f>
        <v>OK</v>
      </c>
    </row>
    <row r="48" customFormat="false" ht="15" hidden="false" customHeight="false" outlineLevel="0" collapsed="false">
      <c r="A48" s="2" t="str">
        <f aca="false">TRIM(UPPER(Raw_Data!A48))</f>
        <v>ORD200046</v>
      </c>
      <c r="B48" s="3" t="n">
        <f aca="false">IF(ISNUMBER(Raw_Data!B48),Raw_Data!B48,DATEVALUE(Raw_Data!B48))</f>
        <v>45469</v>
      </c>
      <c r="C48" s="2" t="str">
        <f aca="false">TRIM(UPPER(Raw_Data!C48))</f>
        <v>C43212</v>
      </c>
      <c r="D48" s="2" t="str">
        <f aca="false">PROPER(TRIM(Raw_Data!D48))</f>
        <v>Monitor</v>
      </c>
      <c r="E48" s="2" t="n">
        <f aca="false">Raw_Data!E48</f>
        <v>4</v>
      </c>
      <c r="F48" s="4" t="n">
        <f aca="false">ROUND(Raw_Data!F48,2)</f>
        <v>550.14</v>
      </c>
      <c r="G48" s="2" t="str">
        <f aca="false">PROPER(TRIM(Raw_Data!G48))</f>
        <v>223 Main St</v>
      </c>
      <c r="H48" s="2" t="str">
        <f aca="false">PROPER(TRIM(Raw_Data!H48))</f>
        <v>Debit Card</v>
      </c>
      <c r="I48" s="2" t="str">
        <f aca="false">PROPER(TRIM(Raw_Data!I48))</f>
        <v>Pending</v>
      </c>
      <c r="J48" s="2" t="str">
        <f aca="false">TRIM(UPPER(Raw_Data!J48))</f>
        <v>TRK25100762</v>
      </c>
      <c r="K48" s="2" t="n">
        <f aca="false">Raw_Data!K48</f>
        <v>4</v>
      </c>
      <c r="L48" s="2" t="str">
        <f aca="false">IF(TRIM(Raw_Data!L48)="","No Coupon",TRIM(UPPER(Raw_Data!L48)))</f>
        <v>FREESHIP</v>
      </c>
      <c r="M48" s="2" t="str">
        <f aca="false">PROPER(TRIM(Raw_Data!M48))</f>
        <v>Instagram</v>
      </c>
      <c r="N48" s="4" t="n">
        <f aca="false">ROUND(E48*F48,2)</f>
        <v>2200.56</v>
      </c>
      <c r="O48" s="2" t="str">
        <f aca="false">IF(COUNTIF($A$2:$A$1201,A48)&gt;1,"DUPLICATE","Unique")</f>
        <v>Unique</v>
      </c>
      <c r="P48" s="2" t="str">
        <f aca="false">IF(L48="","MISSING","OK")</f>
        <v>OK</v>
      </c>
      <c r="Q48" s="2" t="str">
        <f aca="false">IF(ISNUMBER(B48),"OK","BAD DATE")</f>
        <v>OK</v>
      </c>
      <c r="R48" s="2" t="str">
        <f aca="false">IF(ROUND(F48,2)=F48,"OK","FIX")</f>
        <v>OK</v>
      </c>
    </row>
    <row r="49" customFormat="false" ht="15" hidden="false" customHeight="false" outlineLevel="0" collapsed="false">
      <c r="A49" s="2" t="str">
        <f aca="false">TRIM(UPPER(Raw_Data!A49))</f>
        <v>ORD200047</v>
      </c>
      <c r="B49" s="3" t="n">
        <f aca="false">IF(ISNUMBER(Raw_Data!B49),Raw_Data!B49,DATEVALUE(Raw_Data!B49))</f>
        <v>45126</v>
      </c>
      <c r="C49" s="2" t="str">
        <f aca="false">TRIM(UPPER(Raw_Data!C49))</f>
        <v>C38134</v>
      </c>
      <c r="D49" s="2" t="str">
        <f aca="false">PROPER(TRIM(Raw_Data!D49))</f>
        <v>Desk</v>
      </c>
      <c r="E49" s="2" t="n">
        <f aca="false">Raw_Data!E49</f>
        <v>2</v>
      </c>
      <c r="F49" s="4" t="n">
        <f aca="false">ROUND(Raw_Data!F49,2)</f>
        <v>209.94</v>
      </c>
      <c r="G49" s="2" t="str">
        <f aca="false">PROPER(TRIM(Raw_Data!G49))</f>
        <v>323 Main St</v>
      </c>
      <c r="H49" s="2" t="str">
        <f aca="false">PROPER(TRIM(Raw_Data!H49))</f>
        <v>Credit Card</v>
      </c>
      <c r="I49" s="2" t="str">
        <f aca="false">PROPER(TRIM(Raw_Data!I49))</f>
        <v>Returned</v>
      </c>
      <c r="J49" s="2" t="str">
        <f aca="false">TRIM(UPPER(Raw_Data!J49))</f>
        <v>TRK42450754</v>
      </c>
      <c r="K49" s="2" t="n">
        <f aca="false">Raw_Data!K49</f>
        <v>3</v>
      </c>
      <c r="L49" s="2" t="str">
        <f aca="false">IF(TRIM(Raw_Data!L49)="","No Coupon",TRIM(UPPER(Raw_Data!L49)))</f>
        <v>FREESHIP</v>
      </c>
      <c r="M49" s="2" t="str">
        <f aca="false">PROPER(TRIM(Raw_Data!M49))</f>
        <v>Email</v>
      </c>
      <c r="N49" s="4" t="n">
        <f aca="false">ROUND(E49*F49,2)</f>
        <v>419.88</v>
      </c>
      <c r="O49" s="2" t="str">
        <f aca="false">IF(COUNTIF($A$2:$A$1201,A49)&gt;1,"DUPLICATE","Unique")</f>
        <v>Unique</v>
      </c>
      <c r="P49" s="2" t="str">
        <f aca="false">IF(L49="","MISSING","OK")</f>
        <v>OK</v>
      </c>
      <c r="Q49" s="2" t="str">
        <f aca="false">IF(ISNUMBER(B49),"OK","BAD DATE")</f>
        <v>OK</v>
      </c>
      <c r="R49" s="2" t="str">
        <f aca="false">IF(ROUND(F49,2)=F49,"OK","FIX")</f>
        <v>OK</v>
      </c>
    </row>
    <row r="50" customFormat="false" ht="15" hidden="false" customHeight="false" outlineLevel="0" collapsed="false">
      <c r="A50" s="2" t="str">
        <f aca="false">TRIM(UPPER(Raw_Data!A50))</f>
        <v>ORD200048</v>
      </c>
      <c r="B50" s="3" t="n">
        <f aca="false">IF(ISNUMBER(Raw_Data!B50),Raw_Data!B50,DATEVALUE(Raw_Data!B50))</f>
        <v>45164</v>
      </c>
      <c r="C50" s="2" t="str">
        <f aca="false">TRIM(UPPER(Raw_Data!C50))</f>
        <v>C12408</v>
      </c>
      <c r="D50" s="2" t="str">
        <f aca="false">PROPER(TRIM(Raw_Data!D50))</f>
        <v>Monitor</v>
      </c>
      <c r="E50" s="2" t="n">
        <f aca="false">Raw_Data!E50</f>
        <v>2</v>
      </c>
      <c r="F50" s="4" t="n">
        <f aca="false">ROUND(Raw_Data!F50,2)</f>
        <v>80.77</v>
      </c>
      <c r="G50" s="2" t="str">
        <f aca="false">PROPER(TRIM(Raw_Data!G50))</f>
        <v>464 Main St</v>
      </c>
      <c r="H50" s="2" t="str">
        <f aca="false">PROPER(TRIM(Raw_Data!H50))</f>
        <v>Debit Card</v>
      </c>
      <c r="I50" s="2" t="str">
        <f aca="false">PROPER(TRIM(Raw_Data!I50))</f>
        <v>Shipped</v>
      </c>
      <c r="J50" s="2" t="str">
        <f aca="false">TRIM(UPPER(Raw_Data!J50))</f>
        <v>TRK38938858</v>
      </c>
      <c r="K50" s="2" t="n">
        <f aca="false">Raw_Data!K50</f>
        <v>4</v>
      </c>
      <c r="L50" s="2" t="str">
        <f aca="false">IF(TRIM(Raw_Data!L50)="","No Coupon",TRIM(UPPER(Raw_Data!L50)))</f>
        <v>No Coupon</v>
      </c>
      <c r="M50" s="2" t="str">
        <f aca="false">PROPER(TRIM(Raw_Data!M50))</f>
        <v>Google</v>
      </c>
      <c r="N50" s="4" t="n">
        <f aca="false">ROUND(E50*F50,2)</f>
        <v>161.54</v>
      </c>
      <c r="O50" s="2" t="str">
        <f aca="false">IF(COUNTIF($A$2:$A$1201,A50)&gt;1,"DUPLICATE","Unique")</f>
        <v>Unique</v>
      </c>
      <c r="P50" s="2" t="str">
        <f aca="false">IF(L50="","MISSING","OK")</f>
        <v>OK</v>
      </c>
      <c r="Q50" s="2" t="str">
        <f aca="false">IF(ISNUMBER(B50),"OK","BAD DATE")</f>
        <v>OK</v>
      </c>
      <c r="R50" s="2" t="str">
        <f aca="false">IF(ROUND(F50,2)=F50,"OK","FIX")</f>
        <v>OK</v>
      </c>
    </row>
    <row r="51" customFormat="false" ht="15" hidden="false" customHeight="false" outlineLevel="0" collapsed="false">
      <c r="A51" s="2" t="str">
        <f aca="false">TRIM(UPPER(Raw_Data!A51))</f>
        <v>ORD200049</v>
      </c>
      <c r="B51" s="3" t="n">
        <f aca="false">IF(ISNUMBER(Raw_Data!B51),Raw_Data!B51,DATEVALUE(Raw_Data!B51))</f>
        <v>45206</v>
      </c>
      <c r="C51" s="2" t="str">
        <f aca="false">TRIM(UPPER(Raw_Data!C51))</f>
        <v>C11985</v>
      </c>
      <c r="D51" s="2" t="str">
        <f aca="false">PROPER(TRIM(Raw_Data!D51))</f>
        <v>Printer</v>
      </c>
      <c r="E51" s="2" t="n">
        <f aca="false">Raw_Data!E51</f>
        <v>1</v>
      </c>
      <c r="F51" s="4" t="n">
        <f aca="false">ROUND(Raw_Data!F51,2)</f>
        <v>30.44</v>
      </c>
      <c r="G51" s="2" t="str">
        <f aca="false">PROPER(TRIM(Raw_Data!G51))</f>
        <v>633 Main St</v>
      </c>
      <c r="H51" s="2" t="str">
        <f aca="false">PROPER(TRIM(Raw_Data!H51))</f>
        <v>Credit Card</v>
      </c>
      <c r="I51" s="2" t="str">
        <f aca="false">PROPER(TRIM(Raw_Data!I51))</f>
        <v>Shipped</v>
      </c>
      <c r="J51" s="2" t="str">
        <f aca="false">TRIM(UPPER(Raw_Data!J51))</f>
        <v>TRK53272402</v>
      </c>
      <c r="K51" s="2" t="n">
        <f aca="false">Raw_Data!K51</f>
        <v>1</v>
      </c>
      <c r="L51" s="2" t="str">
        <f aca="false">IF(TRIM(Raw_Data!L51)="","No Coupon",TRIM(UPPER(Raw_Data!L51)))</f>
        <v>SAVE10</v>
      </c>
      <c r="M51" s="2" t="str">
        <f aca="false">PROPER(TRIM(Raw_Data!M51))</f>
        <v>Email</v>
      </c>
      <c r="N51" s="4" t="n">
        <f aca="false">ROUND(E51*F51,2)</f>
        <v>30.44</v>
      </c>
      <c r="O51" s="2" t="str">
        <f aca="false">IF(COUNTIF($A$2:$A$1201,A51)&gt;1,"DUPLICATE","Unique")</f>
        <v>Unique</v>
      </c>
      <c r="P51" s="2" t="str">
        <f aca="false">IF(L51="","MISSING","OK")</f>
        <v>OK</v>
      </c>
      <c r="Q51" s="2" t="str">
        <f aca="false">IF(ISNUMBER(B51),"OK","BAD DATE")</f>
        <v>OK</v>
      </c>
      <c r="R51" s="2" t="str">
        <f aca="false">IF(ROUND(F51,2)=F51,"OK","FIX")</f>
        <v>OK</v>
      </c>
    </row>
    <row r="52" customFormat="false" ht="15" hidden="false" customHeight="false" outlineLevel="0" collapsed="false">
      <c r="A52" s="2" t="str">
        <f aca="false">TRIM(UPPER(Raw_Data!A52))</f>
        <v>ORD200050</v>
      </c>
      <c r="B52" s="3" t="n">
        <f aca="false">IF(ISNUMBER(Raw_Data!B52),Raw_Data!B52,DATEVALUE(Raw_Data!B52))</f>
        <v>45138</v>
      </c>
      <c r="C52" s="2" t="str">
        <f aca="false">TRIM(UPPER(Raw_Data!C52))</f>
        <v>C96494</v>
      </c>
      <c r="D52" s="2" t="str">
        <f aca="false">PROPER(TRIM(Raw_Data!D52))</f>
        <v>Tablet</v>
      </c>
      <c r="E52" s="2" t="n">
        <f aca="false">Raw_Data!E52</f>
        <v>1</v>
      </c>
      <c r="F52" s="4" t="n">
        <f aca="false">ROUND(Raw_Data!F52,2)</f>
        <v>179.22</v>
      </c>
      <c r="G52" s="2" t="str">
        <f aca="false">PROPER(TRIM(Raw_Data!G52))</f>
        <v>446 Main St</v>
      </c>
      <c r="H52" s="2" t="str">
        <f aca="false">PROPER(TRIM(Raw_Data!H52))</f>
        <v>Online</v>
      </c>
      <c r="I52" s="2" t="str">
        <f aca="false">PROPER(TRIM(Raw_Data!I52))</f>
        <v>Cancelled</v>
      </c>
      <c r="J52" s="2" t="str">
        <f aca="false">TRIM(UPPER(Raw_Data!J52))</f>
        <v>TRK14675049</v>
      </c>
      <c r="K52" s="2" t="n">
        <f aca="false">Raw_Data!K52</f>
        <v>6</v>
      </c>
      <c r="L52" s="2" t="str">
        <f aca="false">IF(TRIM(Raw_Data!L52)="","No Coupon",TRIM(UPPER(Raw_Data!L52)))</f>
        <v>FREESHIP</v>
      </c>
      <c r="M52" s="2" t="str">
        <f aca="false">PROPER(TRIM(Raw_Data!M52))</f>
        <v>Instagram</v>
      </c>
      <c r="N52" s="4" t="n">
        <f aca="false">ROUND(E52*F52,2)</f>
        <v>179.22</v>
      </c>
      <c r="O52" s="2" t="str">
        <f aca="false">IF(COUNTIF($A$2:$A$1201,A52)&gt;1,"DUPLICATE","Unique")</f>
        <v>Unique</v>
      </c>
      <c r="P52" s="2" t="str">
        <f aca="false">IF(L52="","MISSING","OK")</f>
        <v>OK</v>
      </c>
      <c r="Q52" s="2" t="str">
        <f aca="false">IF(ISNUMBER(B52),"OK","BAD DATE")</f>
        <v>OK</v>
      </c>
      <c r="R52" s="2" t="str">
        <f aca="false">IF(ROUND(F52,2)=F52,"OK","FIX")</f>
        <v>OK</v>
      </c>
    </row>
    <row r="53" customFormat="false" ht="15" hidden="false" customHeight="false" outlineLevel="0" collapsed="false">
      <c r="A53" s="2" t="str">
        <f aca="false">TRIM(UPPER(Raw_Data!A53))</f>
        <v>ORD200051</v>
      </c>
      <c r="B53" s="3" t="n">
        <f aca="false">IF(ISNUMBER(Raw_Data!B53),Raw_Data!B53,DATEVALUE(Raw_Data!B53))</f>
        <v>45656</v>
      </c>
      <c r="C53" s="2" t="str">
        <f aca="false">TRIM(UPPER(Raw_Data!C53))</f>
        <v>C36778</v>
      </c>
      <c r="D53" s="2" t="str">
        <f aca="false">PROPER(TRIM(Raw_Data!D53))</f>
        <v>Tablet</v>
      </c>
      <c r="E53" s="2" t="n">
        <f aca="false">Raw_Data!E53</f>
        <v>1</v>
      </c>
      <c r="F53" s="4" t="n">
        <f aca="false">ROUND(Raw_Data!F53,2)</f>
        <v>388.33</v>
      </c>
      <c r="G53" s="2" t="str">
        <f aca="false">PROPER(TRIM(Raw_Data!G53))</f>
        <v>434 Main St</v>
      </c>
      <c r="H53" s="2" t="str">
        <f aca="false">PROPER(TRIM(Raw_Data!H53))</f>
        <v>Cash</v>
      </c>
      <c r="I53" s="2" t="str">
        <f aca="false">PROPER(TRIM(Raw_Data!I53))</f>
        <v>Returned</v>
      </c>
      <c r="J53" s="2" t="str">
        <f aca="false">TRIM(UPPER(Raw_Data!J53))</f>
        <v>TRK67610289</v>
      </c>
      <c r="K53" s="2" t="n">
        <f aca="false">Raw_Data!K53</f>
        <v>2</v>
      </c>
      <c r="L53" s="2" t="str">
        <f aca="false">IF(TRIM(Raw_Data!L53)="","No Coupon",TRIM(UPPER(Raw_Data!L53)))</f>
        <v>SAVE10</v>
      </c>
      <c r="M53" s="2" t="str">
        <f aca="false">PROPER(TRIM(Raw_Data!M53))</f>
        <v>Facebook</v>
      </c>
      <c r="N53" s="4" t="n">
        <f aca="false">ROUND(E53*F53,2)</f>
        <v>388.33</v>
      </c>
      <c r="O53" s="2" t="str">
        <f aca="false">IF(COUNTIF($A$2:$A$1201,A53)&gt;1,"DUPLICATE","Unique")</f>
        <v>Unique</v>
      </c>
      <c r="P53" s="2" t="str">
        <f aca="false">IF(L53="","MISSING","OK")</f>
        <v>OK</v>
      </c>
      <c r="Q53" s="2" t="str">
        <f aca="false">IF(ISNUMBER(B53),"OK","BAD DATE")</f>
        <v>OK</v>
      </c>
      <c r="R53" s="2" t="str">
        <f aca="false">IF(ROUND(F53,2)=F53,"OK","FIX")</f>
        <v>OK</v>
      </c>
    </row>
    <row r="54" customFormat="false" ht="15" hidden="false" customHeight="false" outlineLevel="0" collapsed="false">
      <c r="A54" s="2" t="str">
        <f aca="false">TRIM(UPPER(Raw_Data!A54))</f>
        <v>ORD200052</v>
      </c>
      <c r="B54" s="3" t="n">
        <f aca="false">IF(ISNUMBER(Raw_Data!B54),Raw_Data!B54,DATEVALUE(Raw_Data!B54))</f>
        <v>45543</v>
      </c>
      <c r="C54" s="2" t="str">
        <f aca="false">TRIM(UPPER(Raw_Data!C54))</f>
        <v>C30513</v>
      </c>
      <c r="D54" s="2" t="str">
        <f aca="false">PROPER(TRIM(Raw_Data!D54))</f>
        <v>Tablet</v>
      </c>
      <c r="E54" s="2" t="n">
        <f aca="false">Raw_Data!E54</f>
        <v>1</v>
      </c>
      <c r="F54" s="4" t="n">
        <f aca="false">ROUND(Raw_Data!F54,2)</f>
        <v>586.44</v>
      </c>
      <c r="G54" s="2" t="str">
        <f aca="false">PROPER(TRIM(Raw_Data!G54))</f>
        <v>232 Main St</v>
      </c>
      <c r="H54" s="2" t="str">
        <f aca="false">PROPER(TRIM(Raw_Data!H54))</f>
        <v>Online</v>
      </c>
      <c r="I54" s="2" t="str">
        <f aca="false">PROPER(TRIM(Raw_Data!I54))</f>
        <v>Returned</v>
      </c>
      <c r="J54" s="2" t="str">
        <f aca="false">TRIM(UPPER(Raw_Data!J54))</f>
        <v>TRK64320429</v>
      </c>
      <c r="K54" s="2" t="n">
        <f aca="false">Raw_Data!K54</f>
        <v>5</v>
      </c>
      <c r="L54" s="2" t="str">
        <f aca="false">IF(TRIM(Raw_Data!L54)="","No Coupon",TRIM(UPPER(Raw_Data!L54)))</f>
        <v>SAVE10</v>
      </c>
      <c r="M54" s="2" t="str">
        <f aca="false">PROPER(TRIM(Raw_Data!M54))</f>
        <v>Facebook</v>
      </c>
      <c r="N54" s="4" t="n">
        <f aca="false">ROUND(E54*F54,2)</f>
        <v>586.44</v>
      </c>
      <c r="O54" s="2" t="str">
        <f aca="false">IF(COUNTIF($A$2:$A$1201,A54)&gt;1,"DUPLICATE","Unique")</f>
        <v>Unique</v>
      </c>
      <c r="P54" s="2" t="str">
        <f aca="false">IF(L54="","MISSING","OK")</f>
        <v>OK</v>
      </c>
      <c r="Q54" s="2" t="str">
        <f aca="false">IF(ISNUMBER(B54),"OK","BAD DATE")</f>
        <v>OK</v>
      </c>
      <c r="R54" s="2" t="str">
        <f aca="false">IF(ROUND(F54,2)=F54,"OK","FIX")</f>
        <v>OK</v>
      </c>
    </row>
    <row r="55" customFormat="false" ht="15" hidden="false" customHeight="false" outlineLevel="0" collapsed="false">
      <c r="A55" s="2" t="str">
        <f aca="false">TRIM(UPPER(Raw_Data!A55))</f>
        <v>ORD200053</v>
      </c>
      <c r="B55" s="3" t="n">
        <f aca="false">IF(ISNUMBER(Raw_Data!B55),Raw_Data!B55,DATEVALUE(Raw_Data!B55))</f>
        <v>45430</v>
      </c>
      <c r="C55" s="2" t="str">
        <f aca="false">TRIM(UPPER(Raw_Data!C55))</f>
        <v>C67551</v>
      </c>
      <c r="D55" s="2" t="str">
        <f aca="false">PROPER(TRIM(Raw_Data!D55))</f>
        <v>Phone</v>
      </c>
      <c r="E55" s="2" t="n">
        <f aca="false">Raw_Data!E55</f>
        <v>4</v>
      </c>
      <c r="F55" s="4" t="n">
        <f aca="false">ROUND(Raw_Data!F55,2)</f>
        <v>488.78</v>
      </c>
      <c r="G55" s="2" t="str">
        <f aca="false">PROPER(TRIM(Raw_Data!G55))</f>
        <v>512 Main St</v>
      </c>
      <c r="H55" s="2" t="str">
        <f aca="false">PROPER(TRIM(Raw_Data!H55))</f>
        <v>Online</v>
      </c>
      <c r="I55" s="2" t="str">
        <f aca="false">PROPER(TRIM(Raw_Data!I55))</f>
        <v>Returned</v>
      </c>
      <c r="J55" s="2" t="str">
        <f aca="false">TRIM(UPPER(Raw_Data!J55))</f>
        <v>TRK94992552</v>
      </c>
      <c r="K55" s="2" t="n">
        <f aca="false">Raw_Data!K55</f>
        <v>5</v>
      </c>
      <c r="L55" s="2" t="str">
        <f aca="false">IF(TRIM(Raw_Data!L55)="","No Coupon",TRIM(UPPER(Raw_Data!L55)))</f>
        <v>FREESHIP</v>
      </c>
      <c r="M55" s="2" t="str">
        <f aca="false">PROPER(TRIM(Raw_Data!M55))</f>
        <v>Google</v>
      </c>
      <c r="N55" s="4" t="n">
        <f aca="false">ROUND(E55*F55,2)</f>
        <v>1955.12</v>
      </c>
      <c r="O55" s="2" t="str">
        <f aca="false">IF(COUNTIF($A$2:$A$1201,A55)&gt;1,"DUPLICATE","Unique")</f>
        <v>Unique</v>
      </c>
      <c r="P55" s="2" t="str">
        <f aca="false">IF(L55="","MISSING","OK")</f>
        <v>OK</v>
      </c>
      <c r="Q55" s="2" t="str">
        <f aca="false">IF(ISNUMBER(B55),"OK","BAD DATE")</f>
        <v>OK</v>
      </c>
      <c r="R55" s="2" t="str">
        <f aca="false">IF(ROUND(F55,2)=F55,"OK","FIX")</f>
        <v>OK</v>
      </c>
    </row>
    <row r="56" customFormat="false" ht="15" hidden="false" customHeight="false" outlineLevel="0" collapsed="false">
      <c r="A56" s="2" t="str">
        <f aca="false">TRIM(UPPER(Raw_Data!A56))</f>
        <v>ORD200054</v>
      </c>
      <c r="B56" s="3" t="n">
        <f aca="false">IF(ISNUMBER(Raw_Data!B56),Raw_Data!B56,DATEVALUE(Raw_Data!B56))</f>
        <v>45743</v>
      </c>
      <c r="C56" s="2" t="str">
        <f aca="false">TRIM(UPPER(Raw_Data!C56))</f>
        <v>C48120</v>
      </c>
      <c r="D56" s="2" t="str">
        <f aca="false">PROPER(TRIM(Raw_Data!D56))</f>
        <v>Chair</v>
      </c>
      <c r="E56" s="2" t="n">
        <f aca="false">Raw_Data!E56</f>
        <v>1</v>
      </c>
      <c r="F56" s="4" t="n">
        <f aca="false">ROUND(Raw_Data!F56,2)</f>
        <v>280.25</v>
      </c>
      <c r="G56" s="2" t="str">
        <f aca="false">PROPER(TRIM(Raw_Data!G56))</f>
        <v>623 Main St</v>
      </c>
      <c r="H56" s="2" t="str">
        <f aca="false">PROPER(TRIM(Raw_Data!H56))</f>
        <v>Online</v>
      </c>
      <c r="I56" s="2" t="str">
        <f aca="false">PROPER(TRIM(Raw_Data!I56))</f>
        <v>Pending</v>
      </c>
      <c r="J56" s="2" t="str">
        <f aca="false">TRIM(UPPER(Raw_Data!J56))</f>
        <v>TRK11014449</v>
      </c>
      <c r="K56" s="2" t="n">
        <f aca="false">Raw_Data!K56</f>
        <v>5</v>
      </c>
      <c r="L56" s="2" t="str">
        <f aca="false">IF(TRIM(Raw_Data!L56)="","No Coupon",TRIM(UPPER(Raw_Data!L56)))</f>
        <v>WINTER15</v>
      </c>
      <c r="M56" s="2" t="str">
        <f aca="false">PROPER(TRIM(Raw_Data!M56))</f>
        <v>Email</v>
      </c>
      <c r="N56" s="4" t="n">
        <f aca="false">ROUND(E56*F56,2)</f>
        <v>280.25</v>
      </c>
      <c r="O56" s="2" t="str">
        <f aca="false">IF(COUNTIF($A$2:$A$1201,A56)&gt;1,"DUPLICATE","Unique")</f>
        <v>Unique</v>
      </c>
      <c r="P56" s="2" t="str">
        <f aca="false">IF(L56="","MISSING","OK")</f>
        <v>OK</v>
      </c>
      <c r="Q56" s="2" t="str">
        <f aca="false">IF(ISNUMBER(B56),"OK","BAD DATE")</f>
        <v>OK</v>
      </c>
      <c r="R56" s="2" t="str">
        <f aca="false">IF(ROUND(F56,2)=F56,"OK","FIX")</f>
        <v>OK</v>
      </c>
    </row>
    <row r="57" customFormat="false" ht="15" hidden="false" customHeight="false" outlineLevel="0" collapsed="false">
      <c r="A57" s="2" t="str">
        <f aca="false">TRIM(UPPER(Raw_Data!A57))</f>
        <v>ORD200055</v>
      </c>
      <c r="B57" s="3" t="n">
        <f aca="false">IF(ISNUMBER(Raw_Data!B57),Raw_Data!B57,DATEVALUE(Raw_Data!B57))</f>
        <v>45832</v>
      </c>
      <c r="C57" s="2" t="str">
        <f aca="false">TRIM(UPPER(Raw_Data!C57))</f>
        <v>C95984</v>
      </c>
      <c r="D57" s="2" t="str">
        <f aca="false">PROPER(TRIM(Raw_Data!D57))</f>
        <v>Printer</v>
      </c>
      <c r="E57" s="2" t="n">
        <f aca="false">Raw_Data!E57</f>
        <v>3</v>
      </c>
      <c r="F57" s="4" t="n">
        <f aca="false">ROUND(Raw_Data!F57,2)</f>
        <v>344.4</v>
      </c>
      <c r="G57" s="2" t="str">
        <f aca="false">PROPER(TRIM(Raw_Data!G57))</f>
        <v>565 Main St</v>
      </c>
      <c r="H57" s="2" t="str">
        <f aca="false">PROPER(TRIM(Raw_Data!H57))</f>
        <v>Online</v>
      </c>
      <c r="I57" s="2" t="str">
        <f aca="false">PROPER(TRIM(Raw_Data!I57))</f>
        <v>Cancelled</v>
      </c>
      <c r="J57" s="2" t="str">
        <f aca="false">TRIM(UPPER(Raw_Data!J57))</f>
        <v>TRK67434829</v>
      </c>
      <c r="K57" s="2" t="n">
        <f aca="false">Raw_Data!K57</f>
        <v>3</v>
      </c>
      <c r="L57" s="2" t="str">
        <f aca="false">IF(TRIM(Raw_Data!L57)="","No Coupon",TRIM(UPPER(Raw_Data!L57)))</f>
        <v>No Coupon</v>
      </c>
      <c r="M57" s="2" t="str">
        <f aca="false">PROPER(TRIM(Raw_Data!M57))</f>
        <v>Facebook</v>
      </c>
      <c r="N57" s="4" t="n">
        <f aca="false">ROUND(E57*F57,2)</f>
        <v>1033.2</v>
      </c>
      <c r="O57" s="2" t="str">
        <f aca="false">IF(COUNTIF($A$2:$A$1201,A57)&gt;1,"DUPLICATE","Unique")</f>
        <v>Unique</v>
      </c>
      <c r="P57" s="2" t="str">
        <f aca="false">IF(L57="","MISSING","OK")</f>
        <v>OK</v>
      </c>
      <c r="Q57" s="2" t="str">
        <f aca="false">IF(ISNUMBER(B57),"OK","BAD DATE")</f>
        <v>OK</v>
      </c>
      <c r="R57" s="2" t="str">
        <f aca="false">IF(ROUND(F57,2)=F57,"OK","FIX")</f>
        <v>OK</v>
      </c>
    </row>
    <row r="58" customFormat="false" ht="15" hidden="false" customHeight="false" outlineLevel="0" collapsed="false">
      <c r="A58" s="2" t="str">
        <f aca="false">TRIM(UPPER(Raw_Data!A58))</f>
        <v>ORD200056</v>
      </c>
      <c r="B58" s="3" t="n">
        <f aca="false">IF(ISNUMBER(Raw_Data!B58),Raw_Data!B58,DATEVALUE(Raw_Data!B58))</f>
        <v>45067</v>
      </c>
      <c r="C58" s="2" t="str">
        <f aca="false">TRIM(UPPER(Raw_Data!C58))</f>
        <v>C54298</v>
      </c>
      <c r="D58" s="2" t="str">
        <f aca="false">PROPER(TRIM(Raw_Data!D58))</f>
        <v>Tablet</v>
      </c>
      <c r="E58" s="2" t="n">
        <f aca="false">Raw_Data!E58</f>
        <v>3</v>
      </c>
      <c r="F58" s="4" t="n">
        <f aca="false">ROUND(Raw_Data!F58,2)</f>
        <v>479.21</v>
      </c>
      <c r="G58" s="2" t="str">
        <f aca="false">PROPER(TRIM(Raw_Data!G58))</f>
        <v>566 Main St</v>
      </c>
      <c r="H58" s="2" t="str">
        <f aca="false">PROPER(TRIM(Raw_Data!H58))</f>
        <v>Cash</v>
      </c>
      <c r="I58" s="2" t="str">
        <f aca="false">PROPER(TRIM(Raw_Data!I58))</f>
        <v>Cancelled</v>
      </c>
      <c r="J58" s="2" t="str">
        <f aca="false">TRIM(UPPER(Raw_Data!J58))</f>
        <v>TRK62902341</v>
      </c>
      <c r="K58" s="2" t="n">
        <f aca="false">Raw_Data!K58</f>
        <v>5</v>
      </c>
      <c r="L58" s="2" t="str">
        <f aca="false">IF(TRIM(Raw_Data!L58)="","No Coupon",TRIM(UPPER(Raw_Data!L58)))</f>
        <v>WINTER15</v>
      </c>
      <c r="M58" s="2" t="str">
        <f aca="false">PROPER(TRIM(Raw_Data!M58))</f>
        <v>Referral</v>
      </c>
      <c r="N58" s="4" t="n">
        <f aca="false">ROUND(E58*F58,2)</f>
        <v>1437.63</v>
      </c>
      <c r="O58" s="2" t="str">
        <f aca="false">IF(COUNTIF($A$2:$A$1201,A58)&gt;1,"DUPLICATE","Unique")</f>
        <v>Unique</v>
      </c>
      <c r="P58" s="2" t="str">
        <f aca="false">IF(L58="","MISSING","OK")</f>
        <v>OK</v>
      </c>
      <c r="Q58" s="2" t="str">
        <f aca="false">IF(ISNUMBER(B58),"OK","BAD DATE")</f>
        <v>OK</v>
      </c>
      <c r="R58" s="2" t="str">
        <f aca="false">IF(ROUND(F58,2)=F58,"OK","FIX")</f>
        <v>OK</v>
      </c>
    </row>
    <row r="59" customFormat="false" ht="15" hidden="false" customHeight="false" outlineLevel="0" collapsed="false">
      <c r="A59" s="2" t="str">
        <f aca="false">TRIM(UPPER(Raw_Data!A59))</f>
        <v>ORD200057</v>
      </c>
      <c r="B59" s="3" t="n">
        <f aca="false">IF(ISNUMBER(Raw_Data!B59),Raw_Data!B59,DATEVALUE(Raw_Data!B59))</f>
        <v>44948</v>
      </c>
      <c r="C59" s="2" t="str">
        <f aca="false">TRIM(UPPER(Raw_Data!C59))</f>
        <v>C88036</v>
      </c>
      <c r="D59" s="2" t="str">
        <f aca="false">PROPER(TRIM(Raw_Data!D59))</f>
        <v>Printer</v>
      </c>
      <c r="E59" s="2" t="n">
        <f aca="false">Raw_Data!E59</f>
        <v>5</v>
      </c>
      <c r="F59" s="4" t="n">
        <f aca="false">ROUND(Raw_Data!F59,2)</f>
        <v>314.27</v>
      </c>
      <c r="G59" s="2" t="str">
        <f aca="false">PROPER(TRIM(Raw_Data!G59))</f>
        <v>842 Main St</v>
      </c>
      <c r="H59" s="2" t="str">
        <f aca="false">PROPER(TRIM(Raw_Data!H59))</f>
        <v>Cash</v>
      </c>
      <c r="I59" s="2" t="str">
        <f aca="false">PROPER(TRIM(Raw_Data!I59))</f>
        <v>Returned</v>
      </c>
      <c r="J59" s="2" t="str">
        <f aca="false">TRIM(UPPER(Raw_Data!J59))</f>
        <v>TRK52470128</v>
      </c>
      <c r="K59" s="2" t="n">
        <f aca="false">Raw_Data!K59</f>
        <v>6</v>
      </c>
      <c r="L59" s="2" t="str">
        <f aca="false">IF(TRIM(Raw_Data!L59)="","No Coupon",TRIM(UPPER(Raw_Data!L59)))</f>
        <v>SAVE10</v>
      </c>
      <c r="M59" s="2" t="str">
        <f aca="false">PROPER(TRIM(Raw_Data!M59))</f>
        <v>Instagram</v>
      </c>
      <c r="N59" s="4" t="n">
        <f aca="false">ROUND(E59*F59,2)</f>
        <v>1571.35</v>
      </c>
      <c r="O59" s="2" t="str">
        <f aca="false">IF(COUNTIF($A$2:$A$1201,A59)&gt;1,"DUPLICATE","Unique")</f>
        <v>Unique</v>
      </c>
      <c r="P59" s="2" t="str">
        <f aca="false">IF(L59="","MISSING","OK")</f>
        <v>OK</v>
      </c>
      <c r="Q59" s="2" t="str">
        <f aca="false">IF(ISNUMBER(B59),"OK","BAD DATE")</f>
        <v>OK</v>
      </c>
      <c r="R59" s="2" t="str">
        <f aca="false">IF(ROUND(F59,2)=F59,"OK","FIX")</f>
        <v>OK</v>
      </c>
    </row>
    <row r="60" customFormat="false" ht="15" hidden="false" customHeight="false" outlineLevel="0" collapsed="false">
      <c r="A60" s="2" t="str">
        <f aca="false">TRIM(UPPER(Raw_Data!A60))</f>
        <v>ORD200058</v>
      </c>
      <c r="B60" s="3" t="n">
        <f aca="false">IF(ISNUMBER(Raw_Data!B60),Raw_Data!B60,DATEVALUE(Raw_Data!B60))</f>
        <v>44941</v>
      </c>
      <c r="C60" s="2" t="str">
        <f aca="false">TRIM(UPPER(Raw_Data!C60))</f>
        <v>C60190</v>
      </c>
      <c r="D60" s="2" t="str">
        <f aca="false">PROPER(TRIM(Raw_Data!D60))</f>
        <v>Phone</v>
      </c>
      <c r="E60" s="2" t="n">
        <f aca="false">Raw_Data!E60</f>
        <v>4</v>
      </c>
      <c r="F60" s="4" t="n">
        <f aca="false">ROUND(Raw_Data!F60,2)</f>
        <v>474.69</v>
      </c>
      <c r="G60" s="2" t="str">
        <f aca="false">PROPER(TRIM(Raw_Data!G60))</f>
        <v>202 Main St</v>
      </c>
      <c r="H60" s="2" t="str">
        <f aca="false">PROPER(TRIM(Raw_Data!H60))</f>
        <v>Gift Card</v>
      </c>
      <c r="I60" s="2" t="str">
        <f aca="false">PROPER(TRIM(Raw_Data!I60))</f>
        <v>Cancelled</v>
      </c>
      <c r="J60" s="2" t="str">
        <f aca="false">TRIM(UPPER(Raw_Data!J60))</f>
        <v>TRK70857868</v>
      </c>
      <c r="K60" s="2" t="n">
        <f aca="false">Raw_Data!K60</f>
        <v>6</v>
      </c>
      <c r="L60" s="2" t="str">
        <f aca="false">IF(TRIM(Raw_Data!L60)="","No Coupon",TRIM(UPPER(Raw_Data!L60)))</f>
        <v>SAVE10</v>
      </c>
      <c r="M60" s="2" t="str">
        <f aca="false">PROPER(TRIM(Raw_Data!M60))</f>
        <v>Google</v>
      </c>
      <c r="N60" s="4" t="n">
        <f aca="false">ROUND(E60*F60,2)</f>
        <v>1898.76</v>
      </c>
      <c r="O60" s="2" t="str">
        <f aca="false">IF(COUNTIF($A$2:$A$1201,A60)&gt;1,"DUPLICATE","Unique")</f>
        <v>Unique</v>
      </c>
      <c r="P60" s="2" t="str">
        <f aca="false">IF(L60="","MISSING","OK")</f>
        <v>OK</v>
      </c>
      <c r="Q60" s="2" t="str">
        <f aca="false">IF(ISNUMBER(B60),"OK","BAD DATE")</f>
        <v>OK</v>
      </c>
      <c r="R60" s="2" t="str">
        <f aca="false">IF(ROUND(F60,2)=F60,"OK","FIX")</f>
        <v>OK</v>
      </c>
    </row>
    <row r="61" customFormat="false" ht="15" hidden="false" customHeight="false" outlineLevel="0" collapsed="false">
      <c r="A61" s="2" t="str">
        <f aca="false">TRIM(UPPER(Raw_Data!A61))</f>
        <v>ORD200059</v>
      </c>
      <c r="B61" s="3" t="n">
        <f aca="false">IF(ISNUMBER(Raw_Data!B61),Raw_Data!B61,DATEVALUE(Raw_Data!B61))</f>
        <v>45546</v>
      </c>
      <c r="C61" s="2" t="str">
        <f aca="false">TRIM(UPPER(Raw_Data!C61))</f>
        <v>C97603</v>
      </c>
      <c r="D61" s="2" t="str">
        <f aca="false">PROPER(TRIM(Raw_Data!D61))</f>
        <v>Chair</v>
      </c>
      <c r="E61" s="2" t="n">
        <f aca="false">Raw_Data!E61</f>
        <v>4</v>
      </c>
      <c r="F61" s="4" t="n">
        <f aca="false">ROUND(Raw_Data!F61,2)</f>
        <v>593.27</v>
      </c>
      <c r="G61" s="2" t="str">
        <f aca="false">PROPER(TRIM(Raw_Data!G61))</f>
        <v>811 Main St</v>
      </c>
      <c r="H61" s="2" t="str">
        <f aca="false">PROPER(TRIM(Raw_Data!H61))</f>
        <v>Online</v>
      </c>
      <c r="I61" s="2" t="str">
        <f aca="false">PROPER(TRIM(Raw_Data!I61))</f>
        <v>Shipped</v>
      </c>
      <c r="J61" s="2" t="str">
        <f aca="false">TRIM(UPPER(Raw_Data!J61))</f>
        <v>TRK47055028</v>
      </c>
      <c r="K61" s="2" t="n">
        <f aca="false">Raw_Data!K61</f>
        <v>5</v>
      </c>
      <c r="L61" s="2" t="str">
        <f aca="false">IF(TRIM(Raw_Data!L61)="","No Coupon",TRIM(UPPER(Raw_Data!L61)))</f>
        <v>No Coupon</v>
      </c>
      <c r="M61" s="2" t="str">
        <f aca="false">PROPER(TRIM(Raw_Data!M61))</f>
        <v>Facebook</v>
      </c>
      <c r="N61" s="4" t="n">
        <f aca="false">ROUND(E61*F61,2)</f>
        <v>2373.08</v>
      </c>
      <c r="O61" s="2" t="str">
        <f aca="false">IF(COUNTIF($A$2:$A$1201,A61)&gt;1,"DUPLICATE","Unique")</f>
        <v>Unique</v>
      </c>
      <c r="P61" s="2" t="str">
        <f aca="false">IF(L61="","MISSING","OK")</f>
        <v>OK</v>
      </c>
      <c r="Q61" s="2" t="str">
        <f aca="false">IF(ISNUMBER(B61),"OK","BAD DATE")</f>
        <v>OK</v>
      </c>
      <c r="R61" s="2" t="str">
        <f aca="false">IF(ROUND(F61,2)=F61,"OK","FIX")</f>
        <v>OK</v>
      </c>
    </row>
    <row r="62" customFormat="false" ht="15" hidden="false" customHeight="false" outlineLevel="0" collapsed="false">
      <c r="A62" s="2" t="str">
        <f aca="false">TRIM(UPPER(Raw_Data!A62))</f>
        <v>ORD200060</v>
      </c>
      <c r="B62" s="3" t="n">
        <f aca="false">IF(ISNUMBER(Raw_Data!B62),Raw_Data!B62,DATEVALUE(Raw_Data!B62))</f>
        <v>45525</v>
      </c>
      <c r="C62" s="2" t="str">
        <f aca="false">TRIM(UPPER(Raw_Data!C62))</f>
        <v>C39256</v>
      </c>
      <c r="D62" s="2" t="str">
        <f aca="false">PROPER(TRIM(Raw_Data!D62))</f>
        <v>Desk</v>
      </c>
      <c r="E62" s="2" t="n">
        <f aca="false">Raw_Data!E62</f>
        <v>1</v>
      </c>
      <c r="F62" s="4" t="n">
        <f aca="false">ROUND(Raw_Data!F62,2)</f>
        <v>417.1</v>
      </c>
      <c r="G62" s="2" t="str">
        <f aca="false">PROPER(TRIM(Raw_Data!G62))</f>
        <v>634 Main St</v>
      </c>
      <c r="H62" s="2" t="str">
        <f aca="false">PROPER(TRIM(Raw_Data!H62))</f>
        <v>Debit Card</v>
      </c>
      <c r="I62" s="2" t="str">
        <f aca="false">PROPER(TRIM(Raw_Data!I62))</f>
        <v>Returned</v>
      </c>
      <c r="J62" s="2" t="str">
        <f aca="false">TRIM(UPPER(Raw_Data!J62))</f>
        <v>TRK23412025</v>
      </c>
      <c r="K62" s="2" t="n">
        <f aca="false">Raw_Data!K62</f>
        <v>3</v>
      </c>
      <c r="L62" s="2" t="str">
        <f aca="false">IF(TRIM(Raw_Data!L62)="","No Coupon",TRIM(UPPER(Raw_Data!L62)))</f>
        <v>FREESHIP</v>
      </c>
      <c r="M62" s="2" t="str">
        <f aca="false">PROPER(TRIM(Raw_Data!M62))</f>
        <v>Referral</v>
      </c>
      <c r="N62" s="4" t="n">
        <f aca="false">ROUND(E62*F62,2)</f>
        <v>417.1</v>
      </c>
      <c r="O62" s="2" t="str">
        <f aca="false">IF(COUNTIF($A$2:$A$1201,A62)&gt;1,"DUPLICATE","Unique")</f>
        <v>Unique</v>
      </c>
      <c r="P62" s="2" t="str">
        <f aca="false">IF(L62="","MISSING","OK")</f>
        <v>OK</v>
      </c>
      <c r="Q62" s="2" t="str">
        <f aca="false">IF(ISNUMBER(B62),"OK","BAD DATE")</f>
        <v>OK</v>
      </c>
      <c r="R62" s="2" t="str">
        <f aca="false">IF(ROUND(F62,2)=F62,"OK","FIX")</f>
        <v>OK</v>
      </c>
    </row>
    <row r="63" customFormat="false" ht="15" hidden="false" customHeight="false" outlineLevel="0" collapsed="false">
      <c r="A63" s="2" t="str">
        <f aca="false">TRIM(UPPER(Raw_Data!A63))</f>
        <v>ORD200061</v>
      </c>
      <c r="B63" s="3" t="n">
        <f aca="false">IF(ISNUMBER(Raw_Data!B63),Raw_Data!B63,DATEVALUE(Raw_Data!B63))</f>
        <v>45375</v>
      </c>
      <c r="C63" s="2" t="str">
        <f aca="false">TRIM(UPPER(Raw_Data!C63))</f>
        <v>C61618</v>
      </c>
      <c r="D63" s="2" t="str">
        <f aca="false">PROPER(TRIM(Raw_Data!D63))</f>
        <v>Desk</v>
      </c>
      <c r="E63" s="2" t="n">
        <f aca="false">Raw_Data!E63</f>
        <v>4</v>
      </c>
      <c r="F63" s="4" t="n">
        <f aca="false">ROUND(Raw_Data!F63,2)</f>
        <v>122.2</v>
      </c>
      <c r="G63" s="2" t="str">
        <f aca="false">PROPER(TRIM(Raw_Data!G63))</f>
        <v>104 Main St</v>
      </c>
      <c r="H63" s="2" t="str">
        <f aca="false">PROPER(TRIM(Raw_Data!H63))</f>
        <v>Cash</v>
      </c>
      <c r="I63" s="2" t="str">
        <f aca="false">PROPER(TRIM(Raw_Data!I63))</f>
        <v>Delivered</v>
      </c>
      <c r="J63" s="2" t="str">
        <f aca="false">TRIM(UPPER(Raw_Data!J63))</f>
        <v>TRK43458485</v>
      </c>
      <c r="K63" s="2" t="n">
        <f aca="false">Raw_Data!K63</f>
        <v>7</v>
      </c>
      <c r="L63" s="2" t="str">
        <f aca="false">IF(TRIM(Raw_Data!L63)="","No Coupon",TRIM(UPPER(Raw_Data!L63)))</f>
        <v>FREESHIP</v>
      </c>
      <c r="M63" s="2" t="str">
        <f aca="false">PROPER(TRIM(Raw_Data!M63))</f>
        <v>Facebook</v>
      </c>
      <c r="N63" s="4" t="n">
        <f aca="false">ROUND(E63*F63,2)</f>
        <v>488.8</v>
      </c>
      <c r="O63" s="2" t="str">
        <f aca="false">IF(COUNTIF($A$2:$A$1201,A63)&gt;1,"DUPLICATE","Unique")</f>
        <v>Unique</v>
      </c>
      <c r="P63" s="2" t="str">
        <f aca="false">IF(L63="","MISSING","OK")</f>
        <v>OK</v>
      </c>
      <c r="Q63" s="2" t="str">
        <f aca="false">IF(ISNUMBER(B63),"OK","BAD DATE")</f>
        <v>OK</v>
      </c>
      <c r="R63" s="2" t="str">
        <f aca="false">IF(ROUND(F63,2)=F63,"OK","FIX")</f>
        <v>OK</v>
      </c>
    </row>
    <row r="64" customFormat="false" ht="15" hidden="false" customHeight="false" outlineLevel="0" collapsed="false">
      <c r="A64" s="2" t="str">
        <f aca="false">TRIM(UPPER(Raw_Data!A64))</f>
        <v>ORD200062</v>
      </c>
      <c r="B64" s="3" t="n">
        <f aca="false">IF(ISNUMBER(Raw_Data!B64),Raw_Data!B64,DATEVALUE(Raw_Data!B64))</f>
        <v>45160</v>
      </c>
      <c r="C64" s="2" t="str">
        <f aca="false">TRIM(UPPER(Raw_Data!C64))</f>
        <v>C36497</v>
      </c>
      <c r="D64" s="2" t="str">
        <f aca="false">PROPER(TRIM(Raw_Data!D64))</f>
        <v>Desk</v>
      </c>
      <c r="E64" s="2" t="n">
        <f aca="false">Raw_Data!E64</f>
        <v>2</v>
      </c>
      <c r="F64" s="4" t="n">
        <f aca="false">ROUND(Raw_Data!F64,2)</f>
        <v>43.15</v>
      </c>
      <c r="G64" s="2" t="str">
        <f aca="false">PROPER(TRIM(Raw_Data!G64))</f>
        <v>691 Main St</v>
      </c>
      <c r="H64" s="2" t="str">
        <f aca="false">PROPER(TRIM(Raw_Data!H64))</f>
        <v>Debit Card</v>
      </c>
      <c r="I64" s="2" t="str">
        <f aca="false">PROPER(TRIM(Raw_Data!I64))</f>
        <v>Pending</v>
      </c>
      <c r="J64" s="2" t="str">
        <f aca="false">TRIM(UPPER(Raw_Data!J64))</f>
        <v>TRK12102911</v>
      </c>
      <c r="K64" s="2" t="n">
        <f aca="false">Raw_Data!K64</f>
        <v>3</v>
      </c>
      <c r="L64" s="2" t="str">
        <f aca="false">IF(TRIM(Raw_Data!L64)="","No Coupon",TRIM(UPPER(Raw_Data!L64)))</f>
        <v>WINTER15</v>
      </c>
      <c r="M64" s="2" t="str">
        <f aca="false">PROPER(TRIM(Raw_Data!M64))</f>
        <v>Email</v>
      </c>
      <c r="N64" s="4" t="n">
        <f aca="false">ROUND(E64*F64,2)</f>
        <v>86.3</v>
      </c>
      <c r="O64" s="2" t="str">
        <f aca="false">IF(COUNTIF($A$2:$A$1201,A64)&gt;1,"DUPLICATE","Unique")</f>
        <v>Unique</v>
      </c>
      <c r="P64" s="2" t="str">
        <f aca="false">IF(L64="","MISSING","OK")</f>
        <v>OK</v>
      </c>
      <c r="Q64" s="2" t="str">
        <f aca="false">IF(ISNUMBER(B64),"OK","BAD DATE")</f>
        <v>OK</v>
      </c>
      <c r="R64" s="2" t="str">
        <f aca="false">IF(ROUND(F64,2)=F64,"OK","FIX")</f>
        <v>OK</v>
      </c>
    </row>
    <row r="65" customFormat="false" ht="15" hidden="false" customHeight="false" outlineLevel="0" collapsed="false">
      <c r="A65" s="2" t="str">
        <f aca="false">TRIM(UPPER(Raw_Data!A65))</f>
        <v>ORD200063</v>
      </c>
      <c r="B65" s="3" t="n">
        <f aca="false">IF(ISNUMBER(Raw_Data!B65),Raw_Data!B65,DATEVALUE(Raw_Data!B65))</f>
        <v>45690</v>
      </c>
      <c r="C65" s="2" t="str">
        <f aca="false">TRIM(UPPER(Raw_Data!C65))</f>
        <v>C96695</v>
      </c>
      <c r="D65" s="2" t="str">
        <f aca="false">PROPER(TRIM(Raw_Data!D65))</f>
        <v>Chair</v>
      </c>
      <c r="E65" s="2" t="n">
        <f aca="false">Raw_Data!E65</f>
        <v>1</v>
      </c>
      <c r="F65" s="4" t="n">
        <f aca="false">ROUND(Raw_Data!F65,2)</f>
        <v>564.86</v>
      </c>
      <c r="G65" s="2" t="str">
        <f aca="false">PROPER(TRIM(Raw_Data!G65))</f>
        <v>813 Main St</v>
      </c>
      <c r="H65" s="2" t="str">
        <f aca="false">PROPER(TRIM(Raw_Data!H65))</f>
        <v>Debit Card</v>
      </c>
      <c r="I65" s="2" t="str">
        <f aca="false">PROPER(TRIM(Raw_Data!I65))</f>
        <v>Shipped</v>
      </c>
      <c r="J65" s="2" t="str">
        <f aca="false">TRIM(UPPER(Raw_Data!J65))</f>
        <v>TRK64283851</v>
      </c>
      <c r="K65" s="2" t="n">
        <f aca="false">Raw_Data!K65</f>
        <v>6</v>
      </c>
      <c r="L65" s="2" t="str">
        <f aca="false">IF(TRIM(Raw_Data!L65)="","No Coupon",TRIM(UPPER(Raw_Data!L65)))</f>
        <v>WINTER15</v>
      </c>
      <c r="M65" s="2" t="str">
        <f aca="false">PROPER(TRIM(Raw_Data!M65))</f>
        <v>Referral</v>
      </c>
      <c r="N65" s="4" t="n">
        <f aca="false">ROUND(E65*F65,2)</f>
        <v>564.86</v>
      </c>
      <c r="O65" s="2" t="str">
        <f aca="false">IF(COUNTIF($A$2:$A$1201,A65)&gt;1,"DUPLICATE","Unique")</f>
        <v>Unique</v>
      </c>
      <c r="P65" s="2" t="str">
        <f aca="false">IF(L65="","MISSING","OK")</f>
        <v>OK</v>
      </c>
      <c r="Q65" s="2" t="str">
        <f aca="false">IF(ISNUMBER(B65),"OK","BAD DATE")</f>
        <v>OK</v>
      </c>
      <c r="R65" s="2" t="str">
        <f aca="false">IF(ROUND(F65,2)=F65,"OK","FIX")</f>
        <v>OK</v>
      </c>
    </row>
    <row r="66" customFormat="false" ht="15" hidden="false" customHeight="false" outlineLevel="0" collapsed="false">
      <c r="A66" s="2" t="str">
        <f aca="false">TRIM(UPPER(Raw_Data!A66))</f>
        <v>ORD200064</v>
      </c>
      <c r="B66" s="3" t="n">
        <f aca="false">IF(ISNUMBER(Raw_Data!B66),Raw_Data!B66,DATEVALUE(Raw_Data!B66))</f>
        <v>45833</v>
      </c>
      <c r="C66" s="2" t="str">
        <f aca="false">TRIM(UPPER(Raw_Data!C66))</f>
        <v>C49720</v>
      </c>
      <c r="D66" s="2" t="str">
        <f aca="false">PROPER(TRIM(Raw_Data!D66))</f>
        <v>Printer</v>
      </c>
      <c r="E66" s="2" t="n">
        <f aca="false">Raw_Data!E66</f>
        <v>3</v>
      </c>
      <c r="F66" s="4" t="n">
        <f aca="false">ROUND(Raw_Data!F66,2)</f>
        <v>130.61</v>
      </c>
      <c r="G66" s="2" t="str">
        <f aca="false">PROPER(TRIM(Raw_Data!G66))</f>
        <v>752 Main St</v>
      </c>
      <c r="H66" s="2" t="str">
        <f aca="false">PROPER(TRIM(Raw_Data!H66))</f>
        <v>Debit Card</v>
      </c>
      <c r="I66" s="2" t="str">
        <f aca="false">PROPER(TRIM(Raw_Data!I66))</f>
        <v>Cancelled</v>
      </c>
      <c r="J66" s="2" t="str">
        <f aca="false">TRIM(UPPER(Raw_Data!J66))</f>
        <v>TRK55785217</v>
      </c>
      <c r="K66" s="2" t="n">
        <f aca="false">Raw_Data!K66</f>
        <v>4</v>
      </c>
      <c r="L66" s="2" t="str">
        <f aca="false">IF(TRIM(Raw_Data!L66)="","No Coupon",TRIM(UPPER(Raw_Data!L66)))</f>
        <v>FREESHIP</v>
      </c>
      <c r="M66" s="2" t="str">
        <f aca="false">PROPER(TRIM(Raw_Data!M66))</f>
        <v>Facebook</v>
      </c>
      <c r="N66" s="4" t="n">
        <f aca="false">ROUND(E66*F66,2)</f>
        <v>391.83</v>
      </c>
      <c r="O66" s="2" t="str">
        <f aca="false">IF(COUNTIF($A$2:$A$1201,A66)&gt;1,"DUPLICATE","Unique")</f>
        <v>Unique</v>
      </c>
      <c r="P66" s="2" t="str">
        <f aca="false">IF(L66="","MISSING","OK")</f>
        <v>OK</v>
      </c>
      <c r="Q66" s="2" t="str">
        <f aca="false">IF(ISNUMBER(B66),"OK","BAD DATE")</f>
        <v>OK</v>
      </c>
      <c r="R66" s="2" t="str">
        <f aca="false">IF(ROUND(F66,2)=F66,"OK","FIX")</f>
        <v>OK</v>
      </c>
    </row>
    <row r="67" customFormat="false" ht="15" hidden="false" customHeight="false" outlineLevel="0" collapsed="false">
      <c r="A67" s="2" t="str">
        <f aca="false">TRIM(UPPER(Raw_Data!A67))</f>
        <v>ORD200065</v>
      </c>
      <c r="B67" s="3" t="n">
        <f aca="false">IF(ISNUMBER(Raw_Data!B67),Raw_Data!B67,DATEVALUE(Raw_Data!B67))</f>
        <v>45290</v>
      </c>
      <c r="C67" s="2" t="str">
        <f aca="false">TRIM(UPPER(Raw_Data!C67))</f>
        <v>C97735</v>
      </c>
      <c r="D67" s="2" t="str">
        <f aca="false">PROPER(TRIM(Raw_Data!D67))</f>
        <v>Monitor</v>
      </c>
      <c r="E67" s="2" t="n">
        <f aca="false">Raw_Data!E67</f>
        <v>5</v>
      </c>
      <c r="F67" s="4" t="n">
        <f aca="false">ROUND(Raw_Data!F67,2)</f>
        <v>81.7</v>
      </c>
      <c r="G67" s="2" t="str">
        <f aca="false">PROPER(TRIM(Raw_Data!G67))</f>
        <v>385 Main St</v>
      </c>
      <c r="H67" s="2" t="str">
        <f aca="false">PROPER(TRIM(Raw_Data!H67))</f>
        <v>Credit Card</v>
      </c>
      <c r="I67" s="2" t="str">
        <f aca="false">PROPER(TRIM(Raw_Data!I67))</f>
        <v>Delivered</v>
      </c>
      <c r="J67" s="2" t="str">
        <f aca="false">TRIM(UPPER(Raw_Data!J67))</f>
        <v>TRK13743703</v>
      </c>
      <c r="K67" s="2" t="n">
        <f aca="false">Raw_Data!K67</f>
        <v>6</v>
      </c>
      <c r="L67" s="2" t="str">
        <f aca="false">IF(TRIM(Raw_Data!L67)="","No Coupon",TRIM(UPPER(Raw_Data!L67)))</f>
        <v>No Coupon</v>
      </c>
      <c r="M67" s="2" t="str">
        <f aca="false">PROPER(TRIM(Raw_Data!M67))</f>
        <v>Instagram</v>
      </c>
      <c r="N67" s="4" t="n">
        <f aca="false">ROUND(E67*F67,2)</f>
        <v>408.5</v>
      </c>
      <c r="O67" s="2" t="str">
        <f aca="false">IF(COUNTIF($A$2:$A$1201,A67)&gt;1,"DUPLICATE","Unique")</f>
        <v>Unique</v>
      </c>
      <c r="P67" s="2" t="str">
        <f aca="false">IF(L67="","MISSING","OK")</f>
        <v>OK</v>
      </c>
      <c r="Q67" s="2" t="str">
        <f aca="false">IF(ISNUMBER(B67),"OK","BAD DATE")</f>
        <v>OK</v>
      </c>
      <c r="R67" s="2" t="str">
        <f aca="false">IF(ROUND(F67,2)=F67,"OK","FIX")</f>
        <v>OK</v>
      </c>
    </row>
    <row r="68" customFormat="false" ht="15" hidden="false" customHeight="false" outlineLevel="0" collapsed="false">
      <c r="A68" s="2" t="str">
        <f aca="false">TRIM(UPPER(Raw_Data!A68))</f>
        <v>ORD200066</v>
      </c>
      <c r="B68" s="3" t="n">
        <f aca="false">IF(ISNUMBER(Raw_Data!B68),Raw_Data!B68,DATEVALUE(Raw_Data!B68))</f>
        <v>45611</v>
      </c>
      <c r="C68" s="2" t="str">
        <f aca="false">TRIM(UPPER(Raw_Data!C68))</f>
        <v>C18104</v>
      </c>
      <c r="D68" s="2" t="str">
        <f aca="false">PROPER(TRIM(Raw_Data!D68))</f>
        <v>Chair</v>
      </c>
      <c r="E68" s="2" t="n">
        <f aca="false">Raw_Data!E68</f>
        <v>5</v>
      </c>
      <c r="F68" s="4" t="n">
        <f aca="false">ROUND(Raw_Data!F68,2)</f>
        <v>127.18</v>
      </c>
      <c r="G68" s="2" t="str">
        <f aca="false">PROPER(TRIM(Raw_Data!G68))</f>
        <v>715 Main St</v>
      </c>
      <c r="H68" s="2" t="str">
        <f aca="false">PROPER(TRIM(Raw_Data!H68))</f>
        <v>Cash</v>
      </c>
      <c r="I68" s="2" t="str">
        <f aca="false">PROPER(TRIM(Raw_Data!I68))</f>
        <v>Cancelled</v>
      </c>
      <c r="J68" s="2" t="str">
        <f aca="false">TRIM(UPPER(Raw_Data!J68))</f>
        <v>TRK15488568</v>
      </c>
      <c r="K68" s="2" t="n">
        <f aca="false">Raw_Data!K68</f>
        <v>9</v>
      </c>
      <c r="L68" s="2" t="str">
        <f aca="false">IF(TRIM(Raw_Data!L68)="","No Coupon",TRIM(UPPER(Raw_Data!L68)))</f>
        <v>SAVE10</v>
      </c>
      <c r="M68" s="2" t="str">
        <f aca="false">PROPER(TRIM(Raw_Data!M68))</f>
        <v>Referral</v>
      </c>
      <c r="N68" s="4" t="n">
        <f aca="false">ROUND(E68*F68,2)</f>
        <v>635.9</v>
      </c>
      <c r="O68" s="2" t="str">
        <f aca="false">IF(COUNTIF($A$2:$A$1201,A68)&gt;1,"DUPLICATE","Unique")</f>
        <v>Unique</v>
      </c>
      <c r="P68" s="2" t="str">
        <f aca="false">IF(L68="","MISSING","OK")</f>
        <v>OK</v>
      </c>
      <c r="Q68" s="2" t="str">
        <f aca="false">IF(ISNUMBER(B68),"OK","BAD DATE")</f>
        <v>OK</v>
      </c>
      <c r="R68" s="2" t="str">
        <f aca="false">IF(ROUND(F68,2)=F68,"OK","FIX")</f>
        <v>OK</v>
      </c>
    </row>
    <row r="69" customFormat="false" ht="15" hidden="false" customHeight="false" outlineLevel="0" collapsed="false">
      <c r="A69" s="2" t="str">
        <f aca="false">TRIM(UPPER(Raw_Data!A69))</f>
        <v>ORD200067</v>
      </c>
      <c r="B69" s="3" t="n">
        <f aca="false">IF(ISNUMBER(Raw_Data!B69),Raw_Data!B69,DATEVALUE(Raw_Data!B69))</f>
        <v>45635</v>
      </c>
      <c r="C69" s="2" t="str">
        <f aca="false">TRIM(UPPER(Raw_Data!C69))</f>
        <v>C25587</v>
      </c>
      <c r="D69" s="2" t="str">
        <f aca="false">PROPER(TRIM(Raw_Data!D69))</f>
        <v>Printer</v>
      </c>
      <c r="E69" s="2" t="n">
        <f aca="false">Raw_Data!E69</f>
        <v>4</v>
      </c>
      <c r="F69" s="4" t="n">
        <f aca="false">ROUND(Raw_Data!F69,2)</f>
        <v>12.1</v>
      </c>
      <c r="G69" s="2" t="str">
        <f aca="false">PROPER(TRIM(Raw_Data!G69))</f>
        <v>440 Main St</v>
      </c>
      <c r="H69" s="2" t="str">
        <f aca="false">PROPER(TRIM(Raw_Data!H69))</f>
        <v>Debit Card</v>
      </c>
      <c r="I69" s="2" t="str">
        <f aca="false">PROPER(TRIM(Raw_Data!I69))</f>
        <v>Cancelled</v>
      </c>
      <c r="J69" s="2" t="str">
        <f aca="false">TRIM(UPPER(Raw_Data!J69))</f>
        <v>TRK55105323</v>
      </c>
      <c r="K69" s="2" t="n">
        <f aca="false">Raw_Data!K69</f>
        <v>8</v>
      </c>
      <c r="L69" s="2" t="str">
        <f aca="false">IF(TRIM(Raw_Data!L69)="","No Coupon",TRIM(UPPER(Raw_Data!L69)))</f>
        <v>No Coupon</v>
      </c>
      <c r="M69" s="2" t="str">
        <f aca="false">PROPER(TRIM(Raw_Data!M69))</f>
        <v>Google</v>
      </c>
      <c r="N69" s="4" t="n">
        <f aca="false">ROUND(E69*F69,2)</f>
        <v>48.4</v>
      </c>
      <c r="O69" s="2" t="str">
        <f aca="false">IF(COUNTIF($A$2:$A$1201,A69)&gt;1,"DUPLICATE","Unique")</f>
        <v>Unique</v>
      </c>
      <c r="P69" s="2" t="str">
        <f aca="false">IF(L69="","MISSING","OK")</f>
        <v>OK</v>
      </c>
      <c r="Q69" s="2" t="str">
        <f aca="false">IF(ISNUMBER(B69),"OK","BAD DATE")</f>
        <v>OK</v>
      </c>
      <c r="R69" s="2" t="str">
        <f aca="false">IF(ROUND(F69,2)=F69,"OK","FIX")</f>
        <v>OK</v>
      </c>
    </row>
    <row r="70" customFormat="false" ht="15" hidden="false" customHeight="false" outlineLevel="0" collapsed="false">
      <c r="A70" s="2" t="str">
        <f aca="false">TRIM(UPPER(Raw_Data!A70))</f>
        <v>ORD200068</v>
      </c>
      <c r="B70" s="3" t="n">
        <f aca="false">IF(ISNUMBER(Raw_Data!B70),Raw_Data!B70,DATEVALUE(Raw_Data!B70))</f>
        <v>45271</v>
      </c>
      <c r="C70" s="2" t="str">
        <f aca="false">TRIM(UPPER(Raw_Data!C70))</f>
        <v>C41598</v>
      </c>
      <c r="D70" s="2" t="str">
        <f aca="false">PROPER(TRIM(Raw_Data!D70))</f>
        <v>Chair</v>
      </c>
      <c r="E70" s="2" t="n">
        <f aca="false">Raw_Data!E70</f>
        <v>3</v>
      </c>
      <c r="F70" s="4" t="n">
        <f aca="false">ROUND(Raw_Data!F70,2)</f>
        <v>490.92</v>
      </c>
      <c r="G70" s="2" t="str">
        <f aca="false">PROPER(TRIM(Raw_Data!G70))</f>
        <v>709 Main St</v>
      </c>
      <c r="H70" s="2" t="str">
        <f aca="false">PROPER(TRIM(Raw_Data!H70))</f>
        <v>Credit Card</v>
      </c>
      <c r="I70" s="2" t="str">
        <f aca="false">PROPER(TRIM(Raw_Data!I70))</f>
        <v>Pending</v>
      </c>
      <c r="J70" s="2" t="str">
        <f aca="false">TRIM(UPPER(Raw_Data!J70))</f>
        <v>TRK81665940</v>
      </c>
      <c r="K70" s="2" t="n">
        <f aca="false">Raw_Data!K70</f>
        <v>5</v>
      </c>
      <c r="L70" s="2" t="str">
        <f aca="false">IF(TRIM(Raw_Data!L70)="","No Coupon",TRIM(UPPER(Raw_Data!L70)))</f>
        <v>FREESHIP</v>
      </c>
      <c r="M70" s="2" t="str">
        <f aca="false">PROPER(TRIM(Raw_Data!M70))</f>
        <v>Email</v>
      </c>
      <c r="N70" s="4" t="n">
        <f aca="false">ROUND(E70*F70,2)</f>
        <v>1472.76</v>
      </c>
      <c r="O70" s="2" t="str">
        <f aca="false">IF(COUNTIF($A$2:$A$1201,A70)&gt;1,"DUPLICATE","Unique")</f>
        <v>Unique</v>
      </c>
      <c r="P70" s="2" t="str">
        <f aca="false">IF(L70="","MISSING","OK")</f>
        <v>OK</v>
      </c>
      <c r="Q70" s="2" t="str">
        <f aca="false">IF(ISNUMBER(B70),"OK","BAD DATE")</f>
        <v>OK</v>
      </c>
      <c r="R70" s="2" t="str">
        <f aca="false">IF(ROUND(F70,2)=F70,"OK","FIX")</f>
        <v>OK</v>
      </c>
    </row>
    <row r="71" customFormat="false" ht="15" hidden="false" customHeight="false" outlineLevel="0" collapsed="false">
      <c r="A71" s="2" t="str">
        <f aca="false">TRIM(UPPER(Raw_Data!A71))</f>
        <v>ORD200069</v>
      </c>
      <c r="B71" s="3" t="n">
        <f aca="false">IF(ISNUMBER(Raw_Data!B71),Raw_Data!B71,DATEVALUE(Raw_Data!B71))</f>
        <v>45057</v>
      </c>
      <c r="C71" s="2" t="str">
        <f aca="false">TRIM(UPPER(Raw_Data!C71))</f>
        <v>C43338</v>
      </c>
      <c r="D71" s="2" t="str">
        <f aca="false">PROPER(TRIM(Raw_Data!D71))</f>
        <v>Monitor</v>
      </c>
      <c r="E71" s="2" t="n">
        <f aca="false">Raw_Data!E71</f>
        <v>3</v>
      </c>
      <c r="F71" s="4" t="n">
        <f aca="false">ROUND(Raw_Data!F71,2)</f>
        <v>478.65</v>
      </c>
      <c r="G71" s="2" t="str">
        <f aca="false">PROPER(TRIM(Raw_Data!G71))</f>
        <v>552 Main St</v>
      </c>
      <c r="H71" s="2" t="str">
        <f aca="false">PROPER(TRIM(Raw_Data!H71))</f>
        <v>Online</v>
      </c>
      <c r="I71" s="2" t="str">
        <f aca="false">PROPER(TRIM(Raw_Data!I71))</f>
        <v>Shipped</v>
      </c>
      <c r="J71" s="2" t="str">
        <f aca="false">TRIM(UPPER(Raw_Data!J71))</f>
        <v>TRK35241775</v>
      </c>
      <c r="K71" s="2" t="n">
        <f aca="false">Raw_Data!K71</f>
        <v>4</v>
      </c>
      <c r="L71" s="2" t="str">
        <f aca="false">IF(TRIM(Raw_Data!L71)="","No Coupon",TRIM(UPPER(Raw_Data!L71)))</f>
        <v>No Coupon</v>
      </c>
      <c r="M71" s="2" t="str">
        <f aca="false">PROPER(TRIM(Raw_Data!M71))</f>
        <v>Referral</v>
      </c>
      <c r="N71" s="4" t="n">
        <f aca="false">ROUND(E71*F71,2)</f>
        <v>1435.95</v>
      </c>
      <c r="O71" s="2" t="str">
        <f aca="false">IF(COUNTIF($A$2:$A$1201,A71)&gt;1,"DUPLICATE","Unique")</f>
        <v>Unique</v>
      </c>
      <c r="P71" s="2" t="str">
        <f aca="false">IF(L71="","MISSING","OK")</f>
        <v>OK</v>
      </c>
      <c r="Q71" s="2" t="str">
        <f aca="false">IF(ISNUMBER(B71),"OK","BAD DATE")</f>
        <v>OK</v>
      </c>
      <c r="R71" s="2" t="str">
        <f aca="false">IF(ROUND(F71,2)=F71,"OK","FIX")</f>
        <v>OK</v>
      </c>
    </row>
    <row r="72" customFormat="false" ht="15" hidden="false" customHeight="false" outlineLevel="0" collapsed="false">
      <c r="A72" s="2" t="str">
        <f aca="false">TRIM(UPPER(Raw_Data!A72))</f>
        <v>ORD200070</v>
      </c>
      <c r="B72" s="3" t="n">
        <f aca="false">IF(ISNUMBER(Raw_Data!B72),Raw_Data!B72,DATEVALUE(Raw_Data!B72))</f>
        <v>45072</v>
      </c>
      <c r="C72" s="2" t="str">
        <f aca="false">TRIM(UPPER(Raw_Data!C72))</f>
        <v>C25123</v>
      </c>
      <c r="D72" s="2" t="str">
        <f aca="false">PROPER(TRIM(Raw_Data!D72))</f>
        <v>Desk</v>
      </c>
      <c r="E72" s="2" t="n">
        <f aca="false">Raw_Data!E72</f>
        <v>1</v>
      </c>
      <c r="F72" s="4" t="n">
        <f aca="false">ROUND(Raw_Data!F72,2)</f>
        <v>629.21</v>
      </c>
      <c r="G72" s="2" t="str">
        <f aca="false">PROPER(TRIM(Raw_Data!G72))</f>
        <v>384 Main St</v>
      </c>
      <c r="H72" s="2" t="str">
        <f aca="false">PROPER(TRIM(Raw_Data!H72))</f>
        <v>Gift Card</v>
      </c>
      <c r="I72" s="2" t="str">
        <f aca="false">PROPER(TRIM(Raw_Data!I72))</f>
        <v>Pending</v>
      </c>
      <c r="J72" s="2" t="str">
        <f aca="false">TRIM(UPPER(Raw_Data!J72))</f>
        <v>TRK27812282</v>
      </c>
      <c r="K72" s="2" t="n">
        <f aca="false">Raw_Data!K72</f>
        <v>2</v>
      </c>
      <c r="L72" s="2" t="str">
        <f aca="false">IF(TRIM(Raw_Data!L72)="","No Coupon",TRIM(UPPER(Raw_Data!L72)))</f>
        <v>FREESHIP</v>
      </c>
      <c r="M72" s="2" t="str">
        <f aca="false">PROPER(TRIM(Raw_Data!M72))</f>
        <v>Instagram</v>
      </c>
      <c r="N72" s="4" t="n">
        <f aca="false">ROUND(E72*F72,2)</f>
        <v>629.21</v>
      </c>
      <c r="O72" s="2" t="str">
        <f aca="false">IF(COUNTIF($A$2:$A$1201,A72)&gt;1,"DUPLICATE","Unique")</f>
        <v>Unique</v>
      </c>
      <c r="P72" s="2" t="str">
        <f aca="false">IF(L72="","MISSING","OK")</f>
        <v>OK</v>
      </c>
      <c r="Q72" s="2" t="str">
        <f aca="false">IF(ISNUMBER(B72),"OK","BAD DATE")</f>
        <v>OK</v>
      </c>
      <c r="R72" s="2" t="str">
        <f aca="false">IF(ROUND(F72,2)=F72,"OK","FIX")</f>
        <v>OK</v>
      </c>
    </row>
    <row r="73" customFormat="false" ht="15" hidden="false" customHeight="false" outlineLevel="0" collapsed="false">
      <c r="A73" s="2" t="str">
        <f aca="false">TRIM(UPPER(Raw_Data!A73))</f>
        <v>ORD200071</v>
      </c>
      <c r="B73" s="3" t="n">
        <f aca="false">IF(ISNUMBER(Raw_Data!B73),Raw_Data!B73,DATEVALUE(Raw_Data!B73))</f>
        <v>45818</v>
      </c>
      <c r="C73" s="2" t="str">
        <f aca="false">TRIM(UPPER(Raw_Data!C73))</f>
        <v>C37454</v>
      </c>
      <c r="D73" s="2" t="str">
        <f aca="false">PROPER(TRIM(Raw_Data!D73))</f>
        <v>Monitor</v>
      </c>
      <c r="E73" s="2" t="n">
        <f aca="false">Raw_Data!E73</f>
        <v>3</v>
      </c>
      <c r="F73" s="4" t="n">
        <f aca="false">ROUND(Raw_Data!F73,2)</f>
        <v>434.45</v>
      </c>
      <c r="G73" s="2" t="str">
        <f aca="false">PROPER(TRIM(Raw_Data!G73))</f>
        <v>923 Main St</v>
      </c>
      <c r="H73" s="2" t="str">
        <f aca="false">PROPER(TRIM(Raw_Data!H73))</f>
        <v>Credit Card</v>
      </c>
      <c r="I73" s="2" t="str">
        <f aca="false">PROPER(TRIM(Raw_Data!I73))</f>
        <v>Pending</v>
      </c>
      <c r="J73" s="2" t="str">
        <f aca="false">TRIM(UPPER(Raw_Data!J73))</f>
        <v>TRK28252730</v>
      </c>
      <c r="K73" s="2" t="n">
        <f aca="false">Raw_Data!K73</f>
        <v>4</v>
      </c>
      <c r="L73" s="2" t="str">
        <f aca="false">IF(TRIM(Raw_Data!L73)="","No Coupon",TRIM(UPPER(Raw_Data!L73)))</f>
        <v>No Coupon</v>
      </c>
      <c r="M73" s="2" t="str">
        <f aca="false">PROPER(TRIM(Raw_Data!M73))</f>
        <v>Referral</v>
      </c>
      <c r="N73" s="4" t="n">
        <f aca="false">ROUND(E73*F73,2)</f>
        <v>1303.35</v>
      </c>
      <c r="O73" s="2" t="str">
        <f aca="false">IF(COUNTIF($A$2:$A$1201,A73)&gt;1,"DUPLICATE","Unique")</f>
        <v>Unique</v>
      </c>
      <c r="P73" s="2" t="str">
        <f aca="false">IF(L73="","MISSING","OK")</f>
        <v>OK</v>
      </c>
      <c r="Q73" s="2" t="str">
        <f aca="false">IF(ISNUMBER(B73),"OK","BAD DATE")</f>
        <v>OK</v>
      </c>
      <c r="R73" s="2" t="str">
        <f aca="false">IF(ROUND(F73,2)=F73,"OK","FIX")</f>
        <v>OK</v>
      </c>
    </row>
    <row r="74" customFormat="false" ht="15" hidden="false" customHeight="false" outlineLevel="0" collapsed="false">
      <c r="A74" s="2" t="str">
        <f aca="false">TRIM(UPPER(Raw_Data!A74))</f>
        <v>ORD200072</v>
      </c>
      <c r="B74" s="3" t="n">
        <f aca="false">IF(ISNUMBER(Raw_Data!B74),Raw_Data!B74,DATEVALUE(Raw_Data!B74))</f>
        <v>45648</v>
      </c>
      <c r="C74" s="2" t="str">
        <f aca="false">TRIM(UPPER(Raw_Data!C74))</f>
        <v>C19451</v>
      </c>
      <c r="D74" s="2" t="str">
        <f aca="false">PROPER(TRIM(Raw_Data!D74))</f>
        <v>Tablet</v>
      </c>
      <c r="E74" s="2" t="n">
        <f aca="false">Raw_Data!E74</f>
        <v>4</v>
      </c>
      <c r="F74" s="4" t="n">
        <f aca="false">ROUND(Raw_Data!F74,2)</f>
        <v>589.44</v>
      </c>
      <c r="G74" s="2" t="str">
        <f aca="false">PROPER(TRIM(Raw_Data!G74))</f>
        <v>942 Main St</v>
      </c>
      <c r="H74" s="2" t="str">
        <f aca="false">PROPER(TRIM(Raw_Data!H74))</f>
        <v>Gift Card</v>
      </c>
      <c r="I74" s="2" t="str">
        <f aca="false">PROPER(TRIM(Raw_Data!I74))</f>
        <v>Returned</v>
      </c>
      <c r="J74" s="2" t="str">
        <f aca="false">TRIM(UPPER(Raw_Data!J74))</f>
        <v>TRK87787793</v>
      </c>
      <c r="K74" s="2" t="n">
        <f aca="false">Raw_Data!K74</f>
        <v>5</v>
      </c>
      <c r="L74" s="2" t="str">
        <f aca="false">IF(TRIM(Raw_Data!L74)="","No Coupon",TRIM(UPPER(Raw_Data!L74)))</f>
        <v>No Coupon</v>
      </c>
      <c r="M74" s="2" t="str">
        <f aca="false">PROPER(TRIM(Raw_Data!M74))</f>
        <v>Facebook</v>
      </c>
      <c r="N74" s="4" t="n">
        <f aca="false">ROUND(E74*F74,2)</f>
        <v>2357.76</v>
      </c>
      <c r="O74" s="2" t="str">
        <f aca="false">IF(COUNTIF($A$2:$A$1201,A74)&gt;1,"DUPLICATE","Unique")</f>
        <v>Unique</v>
      </c>
      <c r="P74" s="2" t="str">
        <f aca="false">IF(L74="","MISSING","OK")</f>
        <v>OK</v>
      </c>
      <c r="Q74" s="2" t="str">
        <f aca="false">IF(ISNUMBER(B74),"OK","BAD DATE")</f>
        <v>OK</v>
      </c>
      <c r="R74" s="2" t="str">
        <f aca="false">IF(ROUND(F74,2)=F74,"OK","FIX")</f>
        <v>OK</v>
      </c>
    </row>
    <row r="75" customFormat="false" ht="15" hidden="false" customHeight="false" outlineLevel="0" collapsed="false">
      <c r="A75" s="2" t="str">
        <f aca="false">TRIM(UPPER(Raw_Data!A75))</f>
        <v>ORD200073</v>
      </c>
      <c r="B75" s="3" t="n">
        <f aca="false">IF(ISNUMBER(Raw_Data!B75),Raw_Data!B75,DATEVALUE(Raw_Data!B75))</f>
        <v>45049</v>
      </c>
      <c r="C75" s="2" t="str">
        <f aca="false">TRIM(UPPER(Raw_Data!C75))</f>
        <v>C17269</v>
      </c>
      <c r="D75" s="2" t="str">
        <f aca="false">PROPER(TRIM(Raw_Data!D75))</f>
        <v>Monitor</v>
      </c>
      <c r="E75" s="2" t="n">
        <f aca="false">Raw_Data!E75</f>
        <v>4</v>
      </c>
      <c r="F75" s="4" t="n">
        <f aca="false">ROUND(Raw_Data!F75,2)</f>
        <v>433.45</v>
      </c>
      <c r="G75" s="2" t="str">
        <f aca="false">PROPER(TRIM(Raw_Data!G75))</f>
        <v>129 Main St</v>
      </c>
      <c r="H75" s="2" t="str">
        <f aca="false">PROPER(TRIM(Raw_Data!H75))</f>
        <v>Gift Card</v>
      </c>
      <c r="I75" s="2" t="str">
        <f aca="false">PROPER(TRIM(Raw_Data!I75))</f>
        <v>Cancelled</v>
      </c>
      <c r="J75" s="2" t="str">
        <f aca="false">TRIM(UPPER(Raw_Data!J75))</f>
        <v>TRK79608389</v>
      </c>
      <c r="K75" s="2" t="n">
        <f aca="false">Raw_Data!K75</f>
        <v>4</v>
      </c>
      <c r="L75" s="2" t="str">
        <f aca="false">IF(TRIM(Raw_Data!L75)="","No Coupon",TRIM(UPPER(Raw_Data!L75)))</f>
        <v>No Coupon</v>
      </c>
      <c r="M75" s="2" t="str">
        <f aca="false">PROPER(TRIM(Raw_Data!M75))</f>
        <v>Facebook</v>
      </c>
      <c r="N75" s="4" t="n">
        <f aca="false">ROUND(E75*F75,2)</f>
        <v>1733.8</v>
      </c>
      <c r="O75" s="2" t="str">
        <f aca="false">IF(COUNTIF($A$2:$A$1201,A75)&gt;1,"DUPLICATE","Unique")</f>
        <v>Unique</v>
      </c>
      <c r="P75" s="2" t="str">
        <f aca="false">IF(L75="","MISSING","OK")</f>
        <v>OK</v>
      </c>
      <c r="Q75" s="2" t="str">
        <f aca="false">IF(ISNUMBER(B75),"OK","BAD DATE")</f>
        <v>OK</v>
      </c>
      <c r="R75" s="2" t="str">
        <f aca="false">IF(ROUND(F75,2)=F75,"OK","FIX")</f>
        <v>OK</v>
      </c>
    </row>
    <row r="76" customFormat="false" ht="15" hidden="false" customHeight="false" outlineLevel="0" collapsed="false">
      <c r="A76" s="2" t="str">
        <f aca="false">TRIM(UPPER(Raw_Data!A76))</f>
        <v>ORD200074</v>
      </c>
      <c r="B76" s="3" t="n">
        <f aca="false">IF(ISNUMBER(Raw_Data!B76),Raw_Data!B76,DATEVALUE(Raw_Data!B76))</f>
        <v>45101</v>
      </c>
      <c r="C76" s="2" t="str">
        <f aca="false">TRIM(UPPER(Raw_Data!C76))</f>
        <v>C25382</v>
      </c>
      <c r="D76" s="2" t="str">
        <f aca="false">PROPER(TRIM(Raw_Data!D76))</f>
        <v>Phone</v>
      </c>
      <c r="E76" s="2" t="n">
        <f aca="false">Raw_Data!E76</f>
        <v>5</v>
      </c>
      <c r="F76" s="4" t="n">
        <f aca="false">ROUND(Raw_Data!F76,2)</f>
        <v>90.87</v>
      </c>
      <c r="G76" s="2" t="str">
        <f aca="false">PROPER(TRIM(Raw_Data!G76))</f>
        <v>622 Main St</v>
      </c>
      <c r="H76" s="2" t="str">
        <f aca="false">PROPER(TRIM(Raw_Data!H76))</f>
        <v>Cash</v>
      </c>
      <c r="I76" s="2" t="str">
        <f aca="false">PROPER(TRIM(Raw_Data!I76))</f>
        <v>Pending</v>
      </c>
      <c r="J76" s="2" t="str">
        <f aca="false">TRIM(UPPER(Raw_Data!J76))</f>
        <v>TRK64691287</v>
      </c>
      <c r="K76" s="2" t="n">
        <f aca="false">Raw_Data!K76</f>
        <v>5</v>
      </c>
      <c r="L76" s="2" t="str">
        <f aca="false">IF(TRIM(Raw_Data!L76)="","No Coupon",TRIM(UPPER(Raw_Data!L76)))</f>
        <v>No Coupon</v>
      </c>
      <c r="M76" s="2" t="str">
        <f aca="false">PROPER(TRIM(Raw_Data!M76))</f>
        <v>Instagram</v>
      </c>
      <c r="N76" s="4" t="n">
        <f aca="false">ROUND(E76*F76,2)</f>
        <v>454.35</v>
      </c>
      <c r="O76" s="2" t="str">
        <f aca="false">IF(COUNTIF($A$2:$A$1201,A76)&gt;1,"DUPLICATE","Unique")</f>
        <v>Unique</v>
      </c>
      <c r="P76" s="2" t="str">
        <f aca="false">IF(L76="","MISSING","OK")</f>
        <v>OK</v>
      </c>
      <c r="Q76" s="2" t="str">
        <f aca="false">IF(ISNUMBER(B76),"OK","BAD DATE")</f>
        <v>OK</v>
      </c>
      <c r="R76" s="2" t="str">
        <f aca="false">IF(ROUND(F76,2)=F76,"OK","FIX")</f>
        <v>OK</v>
      </c>
    </row>
    <row r="77" customFormat="false" ht="15" hidden="false" customHeight="false" outlineLevel="0" collapsed="false">
      <c r="A77" s="2" t="str">
        <f aca="false">TRIM(UPPER(Raw_Data!A77))</f>
        <v>ORD200075</v>
      </c>
      <c r="B77" s="3" t="n">
        <f aca="false">IF(ISNUMBER(Raw_Data!B77),Raw_Data!B77,DATEVALUE(Raw_Data!B77))</f>
        <v>45195</v>
      </c>
      <c r="C77" s="2" t="str">
        <f aca="false">TRIM(UPPER(Raw_Data!C77))</f>
        <v>C80651</v>
      </c>
      <c r="D77" s="2" t="str">
        <f aca="false">PROPER(TRIM(Raw_Data!D77))</f>
        <v>Tablet</v>
      </c>
      <c r="E77" s="2" t="n">
        <f aca="false">Raw_Data!E77</f>
        <v>3</v>
      </c>
      <c r="F77" s="4" t="n">
        <f aca="false">ROUND(Raw_Data!F77,2)</f>
        <v>398.17</v>
      </c>
      <c r="G77" s="2" t="str">
        <f aca="false">PROPER(TRIM(Raw_Data!G77))</f>
        <v>917 Main St</v>
      </c>
      <c r="H77" s="2" t="str">
        <f aca="false">PROPER(TRIM(Raw_Data!H77))</f>
        <v>Debit Card</v>
      </c>
      <c r="I77" s="2" t="str">
        <f aca="false">PROPER(TRIM(Raw_Data!I77))</f>
        <v>Delivered</v>
      </c>
      <c r="J77" s="2" t="str">
        <f aca="false">TRIM(UPPER(Raw_Data!J77))</f>
        <v>TRK14846720</v>
      </c>
      <c r="K77" s="2" t="n">
        <f aca="false">Raw_Data!K77</f>
        <v>5</v>
      </c>
      <c r="L77" s="2" t="str">
        <f aca="false">IF(TRIM(Raw_Data!L77)="","No Coupon",TRIM(UPPER(Raw_Data!L77)))</f>
        <v>SAVE10</v>
      </c>
      <c r="M77" s="2" t="str">
        <f aca="false">PROPER(TRIM(Raw_Data!M77))</f>
        <v>Email</v>
      </c>
      <c r="N77" s="4" t="n">
        <f aca="false">ROUND(E77*F77,2)</f>
        <v>1194.51</v>
      </c>
      <c r="O77" s="2" t="str">
        <f aca="false">IF(COUNTIF($A$2:$A$1201,A77)&gt;1,"DUPLICATE","Unique")</f>
        <v>Unique</v>
      </c>
      <c r="P77" s="2" t="str">
        <f aca="false">IF(L77="","MISSING","OK")</f>
        <v>OK</v>
      </c>
      <c r="Q77" s="2" t="str">
        <f aca="false">IF(ISNUMBER(B77),"OK","BAD DATE")</f>
        <v>OK</v>
      </c>
      <c r="R77" s="2" t="str">
        <f aca="false">IF(ROUND(F77,2)=F77,"OK","FIX")</f>
        <v>OK</v>
      </c>
    </row>
    <row r="78" customFormat="false" ht="15" hidden="false" customHeight="false" outlineLevel="0" collapsed="false">
      <c r="A78" s="2" t="str">
        <f aca="false">TRIM(UPPER(Raw_Data!A78))</f>
        <v>ORD200076</v>
      </c>
      <c r="B78" s="3" t="n">
        <f aca="false">IF(ISNUMBER(Raw_Data!B78),Raw_Data!B78,DATEVALUE(Raw_Data!B78))</f>
        <v>45382</v>
      </c>
      <c r="C78" s="2" t="str">
        <f aca="false">TRIM(UPPER(Raw_Data!C78))</f>
        <v>C58638</v>
      </c>
      <c r="D78" s="2" t="str">
        <f aca="false">PROPER(TRIM(Raw_Data!D78))</f>
        <v>Laptop</v>
      </c>
      <c r="E78" s="2" t="n">
        <f aca="false">Raw_Data!E78</f>
        <v>4</v>
      </c>
      <c r="F78" s="4" t="n">
        <f aca="false">ROUND(Raw_Data!F78,2)</f>
        <v>382.88</v>
      </c>
      <c r="G78" s="2" t="str">
        <f aca="false">PROPER(TRIM(Raw_Data!G78))</f>
        <v>239 Main St</v>
      </c>
      <c r="H78" s="2" t="str">
        <f aca="false">PROPER(TRIM(Raw_Data!H78))</f>
        <v>Cash</v>
      </c>
      <c r="I78" s="2" t="str">
        <f aca="false">PROPER(TRIM(Raw_Data!I78))</f>
        <v>Cancelled</v>
      </c>
      <c r="J78" s="2" t="str">
        <f aca="false">TRIM(UPPER(Raw_Data!J78))</f>
        <v>TRK38224871</v>
      </c>
      <c r="K78" s="2" t="n">
        <f aca="false">Raw_Data!K78</f>
        <v>6</v>
      </c>
      <c r="L78" s="2" t="str">
        <f aca="false">IF(TRIM(Raw_Data!L78)="","No Coupon",TRIM(UPPER(Raw_Data!L78)))</f>
        <v>WINTER15</v>
      </c>
      <c r="M78" s="2" t="str">
        <f aca="false">PROPER(TRIM(Raw_Data!M78))</f>
        <v>Email</v>
      </c>
      <c r="N78" s="4" t="n">
        <f aca="false">ROUND(E78*F78,2)</f>
        <v>1531.52</v>
      </c>
      <c r="O78" s="2" t="str">
        <f aca="false">IF(COUNTIF($A$2:$A$1201,A78)&gt;1,"DUPLICATE","Unique")</f>
        <v>Unique</v>
      </c>
      <c r="P78" s="2" t="str">
        <f aca="false">IF(L78="","MISSING","OK")</f>
        <v>OK</v>
      </c>
      <c r="Q78" s="2" t="str">
        <f aca="false">IF(ISNUMBER(B78),"OK","BAD DATE")</f>
        <v>OK</v>
      </c>
      <c r="R78" s="2" t="str">
        <f aca="false">IF(ROUND(F78,2)=F78,"OK","FIX")</f>
        <v>OK</v>
      </c>
    </row>
    <row r="79" customFormat="false" ht="15" hidden="false" customHeight="false" outlineLevel="0" collapsed="false">
      <c r="A79" s="2" t="str">
        <f aca="false">TRIM(UPPER(Raw_Data!A79))</f>
        <v>ORD200077</v>
      </c>
      <c r="B79" s="3" t="n">
        <f aca="false">IF(ISNUMBER(Raw_Data!B79),Raw_Data!B79,DATEVALUE(Raw_Data!B79))</f>
        <v>45436</v>
      </c>
      <c r="C79" s="2" t="str">
        <f aca="false">TRIM(UPPER(Raw_Data!C79))</f>
        <v>C50121</v>
      </c>
      <c r="D79" s="2" t="str">
        <f aca="false">PROPER(TRIM(Raw_Data!D79))</f>
        <v>Phone</v>
      </c>
      <c r="E79" s="2" t="n">
        <f aca="false">Raw_Data!E79</f>
        <v>1</v>
      </c>
      <c r="F79" s="4" t="n">
        <f aca="false">ROUND(Raw_Data!F79,2)</f>
        <v>583.18</v>
      </c>
      <c r="G79" s="2" t="str">
        <f aca="false">PROPER(TRIM(Raw_Data!G79))</f>
        <v>348 Main St</v>
      </c>
      <c r="H79" s="2" t="str">
        <f aca="false">PROPER(TRIM(Raw_Data!H79))</f>
        <v>Credit Card</v>
      </c>
      <c r="I79" s="2" t="str">
        <f aca="false">PROPER(TRIM(Raw_Data!I79))</f>
        <v>Returned</v>
      </c>
      <c r="J79" s="2" t="str">
        <f aca="false">TRIM(UPPER(Raw_Data!J79))</f>
        <v>TRK79810059</v>
      </c>
      <c r="K79" s="2" t="n">
        <f aca="false">Raw_Data!K79</f>
        <v>5</v>
      </c>
      <c r="L79" s="2" t="str">
        <f aca="false">IF(TRIM(Raw_Data!L79)="","No Coupon",TRIM(UPPER(Raw_Data!L79)))</f>
        <v>No Coupon</v>
      </c>
      <c r="M79" s="2" t="str">
        <f aca="false">PROPER(TRIM(Raw_Data!M79))</f>
        <v>Google</v>
      </c>
      <c r="N79" s="4" t="n">
        <f aca="false">ROUND(E79*F79,2)</f>
        <v>583.18</v>
      </c>
      <c r="O79" s="2" t="str">
        <f aca="false">IF(COUNTIF($A$2:$A$1201,A79)&gt;1,"DUPLICATE","Unique")</f>
        <v>Unique</v>
      </c>
      <c r="P79" s="2" t="str">
        <f aca="false">IF(L79="","MISSING","OK")</f>
        <v>OK</v>
      </c>
      <c r="Q79" s="2" t="str">
        <f aca="false">IF(ISNUMBER(B79),"OK","BAD DATE")</f>
        <v>OK</v>
      </c>
      <c r="R79" s="2" t="str">
        <f aca="false">IF(ROUND(F79,2)=F79,"OK","FIX")</f>
        <v>OK</v>
      </c>
    </row>
    <row r="80" customFormat="false" ht="15" hidden="false" customHeight="false" outlineLevel="0" collapsed="false">
      <c r="A80" s="2" t="str">
        <f aca="false">TRIM(UPPER(Raw_Data!A80))</f>
        <v>ORD200078</v>
      </c>
      <c r="B80" s="3" t="n">
        <f aca="false">IF(ISNUMBER(Raw_Data!B80),Raw_Data!B80,DATEVALUE(Raw_Data!B80))</f>
        <v>45510</v>
      </c>
      <c r="C80" s="2" t="str">
        <f aca="false">TRIM(UPPER(Raw_Data!C80))</f>
        <v>C32029</v>
      </c>
      <c r="D80" s="2" t="str">
        <f aca="false">PROPER(TRIM(Raw_Data!D80))</f>
        <v>Printer</v>
      </c>
      <c r="E80" s="2" t="n">
        <f aca="false">Raw_Data!E80</f>
        <v>4</v>
      </c>
      <c r="F80" s="4" t="n">
        <f aca="false">ROUND(Raw_Data!F80,2)</f>
        <v>175.36</v>
      </c>
      <c r="G80" s="2" t="str">
        <f aca="false">PROPER(TRIM(Raw_Data!G80))</f>
        <v>146 Main St</v>
      </c>
      <c r="H80" s="2" t="str">
        <f aca="false">PROPER(TRIM(Raw_Data!H80))</f>
        <v>Debit Card</v>
      </c>
      <c r="I80" s="2" t="str">
        <f aca="false">PROPER(TRIM(Raw_Data!I80))</f>
        <v>Delivered</v>
      </c>
      <c r="J80" s="2" t="str">
        <f aca="false">TRIM(UPPER(Raw_Data!J80))</f>
        <v>TRK68535532</v>
      </c>
      <c r="K80" s="2" t="n">
        <f aca="false">Raw_Data!K80</f>
        <v>4</v>
      </c>
      <c r="L80" s="2" t="str">
        <f aca="false">IF(TRIM(Raw_Data!L80)="","No Coupon",TRIM(UPPER(Raw_Data!L80)))</f>
        <v>FREESHIP</v>
      </c>
      <c r="M80" s="2" t="str">
        <f aca="false">PROPER(TRIM(Raw_Data!M80))</f>
        <v>Instagram</v>
      </c>
      <c r="N80" s="4" t="n">
        <f aca="false">ROUND(E80*F80,2)</f>
        <v>701.44</v>
      </c>
      <c r="O80" s="2" t="str">
        <f aca="false">IF(COUNTIF($A$2:$A$1201,A80)&gt;1,"DUPLICATE","Unique")</f>
        <v>Unique</v>
      </c>
      <c r="P80" s="2" t="str">
        <f aca="false">IF(L80="","MISSING","OK")</f>
        <v>OK</v>
      </c>
      <c r="Q80" s="2" t="str">
        <f aca="false">IF(ISNUMBER(B80),"OK","BAD DATE")</f>
        <v>OK</v>
      </c>
      <c r="R80" s="2" t="str">
        <f aca="false">IF(ROUND(F80,2)=F80,"OK","FIX")</f>
        <v>OK</v>
      </c>
    </row>
    <row r="81" customFormat="false" ht="15" hidden="false" customHeight="false" outlineLevel="0" collapsed="false">
      <c r="A81" s="2" t="str">
        <f aca="false">TRIM(UPPER(Raw_Data!A81))</f>
        <v>ORD200079</v>
      </c>
      <c r="B81" s="3" t="n">
        <f aca="false">IF(ISNUMBER(Raw_Data!B81),Raw_Data!B81,DATEVALUE(Raw_Data!B81))</f>
        <v>45726</v>
      </c>
      <c r="C81" s="2" t="str">
        <f aca="false">TRIM(UPPER(Raw_Data!C81))</f>
        <v>C76700</v>
      </c>
      <c r="D81" s="2" t="str">
        <f aca="false">PROPER(TRIM(Raw_Data!D81))</f>
        <v>Tablet</v>
      </c>
      <c r="E81" s="2" t="n">
        <f aca="false">Raw_Data!E81</f>
        <v>2</v>
      </c>
      <c r="F81" s="4" t="n">
        <f aca="false">ROUND(Raw_Data!F81,2)</f>
        <v>311.91</v>
      </c>
      <c r="G81" s="2" t="str">
        <f aca="false">PROPER(TRIM(Raw_Data!G81))</f>
        <v>103 Main St</v>
      </c>
      <c r="H81" s="2" t="str">
        <f aca="false">PROPER(TRIM(Raw_Data!H81))</f>
        <v>Online</v>
      </c>
      <c r="I81" s="2" t="str">
        <f aca="false">PROPER(TRIM(Raw_Data!I81))</f>
        <v>Shipped</v>
      </c>
      <c r="J81" s="2" t="str">
        <f aca="false">TRIM(UPPER(Raw_Data!J81))</f>
        <v>TRK13036341</v>
      </c>
      <c r="K81" s="2" t="n">
        <f aca="false">Raw_Data!K81</f>
        <v>2</v>
      </c>
      <c r="L81" s="2" t="str">
        <f aca="false">IF(TRIM(Raw_Data!L81)="","No Coupon",TRIM(UPPER(Raw_Data!L81)))</f>
        <v>No Coupon</v>
      </c>
      <c r="M81" s="2" t="str">
        <f aca="false">PROPER(TRIM(Raw_Data!M81))</f>
        <v>Facebook</v>
      </c>
      <c r="N81" s="4" t="n">
        <f aca="false">ROUND(E81*F81,2)</f>
        <v>623.82</v>
      </c>
      <c r="O81" s="2" t="str">
        <f aca="false">IF(COUNTIF($A$2:$A$1201,A81)&gt;1,"DUPLICATE","Unique")</f>
        <v>Unique</v>
      </c>
      <c r="P81" s="2" t="str">
        <f aca="false">IF(L81="","MISSING","OK")</f>
        <v>OK</v>
      </c>
      <c r="Q81" s="2" t="str">
        <f aca="false">IF(ISNUMBER(B81),"OK","BAD DATE")</f>
        <v>OK</v>
      </c>
      <c r="R81" s="2" t="str">
        <f aca="false">IF(ROUND(F81,2)=F81,"OK","FIX")</f>
        <v>OK</v>
      </c>
    </row>
    <row r="82" customFormat="false" ht="15" hidden="false" customHeight="false" outlineLevel="0" collapsed="false">
      <c r="A82" s="2" t="str">
        <f aca="false">TRIM(UPPER(Raw_Data!A82))</f>
        <v>ORD200080</v>
      </c>
      <c r="B82" s="3" t="n">
        <f aca="false">IF(ISNUMBER(Raw_Data!B82),Raw_Data!B82,DATEVALUE(Raw_Data!B82))</f>
        <v>45104</v>
      </c>
      <c r="C82" s="2" t="str">
        <f aca="false">TRIM(UPPER(Raw_Data!C82))</f>
        <v>C29041</v>
      </c>
      <c r="D82" s="2" t="str">
        <f aca="false">PROPER(TRIM(Raw_Data!D82))</f>
        <v>Phone</v>
      </c>
      <c r="E82" s="2" t="n">
        <f aca="false">Raw_Data!E82</f>
        <v>3</v>
      </c>
      <c r="F82" s="4" t="n">
        <f aca="false">ROUND(Raw_Data!F82,2)</f>
        <v>589.56</v>
      </c>
      <c r="G82" s="2" t="str">
        <f aca="false">PROPER(TRIM(Raw_Data!G82))</f>
        <v>591 Main St</v>
      </c>
      <c r="H82" s="2" t="str">
        <f aca="false">PROPER(TRIM(Raw_Data!H82))</f>
        <v>Online</v>
      </c>
      <c r="I82" s="2" t="str">
        <f aca="false">PROPER(TRIM(Raw_Data!I82))</f>
        <v>Returned</v>
      </c>
      <c r="J82" s="2" t="str">
        <f aca="false">TRIM(UPPER(Raw_Data!J82))</f>
        <v>TRK28840655</v>
      </c>
      <c r="K82" s="2" t="n">
        <f aca="false">Raw_Data!K82</f>
        <v>6</v>
      </c>
      <c r="L82" s="2" t="str">
        <f aca="false">IF(TRIM(Raw_Data!L82)="","No Coupon",TRIM(UPPER(Raw_Data!L82)))</f>
        <v>No Coupon</v>
      </c>
      <c r="M82" s="2" t="str">
        <f aca="false">PROPER(TRIM(Raw_Data!M82))</f>
        <v>Facebook</v>
      </c>
      <c r="N82" s="4" t="n">
        <f aca="false">ROUND(E82*F82,2)</f>
        <v>1768.68</v>
      </c>
      <c r="O82" s="2" t="str">
        <f aca="false">IF(COUNTIF($A$2:$A$1201,A82)&gt;1,"DUPLICATE","Unique")</f>
        <v>Unique</v>
      </c>
      <c r="P82" s="2" t="str">
        <f aca="false">IF(L82="","MISSING","OK")</f>
        <v>OK</v>
      </c>
      <c r="Q82" s="2" t="str">
        <f aca="false">IF(ISNUMBER(B82),"OK","BAD DATE")</f>
        <v>OK</v>
      </c>
      <c r="R82" s="2" t="str">
        <f aca="false">IF(ROUND(F82,2)=F82,"OK","FIX")</f>
        <v>OK</v>
      </c>
    </row>
    <row r="83" customFormat="false" ht="15" hidden="false" customHeight="false" outlineLevel="0" collapsed="false">
      <c r="A83" s="2" t="str">
        <f aca="false">TRIM(UPPER(Raw_Data!A83))</f>
        <v>ORD200081</v>
      </c>
      <c r="B83" s="3" t="n">
        <f aca="false">IF(ISNUMBER(Raw_Data!B83),Raw_Data!B83,DATEVALUE(Raw_Data!B83))</f>
        <v>45085</v>
      </c>
      <c r="C83" s="2" t="str">
        <f aca="false">TRIM(UPPER(Raw_Data!C83))</f>
        <v>C29314</v>
      </c>
      <c r="D83" s="2" t="str">
        <f aca="false">PROPER(TRIM(Raw_Data!D83))</f>
        <v>Monitor</v>
      </c>
      <c r="E83" s="2" t="n">
        <f aca="false">Raw_Data!E83</f>
        <v>2</v>
      </c>
      <c r="F83" s="4" t="n">
        <f aca="false">ROUND(Raw_Data!F83,2)</f>
        <v>394.3</v>
      </c>
      <c r="G83" s="2" t="str">
        <f aca="false">PROPER(TRIM(Raw_Data!G83))</f>
        <v>496 Main St</v>
      </c>
      <c r="H83" s="2" t="str">
        <f aca="false">PROPER(TRIM(Raw_Data!H83))</f>
        <v>Cash</v>
      </c>
      <c r="I83" s="2" t="str">
        <f aca="false">PROPER(TRIM(Raw_Data!I83))</f>
        <v>Shipped</v>
      </c>
      <c r="J83" s="2" t="str">
        <f aca="false">TRIM(UPPER(Raw_Data!J83))</f>
        <v>TRK59876213</v>
      </c>
      <c r="K83" s="2" t="n">
        <f aca="false">Raw_Data!K83</f>
        <v>6</v>
      </c>
      <c r="L83" s="2" t="str">
        <f aca="false">IF(TRIM(Raw_Data!L83)="","No Coupon",TRIM(UPPER(Raw_Data!L83)))</f>
        <v>FREESHIP</v>
      </c>
      <c r="M83" s="2" t="str">
        <f aca="false">PROPER(TRIM(Raw_Data!M83))</f>
        <v>Email</v>
      </c>
      <c r="N83" s="4" t="n">
        <f aca="false">ROUND(E83*F83,2)</f>
        <v>788.6</v>
      </c>
      <c r="O83" s="2" t="str">
        <f aca="false">IF(COUNTIF($A$2:$A$1201,A83)&gt;1,"DUPLICATE","Unique")</f>
        <v>Unique</v>
      </c>
      <c r="P83" s="2" t="str">
        <f aca="false">IF(L83="","MISSING","OK")</f>
        <v>OK</v>
      </c>
      <c r="Q83" s="2" t="str">
        <f aca="false">IF(ISNUMBER(B83),"OK","BAD DATE")</f>
        <v>OK</v>
      </c>
      <c r="R83" s="2" t="str">
        <f aca="false">IF(ROUND(F83,2)=F83,"OK","FIX")</f>
        <v>OK</v>
      </c>
    </row>
    <row r="84" customFormat="false" ht="15" hidden="false" customHeight="false" outlineLevel="0" collapsed="false">
      <c r="A84" s="2" t="str">
        <f aca="false">TRIM(UPPER(Raw_Data!A84))</f>
        <v>ORD200082</v>
      </c>
      <c r="B84" s="3" t="n">
        <f aca="false">IF(ISNUMBER(Raw_Data!B84),Raw_Data!B84,DATEVALUE(Raw_Data!B84))</f>
        <v>45296</v>
      </c>
      <c r="C84" s="2" t="str">
        <f aca="false">TRIM(UPPER(Raw_Data!C84))</f>
        <v>C65799</v>
      </c>
      <c r="D84" s="2" t="str">
        <f aca="false">PROPER(TRIM(Raw_Data!D84))</f>
        <v>Tablet</v>
      </c>
      <c r="E84" s="2" t="n">
        <f aca="false">Raw_Data!E84</f>
        <v>4</v>
      </c>
      <c r="F84" s="4" t="n">
        <f aca="false">ROUND(Raw_Data!F84,2)</f>
        <v>565.2</v>
      </c>
      <c r="G84" s="2" t="str">
        <f aca="false">PROPER(TRIM(Raw_Data!G84))</f>
        <v>971 Main St</v>
      </c>
      <c r="H84" s="2" t="str">
        <f aca="false">PROPER(TRIM(Raw_Data!H84))</f>
        <v>Debit Card</v>
      </c>
      <c r="I84" s="2" t="str">
        <f aca="false">PROPER(TRIM(Raw_Data!I84))</f>
        <v>Shipped</v>
      </c>
      <c r="J84" s="2" t="str">
        <f aca="false">TRIM(UPPER(Raw_Data!J84))</f>
        <v>TRK66906607</v>
      </c>
      <c r="K84" s="2" t="n">
        <f aca="false">Raw_Data!K84</f>
        <v>9</v>
      </c>
      <c r="L84" s="2" t="str">
        <f aca="false">IF(TRIM(Raw_Data!L84)="","No Coupon",TRIM(UPPER(Raw_Data!L84)))</f>
        <v>SAVE10</v>
      </c>
      <c r="M84" s="2" t="str">
        <f aca="false">PROPER(TRIM(Raw_Data!M84))</f>
        <v>Google</v>
      </c>
      <c r="N84" s="4" t="n">
        <f aca="false">ROUND(E84*F84,2)</f>
        <v>2260.8</v>
      </c>
      <c r="O84" s="2" t="str">
        <f aca="false">IF(COUNTIF($A$2:$A$1201,A84)&gt;1,"DUPLICATE","Unique")</f>
        <v>Unique</v>
      </c>
      <c r="P84" s="2" t="str">
        <f aca="false">IF(L84="","MISSING","OK")</f>
        <v>OK</v>
      </c>
      <c r="Q84" s="2" t="str">
        <f aca="false">IF(ISNUMBER(B84),"OK","BAD DATE")</f>
        <v>OK</v>
      </c>
      <c r="R84" s="2" t="str">
        <f aca="false">IF(ROUND(F84,2)=F84,"OK","FIX")</f>
        <v>OK</v>
      </c>
    </row>
    <row r="85" customFormat="false" ht="15" hidden="false" customHeight="false" outlineLevel="0" collapsed="false">
      <c r="A85" s="2" t="str">
        <f aca="false">TRIM(UPPER(Raw_Data!A85))</f>
        <v>ORD200083</v>
      </c>
      <c r="B85" s="3" t="n">
        <f aca="false">IF(ISNUMBER(Raw_Data!B85),Raw_Data!B85,DATEVALUE(Raw_Data!B85))</f>
        <v>45160</v>
      </c>
      <c r="C85" s="2" t="str">
        <f aca="false">TRIM(UPPER(Raw_Data!C85))</f>
        <v>C15681</v>
      </c>
      <c r="D85" s="2" t="str">
        <f aca="false">PROPER(TRIM(Raw_Data!D85))</f>
        <v>Laptop</v>
      </c>
      <c r="E85" s="2" t="n">
        <f aca="false">Raw_Data!E85</f>
        <v>4</v>
      </c>
      <c r="F85" s="4" t="n">
        <f aca="false">ROUND(Raw_Data!F85,2)</f>
        <v>540.41</v>
      </c>
      <c r="G85" s="2" t="str">
        <f aca="false">PROPER(TRIM(Raw_Data!G85))</f>
        <v>989 Main St</v>
      </c>
      <c r="H85" s="2" t="str">
        <f aca="false">PROPER(TRIM(Raw_Data!H85))</f>
        <v>Credit Card</v>
      </c>
      <c r="I85" s="2" t="str">
        <f aca="false">PROPER(TRIM(Raw_Data!I85))</f>
        <v>Cancelled</v>
      </c>
      <c r="J85" s="2" t="str">
        <f aca="false">TRIM(UPPER(Raw_Data!J85))</f>
        <v>TRK75112172</v>
      </c>
      <c r="K85" s="2" t="n">
        <f aca="false">Raw_Data!K85</f>
        <v>6</v>
      </c>
      <c r="L85" s="2" t="str">
        <f aca="false">IF(TRIM(Raw_Data!L85)="","No Coupon",TRIM(UPPER(Raw_Data!L85)))</f>
        <v>No Coupon</v>
      </c>
      <c r="M85" s="2" t="str">
        <f aca="false">PROPER(TRIM(Raw_Data!M85))</f>
        <v>Referral</v>
      </c>
      <c r="N85" s="4" t="n">
        <f aca="false">ROUND(E85*F85,2)</f>
        <v>2161.64</v>
      </c>
      <c r="O85" s="2" t="str">
        <f aca="false">IF(COUNTIF($A$2:$A$1201,A85)&gt;1,"DUPLICATE","Unique")</f>
        <v>Unique</v>
      </c>
      <c r="P85" s="2" t="str">
        <f aca="false">IF(L85="","MISSING","OK")</f>
        <v>OK</v>
      </c>
      <c r="Q85" s="2" t="str">
        <f aca="false">IF(ISNUMBER(B85),"OK","BAD DATE")</f>
        <v>OK</v>
      </c>
      <c r="R85" s="2" t="str">
        <f aca="false">IF(ROUND(F85,2)=F85,"OK","FIX")</f>
        <v>OK</v>
      </c>
    </row>
    <row r="86" customFormat="false" ht="15" hidden="false" customHeight="false" outlineLevel="0" collapsed="false">
      <c r="A86" s="2" t="str">
        <f aca="false">TRIM(UPPER(Raw_Data!A86))</f>
        <v>ORD200084</v>
      </c>
      <c r="B86" s="3" t="n">
        <f aca="false">IF(ISNUMBER(Raw_Data!B86),Raw_Data!B86,DATEVALUE(Raw_Data!B86))</f>
        <v>45166</v>
      </c>
      <c r="C86" s="2" t="str">
        <f aca="false">TRIM(UPPER(Raw_Data!C86))</f>
        <v>C64160</v>
      </c>
      <c r="D86" s="2" t="str">
        <f aca="false">PROPER(TRIM(Raw_Data!D86))</f>
        <v>Monitor</v>
      </c>
      <c r="E86" s="2" t="n">
        <f aca="false">Raw_Data!E86</f>
        <v>2</v>
      </c>
      <c r="F86" s="4" t="n">
        <f aca="false">ROUND(Raw_Data!F86,2)</f>
        <v>165.49</v>
      </c>
      <c r="G86" s="2" t="str">
        <f aca="false">PROPER(TRIM(Raw_Data!G86))</f>
        <v>967 Main St</v>
      </c>
      <c r="H86" s="2" t="str">
        <f aca="false">PROPER(TRIM(Raw_Data!H86))</f>
        <v>Online</v>
      </c>
      <c r="I86" s="2" t="str">
        <f aca="false">PROPER(TRIM(Raw_Data!I86))</f>
        <v>Shipped</v>
      </c>
      <c r="J86" s="2" t="str">
        <f aca="false">TRIM(UPPER(Raw_Data!J86))</f>
        <v>TRK34121529</v>
      </c>
      <c r="K86" s="2" t="n">
        <f aca="false">Raw_Data!K86</f>
        <v>4</v>
      </c>
      <c r="L86" s="2" t="str">
        <f aca="false">IF(TRIM(Raw_Data!L86)="","No Coupon",TRIM(UPPER(Raw_Data!L86)))</f>
        <v>WINTER15</v>
      </c>
      <c r="M86" s="2" t="str">
        <f aca="false">PROPER(TRIM(Raw_Data!M86))</f>
        <v>Instagram</v>
      </c>
      <c r="N86" s="4" t="n">
        <f aca="false">ROUND(E86*F86,2)</f>
        <v>330.98</v>
      </c>
      <c r="O86" s="2" t="str">
        <f aca="false">IF(COUNTIF($A$2:$A$1201,A86)&gt;1,"DUPLICATE","Unique")</f>
        <v>Unique</v>
      </c>
      <c r="P86" s="2" t="str">
        <f aca="false">IF(L86="","MISSING","OK")</f>
        <v>OK</v>
      </c>
      <c r="Q86" s="2" t="str">
        <f aca="false">IF(ISNUMBER(B86),"OK","BAD DATE")</f>
        <v>OK</v>
      </c>
      <c r="R86" s="2" t="str">
        <f aca="false">IF(ROUND(F86,2)=F86,"OK","FIX")</f>
        <v>OK</v>
      </c>
    </row>
    <row r="87" customFormat="false" ht="15" hidden="false" customHeight="false" outlineLevel="0" collapsed="false">
      <c r="A87" s="2" t="str">
        <f aca="false">TRIM(UPPER(Raw_Data!A87))</f>
        <v>ORD200085</v>
      </c>
      <c r="B87" s="3" t="n">
        <f aca="false">IF(ISNUMBER(Raw_Data!B87),Raw_Data!B87,DATEVALUE(Raw_Data!B87))</f>
        <v>45544</v>
      </c>
      <c r="C87" s="2" t="str">
        <f aca="false">TRIM(UPPER(Raw_Data!C87))</f>
        <v>C14553</v>
      </c>
      <c r="D87" s="2" t="str">
        <f aca="false">PROPER(TRIM(Raw_Data!D87))</f>
        <v>Tablet</v>
      </c>
      <c r="E87" s="2" t="n">
        <f aca="false">Raw_Data!E87</f>
        <v>3</v>
      </c>
      <c r="F87" s="4" t="n">
        <f aca="false">ROUND(Raw_Data!F87,2)</f>
        <v>146.73</v>
      </c>
      <c r="G87" s="2" t="str">
        <f aca="false">PROPER(TRIM(Raw_Data!G87))</f>
        <v>768 Main St</v>
      </c>
      <c r="H87" s="2" t="str">
        <f aca="false">PROPER(TRIM(Raw_Data!H87))</f>
        <v>Cash</v>
      </c>
      <c r="I87" s="2" t="str">
        <f aca="false">PROPER(TRIM(Raw_Data!I87))</f>
        <v>Delivered</v>
      </c>
      <c r="J87" s="2" t="str">
        <f aca="false">TRIM(UPPER(Raw_Data!J87))</f>
        <v>TRK93538334</v>
      </c>
      <c r="K87" s="2" t="n">
        <f aca="false">Raw_Data!K87</f>
        <v>8</v>
      </c>
      <c r="L87" s="2" t="str">
        <f aca="false">IF(TRIM(Raw_Data!L87)="","No Coupon",TRIM(UPPER(Raw_Data!L87)))</f>
        <v>FREESHIP</v>
      </c>
      <c r="M87" s="2" t="str">
        <f aca="false">PROPER(TRIM(Raw_Data!M87))</f>
        <v>Email</v>
      </c>
      <c r="N87" s="4" t="n">
        <f aca="false">ROUND(E87*F87,2)</f>
        <v>440.19</v>
      </c>
      <c r="O87" s="2" t="str">
        <f aca="false">IF(COUNTIF($A$2:$A$1201,A87)&gt;1,"DUPLICATE","Unique")</f>
        <v>Unique</v>
      </c>
      <c r="P87" s="2" t="str">
        <f aca="false">IF(L87="","MISSING","OK")</f>
        <v>OK</v>
      </c>
      <c r="Q87" s="2" t="str">
        <f aca="false">IF(ISNUMBER(B87),"OK","BAD DATE")</f>
        <v>OK</v>
      </c>
      <c r="R87" s="2" t="str">
        <f aca="false">IF(ROUND(F87,2)=F87,"OK","FIX")</f>
        <v>OK</v>
      </c>
    </row>
    <row r="88" customFormat="false" ht="15" hidden="false" customHeight="false" outlineLevel="0" collapsed="false">
      <c r="A88" s="2" t="str">
        <f aca="false">TRIM(UPPER(Raw_Data!A88))</f>
        <v>ORD200086</v>
      </c>
      <c r="B88" s="3" t="n">
        <f aca="false">IF(ISNUMBER(Raw_Data!B88),Raw_Data!B88,DATEVALUE(Raw_Data!B88))</f>
        <v>45462</v>
      </c>
      <c r="C88" s="2" t="str">
        <f aca="false">TRIM(UPPER(Raw_Data!C88))</f>
        <v>C88205</v>
      </c>
      <c r="D88" s="2" t="str">
        <f aca="false">PROPER(TRIM(Raw_Data!D88))</f>
        <v>Printer</v>
      </c>
      <c r="E88" s="2" t="n">
        <f aca="false">Raw_Data!E88</f>
        <v>5</v>
      </c>
      <c r="F88" s="4" t="n">
        <f aca="false">ROUND(Raw_Data!F88,2)</f>
        <v>643.03</v>
      </c>
      <c r="G88" s="2" t="str">
        <f aca="false">PROPER(TRIM(Raw_Data!G88))</f>
        <v>447 Main St</v>
      </c>
      <c r="H88" s="2" t="str">
        <f aca="false">PROPER(TRIM(Raw_Data!H88))</f>
        <v>Online</v>
      </c>
      <c r="I88" s="2" t="str">
        <f aca="false">PROPER(TRIM(Raw_Data!I88))</f>
        <v>Cancelled</v>
      </c>
      <c r="J88" s="2" t="str">
        <f aca="false">TRIM(UPPER(Raw_Data!J88))</f>
        <v>TRK93504166</v>
      </c>
      <c r="K88" s="2" t="n">
        <f aca="false">Raw_Data!K88</f>
        <v>5</v>
      </c>
      <c r="L88" s="2" t="str">
        <f aca="false">IF(TRIM(Raw_Data!L88)="","No Coupon",TRIM(UPPER(Raw_Data!L88)))</f>
        <v>FREESHIP</v>
      </c>
      <c r="M88" s="2" t="str">
        <f aca="false">PROPER(TRIM(Raw_Data!M88))</f>
        <v>Referral</v>
      </c>
      <c r="N88" s="4" t="n">
        <f aca="false">ROUND(E88*F88,2)</f>
        <v>3215.15</v>
      </c>
      <c r="O88" s="2" t="str">
        <f aca="false">IF(COUNTIF($A$2:$A$1201,A88)&gt;1,"DUPLICATE","Unique")</f>
        <v>Unique</v>
      </c>
      <c r="P88" s="2" t="str">
        <f aca="false">IF(L88="","MISSING","OK")</f>
        <v>OK</v>
      </c>
      <c r="Q88" s="2" t="str">
        <f aca="false">IF(ISNUMBER(B88),"OK","BAD DATE")</f>
        <v>OK</v>
      </c>
      <c r="R88" s="2" t="str">
        <f aca="false">IF(ROUND(F88,2)=F88,"OK","FIX")</f>
        <v>OK</v>
      </c>
    </row>
    <row r="89" customFormat="false" ht="15" hidden="false" customHeight="false" outlineLevel="0" collapsed="false">
      <c r="A89" s="2" t="str">
        <f aca="false">TRIM(UPPER(Raw_Data!A89))</f>
        <v>ORD200087</v>
      </c>
      <c r="B89" s="3" t="n">
        <f aca="false">IF(ISNUMBER(Raw_Data!B89),Raw_Data!B89,DATEVALUE(Raw_Data!B89))</f>
        <v>45575</v>
      </c>
      <c r="C89" s="2" t="str">
        <f aca="false">TRIM(UPPER(Raw_Data!C89))</f>
        <v>C91245</v>
      </c>
      <c r="D89" s="2" t="str">
        <f aca="false">PROPER(TRIM(Raw_Data!D89))</f>
        <v>Tablet</v>
      </c>
      <c r="E89" s="2" t="n">
        <f aca="false">Raw_Data!E89</f>
        <v>3</v>
      </c>
      <c r="F89" s="4" t="n">
        <f aca="false">ROUND(Raw_Data!F89,2)</f>
        <v>225.11</v>
      </c>
      <c r="G89" s="2" t="str">
        <f aca="false">PROPER(TRIM(Raw_Data!G89))</f>
        <v>915 Main St</v>
      </c>
      <c r="H89" s="2" t="str">
        <f aca="false">PROPER(TRIM(Raw_Data!H89))</f>
        <v>Cash</v>
      </c>
      <c r="I89" s="2" t="str">
        <f aca="false">PROPER(TRIM(Raw_Data!I89))</f>
        <v>Shipped</v>
      </c>
      <c r="J89" s="2" t="str">
        <f aca="false">TRIM(UPPER(Raw_Data!J89))</f>
        <v>TRK46976391</v>
      </c>
      <c r="K89" s="2" t="n">
        <f aca="false">Raw_Data!K89</f>
        <v>4</v>
      </c>
      <c r="L89" s="2" t="str">
        <f aca="false">IF(TRIM(Raw_Data!L89)="","No Coupon",TRIM(UPPER(Raw_Data!L89)))</f>
        <v>SAVE10</v>
      </c>
      <c r="M89" s="2" t="str">
        <f aca="false">PROPER(TRIM(Raw_Data!M89))</f>
        <v>Facebook</v>
      </c>
      <c r="N89" s="4" t="n">
        <f aca="false">ROUND(E89*F89,2)</f>
        <v>675.33</v>
      </c>
      <c r="O89" s="2" t="str">
        <f aca="false">IF(COUNTIF($A$2:$A$1201,A89)&gt;1,"DUPLICATE","Unique")</f>
        <v>Unique</v>
      </c>
      <c r="P89" s="2" t="str">
        <f aca="false">IF(L89="","MISSING","OK")</f>
        <v>OK</v>
      </c>
      <c r="Q89" s="2" t="str">
        <f aca="false">IF(ISNUMBER(B89),"OK","BAD DATE")</f>
        <v>OK</v>
      </c>
      <c r="R89" s="2" t="str">
        <f aca="false">IF(ROUND(F89,2)=F89,"OK","FIX")</f>
        <v>OK</v>
      </c>
    </row>
    <row r="90" customFormat="false" ht="15" hidden="false" customHeight="false" outlineLevel="0" collapsed="false">
      <c r="A90" s="2" t="str">
        <f aca="false">TRIM(UPPER(Raw_Data!A90))</f>
        <v>ORD200088</v>
      </c>
      <c r="B90" s="3" t="n">
        <f aca="false">IF(ISNUMBER(Raw_Data!B90),Raw_Data!B90,DATEVALUE(Raw_Data!B90))</f>
        <v>45813</v>
      </c>
      <c r="C90" s="2" t="str">
        <f aca="false">TRIM(UPPER(Raw_Data!C90))</f>
        <v>C75439</v>
      </c>
      <c r="D90" s="2" t="str">
        <f aca="false">PROPER(TRIM(Raw_Data!D90))</f>
        <v>Desk</v>
      </c>
      <c r="E90" s="2" t="n">
        <f aca="false">Raw_Data!E90</f>
        <v>3</v>
      </c>
      <c r="F90" s="4" t="n">
        <f aca="false">ROUND(Raw_Data!F90,2)</f>
        <v>114.81</v>
      </c>
      <c r="G90" s="2" t="str">
        <f aca="false">PROPER(TRIM(Raw_Data!G90))</f>
        <v>318 Main St</v>
      </c>
      <c r="H90" s="2" t="str">
        <f aca="false">PROPER(TRIM(Raw_Data!H90))</f>
        <v>Gift Card</v>
      </c>
      <c r="I90" s="2" t="str">
        <f aca="false">PROPER(TRIM(Raw_Data!I90))</f>
        <v>Cancelled</v>
      </c>
      <c r="J90" s="2" t="str">
        <f aca="false">TRIM(UPPER(Raw_Data!J90))</f>
        <v>TRK19831653</v>
      </c>
      <c r="K90" s="2" t="n">
        <f aca="false">Raw_Data!K90</f>
        <v>7</v>
      </c>
      <c r="L90" s="2" t="str">
        <f aca="false">IF(TRIM(Raw_Data!L90)="","No Coupon",TRIM(UPPER(Raw_Data!L90)))</f>
        <v>No Coupon</v>
      </c>
      <c r="M90" s="2" t="str">
        <f aca="false">PROPER(TRIM(Raw_Data!M90))</f>
        <v>Google</v>
      </c>
      <c r="N90" s="4" t="n">
        <f aca="false">ROUND(E90*F90,2)</f>
        <v>344.43</v>
      </c>
      <c r="O90" s="2" t="str">
        <f aca="false">IF(COUNTIF($A$2:$A$1201,A90)&gt;1,"DUPLICATE","Unique")</f>
        <v>Unique</v>
      </c>
      <c r="P90" s="2" t="str">
        <f aca="false">IF(L90="","MISSING","OK")</f>
        <v>OK</v>
      </c>
      <c r="Q90" s="2" t="str">
        <f aca="false">IF(ISNUMBER(B90),"OK","BAD DATE")</f>
        <v>OK</v>
      </c>
      <c r="R90" s="2" t="str">
        <f aca="false">IF(ROUND(F90,2)=F90,"OK","FIX")</f>
        <v>OK</v>
      </c>
    </row>
    <row r="91" customFormat="false" ht="15" hidden="false" customHeight="false" outlineLevel="0" collapsed="false">
      <c r="A91" s="2" t="str">
        <f aca="false">TRIM(UPPER(Raw_Data!A91))</f>
        <v>ORD200089</v>
      </c>
      <c r="B91" s="3" t="n">
        <f aca="false">IF(ISNUMBER(Raw_Data!B91),Raw_Data!B91,DATEVALUE(Raw_Data!B91))</f>
        <v>45713</v>
      </c>
      <c r="C91" s="2" t="str">
        <f aca="false">TRIM(UPPER(Raw_Data!C91))</f>
        <v>C17181</v>
      </c>
      <c r="D91" s="2" t="str">
        <f aca="false">PROPER(TRIM(Raw_Data!D91))</f>
        <v>Printer</v>
      </c>
      <c r="E91" s="2" t="n">
        <f aca="false">Raw_Data!E91</f>
        <v>5</v>
      </c>
      <c r="F91" s="4" t="n">
        <f aca="false">ROUND(Raw_Data!F91,2)</f>
        <v>455.33</v>
      </c>
      <c r="G91" s="2" t="str">
        <f aca="false">PROPER(TRIM(Raw_Data!G91))</f>
        <v>291 Main St</v>
      </c>
      <c r="H91" s="2" t="str">
        <f aca="false">PROPER(TRIM(Raw_Data!H91))</f>
        <v>Credit Card</v>
      </c>
      <c r="I91" s="2" t="str">
        <f aca="false">PROPER(TRIM(Raw_Data!I91))</f>
        <v>Cancelled</v>
      </c>
      <c r="J91" s="2" t="str">
        <f aca="false">TRIM(UPPER(Raw_Data!J91))</f>
        <v>TRK78912978</v>
      </c>
      <c r="K91" s="2" t="n">
        <f aca="false">Raw_Data!K91</f>
        <v>8</v>
      </c>
      <c r="L91" s="2" t="str">
        <f aca="false">IF(TRIM(Raw_Data!L91)="","No Coupon",TRIM(UPPER(Raw_Data!L91)))</f>
        <v>FREESHIP</v>
      </c>
      <c r="M91" s="2" t="str">
        <f aca="false">PROPER(TRIM(Raw_Data!M91))</f>
        <v>Google</v>
      </c>
      <c r="N91" s="4" t="n">
        <f aca="false">ROUND(E91*F91,2)</f>
        <v>2276.65</v>
      </c>
      <c r="O91" s="2" t="str">
        <f aca="false">IF(COUNTIF($A$2:$A$1201,A91)&gt;1,"DUPLICATE","Unique")</f>
        <v>Unique</v>
      </c>
      <c r="P91" s="2" t="str">
        <f aca="false">IF(L91="","MISSING","OK")</f>
        <v>OK</v>
      </c>
      <c r="Q91" s="2" t="str">
        <f aca="false">IF(ISNUMBER(B91),"OK","BAD DATE")</f>
        <v>OK</v>
      </c>
      <c r="R91" s="2" t="str">
        <f aca="false">IF(ROUND(F91,2)=F91,"OK","FIX")</f>
        <v>OK</v>
      </c>
    </row>
    <row r="92" customFormat="false" ht="15" hidden="false" customHeight="false" outlineLevel="0" collapsed="false">
      <c r="A92" s="2" t="str">
        <f aca="false">TRIM(UPPER(Raw_Data!A92))</f>
        <v>ORD200090</v>
      </c>
      <c r="B92" s="3" t="n">
        <f aca="false">IF(ISNUMBER(Raw_Data!B92),Raw_Data!B92,DATEVALUE(Raw_Data!B92))</f>
        <v>45187</v>
      </c>
      <c r="C92" s="2" t="str">
        <f aca="false">TRIM(UPPER(Raw_Data!C92))</f>
        <v>C36540</v>
      </c>
      <c r="D92" s="2" t="str">
        <f aca="false">PROPER(TRIM(Raw_Data!D92))</f>
        <v>Chair</v>
      </c>
      <c r="E92" s="2" t="n">
        <f aca="false">Raw_Data!E92</f>
        <v>4</v>
      </c>
      <c r="F92" s="4" t="n">
        <f aca="false">ROUND(Raw_Data!F92,2)</f>
        <v>182.08</v>
      </c>
      <c r="G92" s="2" t="str">
        <f aca="false">PROPER(TRIM(Raw_Data!G92))</f>
        <v>611 Main St</v>
      </c>
      <c r="H92" s="2" t="str">
        <f aca="false">PROPER(TRIM(Raw_Data!H92))</f>
        <v>Gift Card</v>
      </c>
      <c r="I92" s="2" t="str">
        <f aca="false">PROPER(TRIM(Raw_Data!I92))</f>
        <v>Delivered</v>
      </c>
      <c r="J92" s="2" t="str">
        <f aca="false">TRIM(UPPER(Raw_Data!J92))</f>
        <v>TRK35828122</v>
      </c>
      <c r="K92" s="2" t="n">
        <f aca="false">Raw_Data!K92</f>
        <v>4</v>
      </c>
      <c r="L92" s="2" t="str">
        <f aca="false">IF(TRIM(Raw_Data!L92)="","No Coupon",TRIM(UPPER(Raw_Data!L92)))</f>
        <v>SAVE10</v>
      </c>
      <c r="M92" s="2" t="str">
        <f aca="false">PROPER(TRIM(Raw_Data!M92))</f>
        <v>Email</v>
      </c>
      <c r="N92" s="4" t="n">
        <f aca="false">ROUND(E92*F92,2)</f>
        <v>728.32</v>
      </c>
      <c r="O92" s="2" t="str">
        <f aca="false">IF(COUNTIF($A$2:$A$1201,A92)&gt;1,"DUPLICATE","Unique")</f>
        <v>Unique</v>
      </c>
      <c r="P92" s="2" t="str">
        <f aca="false">IF(L92="","MISSING","OK")</f>
        <v>OK</v>
      </c>
      <c r="Q92" s="2" t="str">
        <f aca="false">IF(ISNUMBER(B92),"OK","BAD DATE")</f>
        <v>OK</v>
      </c>
      <c r="R92" s="2" t="str">
        <f aca="false">IF(ROUND(F92,2)=F92,"OK","FIX")</f>
        <v>OK</v>
      </c>
    </row>
    <row r="93" customFormat="false" ht="15" hidden="false" customHeight="false" outlineLevel="0" collapsed="false">
      <c r="A93" s="2" t="str">
        <f aca="false">TRIM(UPPER(Raw_Data!A93))</f>
        <v>ORD200091</v>
      </c>
      <c r="B93" s="3" t="n">
        <f aca="false">IF(ISNUMBER(Raw_Data!B93),Raw_Data!B93,DATEVALUE(Raw_Data!B93))</f>
        <v>45000</v>
      </c>
      <c r="C93" s="2" t="str">
        <f aca="false">TRIM(UPPER(Raw_Data!C93))</f>
        <v>C98216</v>
      </c>
      <c r="D93" s="2" t="str">
        <f aca="false">PROPER(TRIM(Raw_Data!D93))</f>
        <v>Laptop</v>
      </c>
      <c r="E93" s="2" t="n">
        <f aca="false">Raw_Data!E93</f>
        <v>5</v>
      </c>
      <c r="F93" s="4" t="n">
        <f aca="false">ROUND(Raw_Data!F93,2)</f>
        <v>492.75</v>
      </c>
      <c r="G93" s="2" t="str">
        <f aca="false">PROPER(TRIM(Raw_Data!G93))</f>
        <v>196 Main St</v>
      </c>
      <c r="H93" s="2" t="str">
        <f aca="false">PROPER(TRIM(Raw_Data!H93))</f>
        <v>Cash</v>
      </c>
      <c r="I93" s="2" t="str">
        <f aca="false">PROPER(TRIM(Raw_Data!I93))</f>
        <v>Shipped</v>
      </c>
      <c r="J93" s="2" t="str">
        <f aca="false">TRIM(UPPER(Raw_Data!J93))</f>
        <v>TRK40986666</v>
      </c>
      <c r="K93" s="2" t="n">
        <f aca="false">Raw_Data!K93</f>
        <v>6</v>
      </c>
      <c r="L93" s="2" t="str">
        <f aca="false">IF(TRIM(Raw_Data!L93)="","No Coupon",TRIM(UPPER(Raw_Data!L93)))</f>
        <v>WINTER15</v>
      </c>
      <c r="M93" s="2" t="str">
        <f aca="false">PROPER(TRIM(Raw_Data!M93))</f>
        <v>Referral</v>
      </c>
      <c r="N93" s="4" t="n">
        <f aca="false">ROUND(E93*F93,2)</f>
        <v>2463.75</v>
      </c>
      <c r="O93" s="2" t="str">
        <f aca="false">IF(COUNTIF($A$2:$A$1201,A93)&gt;1,"DUPLICATE","Unique")</f>
        <v>Unique</v>
      </c>
      <c r="P93" s="2" t="str">
        <f aca="false">IF(L93="","MISSING","OK")</f>
        <v>OK</v>
      </c>
      <c r="Q93" s="2" t="str">
        <f aca="false">IF(ISNUMBER(B93),"OK","BAD DATE")</f>
        <v>OK</v>
      </c>
      <c r="R93" s="2" t="str">
        <f aca="false">IF(ROUND(F93,2)=F93,"OK","FIX")</f>
        <v>OK</v>
      </c>
    </row>
    <row r="94" customFormat="false" ht="15" hidden="false" customHeight="false" outlineLevel="0" collapsed="false">
      <c r="A94" s="2" t="str">
        <f aca="false">TRIM(UPPER(Raw_Data!A94))</f>
        <v>ORD200092</v>
      </c>
      <c r="B94" s="3" t="n">
        <f aca="false">IF(ISNUMBER(Raw_Data!B94),Raw_Data!B94,DATEVALUE(Raw_Data!B94))</f>
        <v>45453</v>
      </c>
      <c r="C94" s="2" t="str">
        <f aca="false">TRIM(UPPER(Raw_Data!C94))</f>
        <v>C29568</v>
      </c>
      <c r="D94" s="2" t="str">
        <f aca="false">PROPER(TRIM(Raw_Data!D94))</f>
        <v>Printer</v>
      </c>
      <c r="E94" s="2" t="n">
        <f aca="false">Raw_Data!E94</f>
        <v>4</v>
      </c>
      <c r="F94" s="4" t="n">
        <f aca="false">ROUND(Raw_Data!F94,2)</f>
        <v>48.61</v>
      </c>
      <c r="G94" s="2" t="str">
        <f aca="false">PROPER(TRIM(Raw_Data!G94))</f>
        <v>203 Main St</v>
      </c>
      <c r="H94" s="2" t="str">
        <f aca="false">PROPER(TRIM(Raw_Data!H94))</f>
        <v>Online</v>
      </c>
      <c r="I94" s="2" t="str">
        <f aca="false">PROPER(TRIM(Raw_Data!I94))</f>
        <v>Shipped</v>
      </c>
      <c r="J94" s="2" t="str">
        <f aca="false">TRIM(UPPER(Raw_Data!J94))</f>
        <v>TRK46531075</v>
      </c>
      <c r="K94" s="2" t="n">
        <f aca="false">Raw_Data!K94</f>
        <v>7</v>
      </c>
      <c r="L94" s="2" t="str">
        <f aca="false">IF(TRIM(Raw_Data!L94)="","No Coupon",TRIM(UPPER(Raw_Data!L94)))</f>
        <v>FREESHIP</v>
      </c>
      <c r="M94" s="2" t="str">
        <f aca="false">PROPER(TRIM(Raw_Data!M94))</f>
        <v>Facebook</v>
      </c>
      <c r="N94" s="4" t="n">
        <f aca="false">ROUND(E94*F94,2)</f>
        <v>194.44</v>
      </c>
      <c r="O94" s="2" t="str">
        <f aca="false">IF(COUNTIF($A$2:$A$1201,A94)&gt;1,"DUPLICATE","Unique")</f>
        <v>Unique</v>
      </c>
      <c r="P94" s="2" t="str">
        <f aca="false">IF(L94="","MISSING","OK")</f>
        <v>OK</v>
      </c>
      <c r="Q94" s="2" t="str">
        <f aca="false">IF(ISNUMBER(B94),"OK","BAD DATE")</f>
        <v>OK</v>
      </c>
      <c r="R94" s="2" t="str">
        <f aca="false">IF(ROUND(F94,2)=F94,"OK","FIX")</f>
        <v>OK</v>
      </c>
    </row>
    <row r="95" customFormat="false" ht="15" hidden="false" customHeight="false" outlineLevel="0" collapsed="false">
      <c r="A95" s="2" t="str">
        <f aca="false">TRIM(UPPER(Raw_Data!A95))</f>
        <v>ORD200093</v>
      </c>
      <c r="B95" s="3" t="n">
        <f aca="false">IF(ISNUMBER(Raw_Data!B95),Raw_Data!B95,DATEVALUE(Raw_Data!B95))</f>
        <v>44940</v>
      </c>
      <c r="C95" s="2" t="str">
        <f aca="false">TRIM(UPPER(Raw_Data!C95))</f>
        <v>C97262</v>
      </c>
      <c r="D95" s="2" t="str">
        <f aca="false">PROPER(TRIM(Raw_Data!D95))</f>
        <v>Desk</v>
      </c>
      <c r="E95" s="2" t="n">
        <f aca="false">Raw_Data!E95</f>
        <v>4</v>
      </c>
      <c r="F95" s="4" t="n">
        <f aca="false">ROUND(Raw_Data!F95,2)</f>
        <v>431.01</v>
      </c>
      <c r="G95" s="2" t="str">
        <f aca="false">PROPER(TRIM(Raw_Data!G95))</f>
        <v>837 Main St</v>
      </c>
      <c r="H95" s="2" t="str">
        <f aca="false">PROPER(TRIM(Raw_Data!H95))</f>
        <v>Credit Card</v>
      </c>
      <c r="I95" s="2" t="str">
        <f aca="false">PROPER(TRIM(Raw_Data!I95))</f>
        <v>Returned</v>
      </c>
      <c r="J95" s="2" t="str">
        <f aca="false">TRIM(UPPER(Raw_Data!J95))</f>
        <v>TRK65990229</v>
      </c>
      <c r="K95" s="2" t="n">
        <f aca="false">Raw_Data!K95</f>
        <v>7</v>
      </c>
      <c r="L95" s="2" t="str">
        <f aca="false">IF(TRIM(Raw_Data!L95)="","No Coupon",TRIM(UPPER(Raw_Data!L95)))</f>
        <v>No Coupon</v>
      </c>
      <c r="M95" s="2" t="str">
        <f aca="false">PROPER(TRIM(Raw_Data!M95))</f>
        <v>Referral</v>
      </c>
      <c r="N95" s="4" t="n">
        <f aca="false">ROUND(E95*F95,2)</f>
        <v>1724.04</v>
      </c>
      <c r="O95" s="2" t="str">
        <f aca="false">IF(COUNTIF($A$2:$A$1201,A95)&gt;1,"DUPLICATE","Unique")</f>
        <v>Unique</v>
      </c>
      <c r="P95" s="2" t="str">
        <f aca="false">IF(L95="","MISSING","OK")</f>
        <v>OK</v>
      </c>
      <c r="Q95" s="2" t="str">
        <f aca="false">IF(ISNUMBER(B95),"OK","BAD DATE")</f>
        <v>OK</v>
      </c>
      <c r="R95" s="2" t="str">
        <f aca="false">IF(ROUND(F95,2)=F95,"OK","FIX")</f>
        <v>OK</v>
      </c>
    </row>
    <row r="96" customFormat="false" ht="15" hidden="false" customHeight="false" outlineLevel="0" collapsed="false">
      <c r="A96" s="2" t="str">
        <f aca="false">TRIM(UPPER(Raw_Data!A96))</f>
        <v>ORD200094</v>
      </c>
      <c r="B96" s="3" t="n">
        <f aca="false">IF(ISNUMBER(Raw_Data!B96),Raw_Data!B96,DATEVALUE(Raw_Data!B96))</f>
        <v>44968</v>
      </c>
      <c r="C96" s="2" t="str">
        <f aca="false">TRIM(UPPER(Raw_Data!C96))</f>
        <v>C79821</v>
      </c>
      <c r="D96" s="2" t="str">
        <f aca="false">PROPER(TRIM(Raw_Data!D96))</f>
        <v>Chair</v>
      </c>
      <c r="E96" s="2" t="n">
        <f aca="false">Raw_Data!E96</f>
        <v>1</v>
      </c>
      <c r="F96" s="4" t="n">
        <f aca="false">ROUND(Raw_Data!F96,2)</f>
        <v>531.18</v>
      </c>
      <c r="G96" s="2" t="str">
        <f aca="false">PROPER(TRIM(Raw_Data!G96))</f>
        <v>781 Main St</v>
      </c>
      <c r="H96" s="2" t="str">
        <f aca="false">PROPER(TRIM(Raw_Data!H96))</f>
        <v>Gift Card</v>
      </c>
      <c r="I96" s="2" t="str">
        <f aca="false">PROPER(TRIM(Raw_Data!I96))</f>
        <v>Returned</v>
      </c>
      <c r="J96" s="2" t="str">
        <f aca="false">TRIM(UPPER(Raw_Data!J96))</f>
        <v>TRK12780193</v>
      </c>
      <c r="K96" s="2" t="n">
        <f aca="false">Raw_Data!K96</f>
        <v>6</v>
      </c>
      <c r="L96" s="2" t="str">
        <f aca="false">IF(TRIM(Raw_Data!L96)="","No Coupon",TRIM(UPPER(Raw_Data!L96)))</f>
        <v>WINTER15</v>
      </c>
      <c r="M96" s="2" t="str">
        <f aca="false">PROPER(TRIM(Raw_Data!M96))</f>
        <v>Instagram</v>
      </c>
      <c r="N96" s="4" t="n">
        <f aca="false">ROUND(E96*F96,2)</f>
        <v>531.18</v>
      </c>
      <c r="O96" s="2" t="str">
        <f aca="false">IF(COUNTIF($A$2:$A$1201,A96)&gt;1,"DUPLICATE","Unique")</f>
        <v>Unique</v>
      </c>
      <c r="P96" s="2" t="str">
        <f aca="false">IF(L96="","MISSING","OK")</f>
        <v>OK</v>
      </c>
      <c r="Q96" s="2" t="str">
        <f aca="false">IF(ISNUMBER(B96),"OK","BAD DATE")</f>
        <v>OK</v>
      </c>
      <c r="R96" s="2" t="str">
        <f aca="false">IF(ROUND(F96,2)=F96,"OK","FIX")</f>
        <v>OK</v>
      </c>
    </row>
    <row r="97" customFormat="false" ht="15" hidden="false" customHeight="false" outlineLevel="0" collapsed="false">
      <c r="A97" s="2" t="str">
        <f aca="false">TRIM(UPPER(Raw_Data!A97))</f>
        <v>ORD200095</v>
      </c>
      <c r="B97" s="3" t="n">
        <f aca="false">IF(ISNUMBER(Raw_Data!B97),Raw_Data!B97,DATEVALUE(Raw_Data!B97))</f>
        <v>45009</v>
      </c>
      <c r="C97" s="2" t="str">
        <f aca="false">TRIM(UPPER(Raw_Data!C97))</f>
        <v>C76761</v>
      </c>
      <c r="D97" s="2" t="str">
        <f aca="false">PROPER(TRIM(Raw_Data!D97))</f>
        <v>Printer</v>
      </c>
      <c r="E97" s="2" t="n">
        <f aca="false">Raw_Data!E97</f>
        <v>4</v>
      </c>
      <c r="F97" s="4" t="n">
        <f aca="false">ROUND(Raw_Data!F97,2)</f>
        <v>117.51</v>
      </c>
      <c r="G97" s="2" t="str">
        <f aca="false">PROPER(TRIM(Raw_Data!G97))</f>
        <v>839 Main St</v>
      </c>
      <c r="H97" s="2" t="str">
        <f aca="false">PROPER(TRIM(Raw_Data!H97))</f>
        <v>Debit Card</v>
      </c>
      <c r="I97" s="2" t="str">
        <f aca="false">PROPER(TRIM(Raw_Data!I97))</f>
        <v>Returned</v>
      </c>
      <c r="J97" s="2" t="str">
        <f aca="false">TRIM(UPPER(Raw_Data!J97))</f>
        <v>TRK60179774</v>
      </c>
      <c r="K97" s="2" t="n">
        <f aca="false">Raw_Data!K97</f>
        <v>7</v>
      </c>
      <c r="L97" s="2" t="str">
        <f aca="false">IF(TRIM(Raw_Data!L97)="","No Coupon",TRIM(UPPER(Raw_Data!L97)))</f>
        <v>No Coupon</v>
      </c>
      <c r="M97" s="2" t="str">
        <f aca="false">PROPER(TRIM(Raw_Data!M97))</f>
        <v>Referral</v>
      </c>
      <c r="N97" s="4" t="n">
        <f aca="false">ROUND(E97*F97,2)</f>
        <v>470.04</v>
      </c>
      <c r="O97" s="2" t="str">
        <f aca="false">IF(COUNTIF($A$2:$A$1201,A97)&gt;1,"DUPLICATE","Unique")</f>
        <v>Unique</v>
      </c>
      <c r="P97" s="2" t="str">
        <f aca="false">IF(L97="","MISSING","OK")</f>
        <v>OK</v>
      </c>
      <c r="Q97" s="2" t="str">
        <f aca="false">IF(ISNUMBER(B97),"OK","BAD DATE")</f>
        <v>OK</v>
      </c>
      <c r="R97" s="2" t="str">
        <f aca="false">IF(ROUND(F97,2)=F97,"OK","FIX")</f>
        <v>OK</v>
      </c>
    </row>
    <row r="98" customFormat="false" ht="15" hidden="false" customHeight="false" outlineLevel="0" collapsed="false">
      <c r="A98" s="2" t="str">
        <f aca="false">TRIM(UPPER(Raw_Data!A98))</f>
        <v>ORD200096</v>
      </c>
      <c r="B98" s="3" t="n">
        <f aca="false">IF(ISNUMBER(Raw_Data!B98),Raw_Data!B98,DATEVALUE(Raw_Data!B98))</f>
        <v>45444</v>
      </c>
      <c r="C98" s="2" t="str">
        <f aca="false">TRIM(UPPER(Raw_Data!C98))</f>
        <v>C93007</v>
      </c>
      <c r="D98" s="2" t="str">
        <f aca="false">PROPER(TRIM(Raw_Data!D98))</f>
        <v>Phone</v>
      </c>
      <c r="E98" s="2" t="n">
        <f aca="false">Raw_Data!E98</f>
        <v>2</v>
      </c>
      <c r="F98" s="4" t="n">
        <f aca="false">ROUND(Raw_Data!F98,2)</f>
        <v>232.83</v>
      </c>
      <c r="G98" s="2" t="str">
        <f aca="false">PROPER(TRIM(Raw_Data!G98))</f>
        <v>103 Main St</v>
      </c>
      <c r="H98" s="2" t="str">
        <f aca="false">PROPER(TRIM(Raw_Data!H98))</f>
        <v>Gift Card</v>
      </c>
      <c r="I98" s="2" t="str">
        <f aca="false">PROPER(TRIM(Raw_Data!I98))</f>
        <v>Delivered</v>
      </c>
      <c r="J98" s="2" t="str">
        <f aca="false">TRIM(UPPER(Raw_Data!J98))</f>
        <v>TRK85696091</v>
      </c>
      <c r="K98" s="2" t="n">
        <f aca="false">Raw_Data!K98</f>
        <v>7</v>
      </c>
      <c r="L98" s="2" t="str">
        <f aca="false">IF(TRIM(Raw_Data!L98)="","No Coupon",TRIM(UPPER(Raw_Data!L98)))</f>
        <v>No Coupon</v>
      </c>
      <c r="M98" s="2" t="str">
        <f aca="false">PROPER(TRIM(Raw_Data!M98))</f>
        <v>Instagram</v>
      </c>
      <c r="N98" s="4" t="n">
        <f aca="false">ROUND(E98*F98,2)</f>
        <v>465.66</v>
      </c>
      <c r="O98" s="2" t="str">
        <f aca="false">IF(COUNTIF($A$2:$A$1201,A98)&gt;1,"DUPLICATE","Unique")</f>
        <v>Unique</v>
      </c>
      <c r="P98" s="2" t="str">
        <f aca="false">IF(L98="","MISSING","OK")</f>
        <v>OK</v>
      </c>
      <c r="Q98" s="2" t="str">
        <f aca="false">IF(ISNUMBER(B98),"OK","BAD DATE")</f>
        <v>OK</v>
      </c>
      <c r="R98" s="2" t="str">
        <f aca="false">IF(ROUND(F98,2)=F98,"OK","FIX")</f>
        <v>OK</v>
      </c>
    </row>
    <row r="99" customFormat="false" ht="15" hidden="false" customHeight="false" outlineLevel="0" collapsed="false">
      <c r="A99" s="2" t="str">
        <f aca="false">TRIM(UPPER(Raw_Data!A99))</f>
        <v>ORD200097</v>
      </c>
      <c r="B99" s="3" t="n">
        <f aca="false">IF(ISNUMBER(Raw_Data!B99),Raw_Data!B99,DATEVALUE(Raw_Data!B99))</f>
        <v>45678</v>
      </c>
      <c r="C99" s="2" t="str">
        <f aca="false">TRIM(UPPER(Raw_Data!C99))</f>
        <v>C15624</v>
      </c>
      <c r="D99" s="2" t="str">
        <f aca="false">PROPER(TRIM(Raw_Data!D99))</f>
        <v>Tablet</v>
      </c>
      <c r="E99" s="2" t="n">
        <f aca="false">Raw_Data!E99</f>
        <v>5</v>
      </c>
      <c r="F99" s="4" t="n">
        <f aca="false">ROUND(Raw_Data!F99,2)</f>
        <v>619.52</v>
      </c>
      <c r="G99" s="2" t="str">
        <f aca="false">PROPER(TRIM(Raw_Data!G99))</f>
        <v>922 Main St</v>
      </c>
      <c r="H99" s="2" t="str">
        <f aca="false">PROPER(TRIM(Raw_Data!H99))</f>
        <v>Debit Card</v>
      </c>
      <c r="I99" s="2" t="str">
        <f aca="false">PROPER(TRIM(Raw_Data!I99))</f>
        <v>Pending</v>
      </c>
      <c r="J99" s="2" t="str">
        <f aca="false">TRIM(UPPER(Raw_Data!J99))</f>
        <v>TRK40621141</v>
      </c>
      <c r="K99" s="2" t="n">
        <f aca="false">Raw_Data!K99</f>
        <v>9</v>
      </c>
      <c r="L99" s="2" t="str">
        <f aca="false">IF(TRIM(Raw_Data!L99)="","No Coupon",TRIM(UPPER(Raw_Data!L99)))</f>
        <v>No Coupon</v>
      </c>
      <c r="M99" s="2" t="str">
        <f aca="false">PROPER(TRIM(Raw_Data!M99))</f>
        <v>Email</v>
      </c>
      <c r="N99" s="4" t="n">
        <f aca="false">ROUND(E99*F99,2)</f>
        <v>3097.6</v>
      </c>
      <c r="O99" s="2" t="str">
        <f aca="false">IF(COUNTIF($A$2:$A$1201,A99)&gt;1,"DUPLICATE","Unique")</f>
        <v>Unique</v>
      </c>
      <c r="P99" s="2" t="str">
        <f aca="false">IF(L99="","MISSING","OK")</f>
        <v>OK</v>
      </c>
      <c r="Q99" s="2" t="str">
        <f aca="false">IF(ISNUMBER(B99),"OK","BAD DATE")</f>
        <v>OK</v>
      </c>
      <c r="R99" s="2" t="str">
        <f aca="false">IF(ROUND(F99,2)=F99,"OK","FIX")</f>
        <v>OK</v>
      </c>
    </row>
    <row r="100" customFormat="false" ht="15" hidden="false" customHeight="false" outlineLevel="0" collapsed="false">
      <c r="A100" s="2" t="str">
        <f aca="false">TRIM(UPPER(Raw_Data!A100))</f>
        <v>ORD200098</v>
      </c>
      <c r="B100" s="3" t="n">
        <f aca="false">IF(ISNUMBER(Raw_Data!B100),Raw_Data!B100,DATEVALUE(Raw_Data!B100))</f>
        <v>44940</v>
      </c>
      <c r="C100" s="2" t="str">
        <f aca="false">TRIM(UPPER(Raw_Data!C100))</f>
        <v>C70921</v>
      </c>
      <c r="D100" s="2" t="str">
        <f aca="false">PROPER(TRIM(Raw_Data!D100))</f>
        <v>Printer</v>
      </c>
      <c r="E100" s="2" t="n">
        <f aca="false">Raw_Data!E100</f>
        <v>2</v>
      </c>
      <c r="F100" s="4" t="n">
        <f aca="false">ROUND(Raw_Data!F100,2)</f>
        <v>228.54</v>
      </c>
      <c r="G100" s="2" t="str">
        <f aca="false">PROPER(TRIM(Raw_Data!G100))</f>
        <v>533 Main St</v>
      </c>
      <c r="H100" s="2" t="str">
        <f aca="false">PROPER(TRIM(Raw_Data!H100))</f>
        <v>Debit Card</v>
      </c>
      <c r="I100" s="2" t="str">
        <f aca="false">PROPER(TRIM(Raw_Data!I100))</f>
        <v>Pending</v>
      </c>
      <c r="J100" s="2" t="str">
        <f aca="false">TRIM(UPPER(Raw_Data!J100))</f>
        <v>TRK54983109</v>
      </c>
      <c r="K100" s="2" t="n">
        <f aca="false">Raw_Data!K100</f>
        <v>3</v>
      </c>
      <c r="L100" s="2" t="str">
        <f aca="false">IF(TRIM(Raw_Data!L100)="","No Coupon",TRIM(UPPER(Raw_Data!L100)))</f>
        <v>No Coupon</v>
      </c>
      <c r="M100" s="2" t="str">
        <f aca="false">PROPER(TRIM(Raw_Data!M100))</f>
        <v>Email</v>
      </c>
      <c r="N100" s="4" t="n">
        <f aca="false">ROUND(E100*F100,2)</f>
        <v>457.08</v>
      </c>
      <c r="O100" s="2" t="str">
        <f aca="false">IF(COUNTIF($A$2:$A$1201,A100)&gt;1,"DUPLICATE","Unique")</f>
        <v>Unique</v>
      </c>
      <c r="P100" s="2" t="str">
        <f aca="false">IF(L100="","MISSING","OK")</f>
        <v>OK</v>
      </c>
      <c r="Q100" s="2" t="str">
        <f aca="false">IF(ISNUMBER(B100),"OK","BAD DATE")</f>
        <v>OK</v>
      </c>
      <c r="R100" s="2" t="str">
        <f aca="false">IF(ROUND(F100,2)=F100,"OK","FIX")</f>
        <v>OK</v>
      </c>
    </row>
    <row r="101" customFormat="false" ht="15" hidden="false" customHeight="false" outlineLevel="0" collapsed="false">
      <c r="A101" s="2" t="str">
        <f aca="false">TRIM(UPPER(Raw_Data!A101))</f>
        <v>ORD200099</v>
      </c>
      <c r="B101" s="3" t="n">
        <f aca="false">IF(ISNUMBER(Raw_Data!B101),Raw_Data!B101,DATEVALUE(Raw_Data!B101))</f>
        <v>45759</v>
      </c>
      <c r="C101" s="2" t="str">
        <f aca="false">TRIM(UPPER(Raw_Data!C101))</f>
        <v>C30477</v>
      </c>
      <c r="D101" s="2" t="str">
        <f aca="false">PROPER(TRIM(Raw_Data!D101))</f>
        <v>Printer</v>
      </c>
      <c r="E101" s="2" t="n">
        <f aca="false">Raw_Data!E101</f>
        <v>1</v>
      </c>
      <c r="F101" s="4" t="n">
        <f aca="false">ROUND(Raw_Data!F101,2)</f>
        <v>201.58</v>
      </c>
      <c r="G101" s="2" t="str">
        <f aca="false">PROPER(TRIM(Raw_Data!G101))</f>
        <v>717 Main St</v>
      </c>
      <c r="H101" s="2" t="str">
        <f aca="false">PROPER(TRIM(Raw_Data!H101))</f>
        <v>Debit Card</v>
      </c>
      <c r="I101" s="2" t="str">
        <f aca="false">PROPER(TRIM(Raw_Data!I101))</f>
        <v>Cancelled</v>
      </c>
      <c r="J101" s="2" t="str">
        <f aca="false">TRIM(UPPER(Raw_Data!J101))</f>
        <v>TRK51829648</v>
      </c>
      <c r="K101" s="2" t="n">
        <f aca="false">Raw_Data!K101</f>
        <v>2</v>
      </c>
      <c r="L101" s="2" t="str">
        <f aca="false">IF(TRIM(Raw_Data!L101)="","No Coupon",TRIM(UPPER(Raw_Data!L101)))</f>
        <v>WINTER15</v>
      </c>
      <c r="M101" s="2" t="str">
        <f aca="false">PROPER(TRIM(Raw_Data!M101))</f>
        <v>Email</v>
      </c>
      <c r="N101" s="4" t="n">
        <f aca="false">ROUND(E101*F101,2)</f>
        <v>201.58</v>
      </c>
      <c r="O101" s="2" t="str">
        <f aca="false">IF(COUNTIF($A$2:$A$1201,A101)&gt;1,"DUPLICATE","Unique")</f>
        <v>Unique</v>
      </c>
      <c r="P101" s="2" t="str">
        <f aca="false">IF(L101="","MISSING","OK")</f>
        <v>OK</v>
      </c>
      <c r="Q101" s="2" t="str">
        <f aca="false">IF(ISNUMBER(B101),"OK","BAD DATE")</f>
        <v>OK</v>
      </c>
      <c r="R101" s="2" t="str">
        <f aca="false">IF(ROUND(F101,2)=F101,"OK","FIX")</f>
        <v>OK</v>
      </c>
    </row>
    <row r="102" customFormat="false" ht="15" hidden="false" customHeight="false" outlineLevel="0" collapsed="false">
      <c r="A102" s="2" t="str">
        <f aca="false">TRIM(UPPER(Raw_Data!A102))</f>
        <v>ORD200100</v>
      </c>
      <c r="B102" s="3" t="n">
        <f aca="false">IF(ISNUMBER(Raw_Data!B102),Raw_Data!B102,DATEVALUE(Raw_Data!B102))</f>
        <v>44974</v>
      </c>
      <c r="C102" s="2" t="str">
        <f aca="false">TRIM(UPPER(Raw_Data!C102))</f>
        <v>C74866</v>
      </c>
      <c r="D102" s="2" t="str">
        <f aca="false">PROPER(TRIM(Raw_Data!D102))</f>
        <v>Phone</v>
      </c>
      <c r="E102" s="2" t="n">
        <f aca="false">Raw_Data!E102</f>
        <v>3</v>
      </c>
      <c r="F102" s="4" t="n">
        <f aca="false">ROUND(Raw_Data!F102,2)</f>
        <v>664.79</v>
      </c>
      <c r="G102" s="2" t="str">
        <f aca="false">PROPER(TRIM(Raw_Data!G102))</f>
        <v>743 Main St</v>
      </c>
      <c r="H102" s="2" t="str">
        <f aca="false">PROPER(TRIM(Raw_Data!H102))</f>
        <v>Online</v>
      </c>
      <c r="I102" s="2" t="str">
        <f aca="false">PROPER(TRIM(Raw_Data!I102))</f>
        <v>Delivered</v>
      </c>
      <c r="J102" s="2" t="str">
        <f aca="false">TRIM(UPPER(Raw_Data!J102))</f>
        <v>TRK53783265</v>
      </c>
      <c r="K102" s="2" t="n">
        <f aca="false">Raw_Data!K102</f>
        <v>6</v>
      </c>
      <c r="L102" s="2" t="str">
        <f aca="false">IF(TRIM(Raw_Data!L102)="","No Coupon",TRIM(UPPER(Raw_Data!L102)))</f>
        <v>No Coupon</v>
      </c>
      <c r="M102" s="2" t="str">
        <f aca="false">PROPER(TRIM(Raw_Data!M102))</f>
        <v>Facebook</v>
      </c>
      <c r="N102" s="4" t="n">
        <f aca="false">ROUND(E102*F102,2)</f>
        <v>1994.37</v>
      </c>
      <c r="O102" s="2" t="str">
        <f aca="false">IF(COUNTIF($A$2:$A$1201,A102)&gt;1,"DUPLICATE","Unique")</f>
        <v>Unique</v>
      </c>
      <c r="P102" s="2" t="str">
        <f aca="false">IF(L102="","MISSING","OK")</f>
        <v>OK</v>
      </c>
      <c r="Q102" s="2" t="str">
        <f aca="false">IF(ISNUMBER(B102),"OK","BAD DATE")</f>
        <v>OK</v>
      </c>
      <c r="R102" s="2" t="str">
        <f aca="false">IF(ROUND(F102,2)=F102,"OK","FIX")</f>
        <v>OK</v>
      </c>
    </row>
    <row r="103" customFormat="false" ht="15" hidden="false" customHeight="false" outlineLevel="0" collapsed="false">
      <c r="A103" s="2" t="str">
        <f aca="false">TRIM(UPPER(Raw_Data!A103))</f>
        <v>ORD200101</v>
      </c>
      <c r="B103" s="3" t="n">
        <f aca="false">IF(ISNUMBER(Raw_Data!B103),Raw_Data!B103,DATEVALUE(Raw_Data!B103))</f>
        <v>45255</v>
      </c>
      <c r="C103" s="2" t="str">
        <f aca="false">TRIM(UPPER(Raw_Data!C103))</f>
        <v>C15283</v>
      </c>
      <c r="D103" s="2" t="str">
        <f aca="false">PROPER(TRIM(Raw_Data!D103))</f>
        <v>Printer</v>
      </c>
      <c r="E103" s="2" t="n">
        <f aca="false">Raw_Data!E103</f>
        <v>1</v>
      </c>
      <c r="F103" s="4" t="n">
        <f aca="false">ROUND(Raw_Data!F103,2)</f>
        <v>381.02</v>
      </c>
      <c r="G103" s="2" t="str">
        <f aca="false">PROPER(TRIM(Raw_Data!G103))</f>
        <v>152 Main St</v>
      </c>
      <c r="H103" s="2" t="str">
        <f aca="false">PROPER(TRIM(Raw_Data!H103))</f>
        <v>Cash</v>
      </c>
      <c r="I103" s="2" t="str">
        <f aca="false">PROPER(TRIM(Raw_Data!I103))</f>
        <v>Shipped</v>
      </c>
      <c r="J103" s="2" t="str">
        <f aca="false">TRIM(UPPER(Raw_Data!J103))</f>
        <v>TRK19286291</v>
      </c>
      <c r="K103" s="2" t="n">
        <f aca="false">Raw_Data!K103</f>
        <v>6</v>
      </c>
      <c r="L103" s="2" t="str">
        <f aca="false">IF(TRIM(Raw_Data!L103)="","No Coupon",TRIM(UPPER(Raw_Data!L103)))</f>
        <v>No Coupon</v>
      </c>
      <c r="M103" s="2" t="str">
        <f aca="false">PROPER(TRIM(Raw_Data!M103))</f>
        <v>Google</v>
      </c>
      <c r="N103" s="4" t="n">
        <f aca="false">ROUND(E103*F103,2)</f>
        <v>381.02</v>
      </c>
      <c r="O103" s="2" t="str">
        <f aca="false">IF(COUNTIF($A$2:$A$1201,A103)&gt;1,"DUPLICATE","Unique")</f>
        <v>Unique</v>
      </c>
      <c r="P103" s="2" t="str">
        <f aca="false">IF(L103="","MISSING","OK")</f>
        <v>OK</v>
      </c>
      <c r="Q103" s="2" t="str">
        <f aca="false">IF(ISNUMBER(B103),"OK","BAD DATE")</f>
        <v>OK</v>
      </c>
      <c r="R103" s="2" t="str">
        <f aca="false">IF(ROUND(F103,2)=F103,"OK","FIX")</f>
        <v>OK</v>
      </c>
    </row>
    <row r="104" customFormat="false" ht="15" hidden="false" customHeight="false" outlineLevel="0" collapsed="false">
      <c r="A104" s="2" t="str">
        <f aca="false">TRIM(UPPER(Raw_Data!A104))</f>
        <v>ORD200102</v>
      </c>
      <c r="B104" s="3" t="n">
        <f aca="false">IF(ISNUMBER(Raw_Data!B104),Raw_Data!B104,DATEVALUE(Raw_Data!B104))</f>
        <v>44993</v>
      </c>
      <c r="C104" s="2" t="str">
        <f aca="false">TRIM(UPPER(Raw_Data!C104))</f>
        <v>C18037</v>
      </c>
      <c r="D104" s="2" t="str">
        <f aca="false">PROPER(TRIM(Raw_Data!D104))</f>
        <v>Laptop</v>
      </c>
      <c r="E104" s="2" t="n">
        <f aca="false">Raw_Data!E104</f>
        <v>2</v>
      </c>
      <c r="F104" s="4" t="n">
        <f aca="false">ROUND(Raw_Data!F104,2)</f>
        <v>70.34</v>
      </c>
      <c r="G104" s="2" t="str">
        <f aca="false">PROPER(TRIM(Raw_Data!G104))</f>
        <v>944 Main St</v>
      </c>
      <c r="H104" s="2" t="str">
        <f aca="false">PROPER(TRIM(Raw_Data!H104))</f>
        <v>Gift Card</v>
      </c>
      <c r="I104" s="2" t="str">
        <f aca="false">PROPER(TRIM(Raw_Data!I104))</f>
        <v>Cancelled</v>
      </c>
      <c r="J104" s="2" t="str">
        <f aca="false">TRIM(UPPER(Raw_Data!J104))</f>
        <v>TRK47362236</v>
      </c>
      <c r="K104" s="2" t="n">
        <f aca="false">Raw_Data!K104</f>
        <v>3</v>
      </c>
      <c r="L104" s="2" t="str">
        <f aca="false">IF(TRIM(Raw_Data!L104)="","No Coupon",TRIM(UPPER(Raw_Data!L104)))</f>
        <v>FREESHIP</v>
      </c>
      <c r="M104" s="2" t="str">
        <f aca="false">PROPER(TRIM(Raw_Data!M104))</f>
        <v>Email</v>
      </c>
      <c r="N104" s="4" t="n">
        <f aca="false">ROUND(E104*F104,2)</f>
        <v>140.68</v>
      </c>
      <c r="O104" s="2" t="str">
        <f aca="false">IF(COUNTIF($A$2:$A$1201,A104)&gt;1,"DUPLICATE","Unique")</f>
        <v>Unique</v>
      </c>
      <c r="P104" s="2" t="str">
        <f aca="false">IF(L104="","MISSING","OK")</f>
        <v>OK</v>
      </c>
      <c r="Q104" s="2" t="str">
        <f aca="false">IF(ISNUMBER(B104),"OK","BAD DATE")</f>
        <v>OK</v>
      </c>
      <c r="R104" s="2" t="str">
        <f aca="false">IF(ROUND(F104,2)=F104,"OK","FIX")</f>
        <v>OK</v>
      </c>
    </row>
    <row r="105" customFormat="false" ht="15" hidden="false" customHeight="false" outlineLevel="0" collapsed="false">
      <c r="A105" s="2" t="str">
        <f aca="false">TRIM(UPPER(Raw_Data!A105))</f>
        <v>ORD200103</v>
      </c>
      <c r="B105" s="3" t="n">
        <f aca="false">IF(ISNUMBER(Raw_Data!B105),Raw_Data!B105,DATEVALUE(Raw_Data!B105))</f>
        <v>45682</v>
      </c>
      <c r="C105" s="2" t="str">
        <f aca="false">TRIM(UPPER(Raw_Data!C105))</f>
        <v>C62656</v>
      </c>
      <c r="D105" s="2" t="str">
        <f aca="false">PROPER(TRIM(Raw_Data!D105))</f>
        <v>Phone</v>
      </c>
      <c r="E105" s="2" t="n">
        <f aca="false">Raw_Data!E105</f>
        <v>4</v>
      </c>
      <c r="F105" s="4" t="n">
        <f aca="false">ROUND(Raw_Data!F105,2)</f>
        <v>218.43</v>
      </c>
      <c r="G105" s="2" t="str">
        <f aca="false">PROPER(TRIM(Raw_Data!G105))</f>
        <v>514 Main St</v>
      </c>
      <c r="H105" s="2" t="str">
        <f aca="false">PROPER(TRIM(Raw_Data!H105))</f>
        <v>Credit Card</v>
      </c>
      <c r="I105" s="2" t="str">
        <f aca="false">PROPER(TRIM(Raw_Data!I105))</f>
        <v>Cancelled</v>
      </c>
      <c r="J105" s="2" t="str">
        <f aca="false">TRIM(UPPER(Raw_Data!J105))</f>
        <v>TRK86296459</v>
      </c>
      <c r="K105" s="2" t="n">
        <f aca="false">Raw_Data!K105</f>
        <v>9</v>
      </c>
      <c r="L105" s="2" t="str">
        <f aca="false">IF(TRIM(Raw_Data!L105)="","No Coupon",TRIM(UPPER(Raw_Data!L105)))</f>
        <v>SAVE10</v>
      </c>
      <c r="M105" s="2" t="str">
        <f aca="false">PROPER(TRIM(Raw_Data!M105))</f>
        <v>Email</v>
      </c>
      <c r="N105" s="4" t="n">
        <f aca="false">ROUND(E105*F105,2)</f>
        <v>873.72</v>
      </c>
      <c r="O105" s="2" t="str">
        <f aca="false">IF(COUNTIF($A$2:$A$1201,A105)&gt;1,"DUPLICATE","Unique")</f>
        <v>Unique</v>
      </c>
      <c r="P105" s="2" t="str">
        <f aca="false">IF(L105="","MISSING","OK")</f>
        <v>OK</v>
      </c>
      <c r="Q105" s="2" t="str">
        <f aca="false">IF(ISNUMBER(B105),"OK","BAD DATE")</f>
        <v>OK</v>
      </c>
      <c r="R105" s="2" t="str">
        <f aca="false">IF(ROUND(F105,2)=F105,"OK","FIX")</f>
        <v>OK</v>
      </c>
    </row>
    <row r="106" customFormat="false" ht="15" hidden="false" customHeight="false" outlineLevel="0" collapsed="false">
      <c r="A106" s="2" t="str">
        <f aca="false">TRIM(UPPER(Raw_Data!A106))</f>
        <v>ORD200104</v>
      </c>
      <c r="B106" s="3" t="n">
        <f aca="false">IF(ISNUMBER(Raw_Data!B106),Raw_Data!B106,DATEVALUE(Raw_Data!B106))</f>
        <v>45503</v>
      </c>
      <c r="C106" s="2" t="str">
        <f aca="false">TRIM(UPPER(Raw_Data!C106))</f>
        <v>C65744</v>
      </c>
      <c r="D106" s="2" t="str">
        <f aca="false">PROPER(TRIM(Raw_Data!D106))</f>
        <v>Phone</v>
      </c>
      <c r="E106" s="2" t="n">
        <f aca="false">Raw_Data!E106</f>
        <v>1</v>
      </c>
      <c r="F106" s="4" t="n">
        <f aca="false">ROUND(Raw_Data!F106,2)</f>
        <v>582.04</v>
      </c>
      <c r="G106" s="2" t="str">
        <f aca="false">PROPER(TRIM(Raw_Data!G106))</f>
        <v>647 Main St</v>
      </c>
      <c r="H106" s="2" t="str">
        <f aca="false">PROPER(TRIM(Raw_Data!H106))</f>
        <v>Gift Card</v>
      </c>
      <c r="I106" s="2" t="str">
        <f aca="false">PROPER(TRIM(Raw_Data!I106))</f>
        <v>Delivered</v>
      </c>
      <c r="J106" s="2" t="str">
        <f aca="false">TRIM(UPPER(Raw_Data!J106))</f>
        <v>TRK39906058</v>
      </c>
      <c r="K106" s="2" t="n">
        <f aca="false">Raw_Data!K106</f>
        <v>1</v>
      </c>
      <c r="L106" s="2" t="str">
        <f aca="false">IF(TRIM(Raw_Data!L106)="","No Coupon",TRIM(UPPER(Raw_Data!L106)))</f>
        <v>FREESHIP</v>
      </c>
      <c r="M106" s="2" t="str">
        <f aca="false">PROPER(TRIM(Raw_Data!M106))</f>
        <v>Email</v>
      </c>
      <c r="N106" s="4" t="n">
        <f aca="false">ROUND(E106*F106,2)</f>
        <v>582.04</v>
      </c>
      <c r="O106" s="2" t="str">
        <f aca="false">IF(COUNTIF($A$2:$A$1201,A106)&gt;1,"DUPLICATE","Unique")</f>
        <v>Unique</v>
      </c>
      <c r="P106" s="2" t="str">
        <f aca="false">IF(L106="","MISSING","OK")</f>
        <v>OK</v>
      </c>
      <c r="Q106" s="2" t="str">
        <f aca="false">IF(ISNUMBER(B106),"OK","BAD DATE")</f>
        <v>OK</v>
      </c>
      <c r="R106" s="2" t="str">
        <f aca="false">IF(ROUND(F106,2)=F106,"OK","FIX")</f>
        <v>OK</v>
      </c>
    </row>
    <row r="107" customFormat="false" ht="15" hidden="false" customHeight="false" outlineLevel="0" collapsed="false">
      <c r="A107" s="2" t="str">
        <f aca="false">TRIM(UPPER(Raw_Data!A107))</f>
        <v>ORD200105</v>
      </c>
      <c r="B107" s="3" t="n">
        <f aca="false">IF(ISNUMBER(Raw_Data!B107),Raw_Data!B107,DATEVALUE(Raw_Data!B107))</f>
        <v>45589</v>
      </c>
      <c r="C107" s="2" t="str">
        <f aca="false">TRIM(UPPER(Raw_Data!C107))</f>
        <v>C72290</v>
      </c>
      <c r="D107" s="2" t="str">
        <f aca="false">PROPER(TRIM(Raw_Data!D107))</f>
        <v>Printer</v>
      </c>
      <c r="E107" s="2" t="n">
        <f aca="false">Raw_Data!E107</f>
        <v>3</v>
      </c>
      <c r="F107" s="4" t="n">
        <f aca="false">ROUND(Raw_Data!F107,2)</f>
        <v>185.4</v>
      </c>
      <c r="G107" s="2" t="str">
        <f aca="false">PROPER(TRIM(Raw_Data!G107))</f>
        <v>810 Main St</v>
      </c>
      <c r="H107" s="2" t="str">
        <f aca="false">PROPER(TRIM(Raw_Data!H107))</f>
        <v>Gift Card</v>
      </c>
      <c r="I107" s="2" t="str">
        <f aca="false">PROPER(TRIM(Raw_Data!I107))</f>
        <v>Cancelled</v>
      </c>
      <c r="J107" s="2" t="str">
        <f aca="false">TRIM(UPPER(Raw_Data!J107))</f>
        <v>TRK68792129</v>
      </c>
      <c r="K107" s="2" t="n">
        <f aca="false">Raw_Data!K107</f>
        <v>7</v>
      </c>
      <c r="L107" s="2" t="str">
        <f aca="false">IF(TRIM(Raw_Data!L107)="","No Coupon",TRIM(UPPER(Raw_Data!L107)))</f>
        <v>No Coupon</v>
      </c>
      <c r="M107" s="2" t="str">
        <f aca="false">PROPER(TRIM(Raw_Data!M107))</f>
        <v>Facebook</v>
      </c>
      <c r="N107" s="4" t="n">
        <f aca="false">ROUND(E107*F107,2)</f>
        <v>556.2</v>
      </c>
      <c r="O107" s="2" t="str">
        <f aca="false">IF(COUNTIF($A$2:$A$1201,A107)&gt;1,"DUPLICATE","Unique")</f>
        <v>Unique</v>
      </c>
      <c r="P107" s="2" t="str">
        <f aca="false">IF(L107="","MISSING","OK")</f>
        <v>OK</v>
      </c>
      <c r="Q107" s="2" t="str">
        <f aca="false">IF(ISNUMBER(B107),"OK","BAD DATE")</f>
        <v>OK</v>
      </c>
      <c r="R107" s="2" t="str">
        <f aca="false">IF(ROUND(F107,2)=F107,"OK","FIX")</f>
        <v>OK</v>
      </c>
    </row>
    <row r="108" customFormat="false" ht="15" hidden="false" customHeight="false" outlineLevel="0" collapsed="false">
      <c r="A108" s="2" t="str">
        <f aca="false">TRIM(UPPER(Raw_Data!A108))</f>
        <v>ORD200106</v>
      </c>
      <c r="B108" s="3" t="n">
        <f aca="false">IF(ISNUMBER(Raw_Data!B108),Raw_Data!B108,DATEVALUE(Raw_Data!B108))</f>
        <v>45177</v>
      </c>
      <c r="C108" s="2" t="str">
        <f aca="false">TRIM(UPPER(Raw_Data!C108))</f>
        <v>C73514</v>
      </c>
      <c r="D108" s="2" t="str">
        <f aca="false">PROPER(TRIM(Raw_Data!D108))</f>
        <v>Desk</v>
      </c>
      <c r="E108" s="2" t="n">
        <f aca="false">Raw_Data!E108</f>
        <v>3</v>
      </c>
      <c r="F108" s="4" t="n">
        <f aca="false">ROUND(Raw_Data!F108,2)</f>
        <v>465.05</v>
      </c>
      <c r="G108" s="2" t="str">
        <f aca="false">PROPER(TRIM(Raw_Data!G108))</f>
        <v>126 Main St</v>
      </c>
      <c r="H108" s="2" t="str">
        <f aca="false">PROPER(TRIM(Raw_Data!H108))</f>
        <v>Credit Card</v>
      </c>
      <c r="I108" s="2" t="str">
        <f aca="false">PROPER(TRIM(Raw_Data!I108))</f>
        <v>Cancelled</v>
      </c>
      <c r="J108" s="2" t="str">
        <f aca="false">TRIM(UPPER(Raw_Data!J108))</f>
        <v>TRK96777924</v>
      </c>
      <c r="K108" s="2" t="n">
        <f aca="false">Raw_Data!K108</f>
        <v>3</v>
      </c>
      <c r="L108" s="2" t="str">
        <f aca="false">IF(TRIM(Raw_Data!L108)="","No Coupon",TRIM(UPPER(Raw_Data!L108)))</f>
        <v>SAVE10</v>
      </c>
      <c r="M108" s="2" t="str">
        <f aca="false">PROPER(TRIM(Raw_Data!M108))</f>
        <v>Email</v>
      </c>
      <c r="N108" s="4" t="n">
        <f aca="false">ROUND(E108*F108,2)</f>
        <v>1395.15</v>
      </c>
      <c r="O108" s="2" t="str">
        <f aca="false">IF(COUNTIF($A$2:$A$1201,A108)&gt;1,"DUPLICATE","Unique")</f>
        <v>Unique</v>
      </c>
      <c r="P108" s="2" t="str">
        <f aca="false">IF(L108="","MISSING","OK")</f>
        <v>OK</v>
      </c>
      <c r="Q108" s="2" t="str">
        <f aca="false">IF(ISNUMBER(B108),"OK","BAD DATE")</f>
        <v>OK</v>
      </c>
      <c r="R108" s="2" t="str">
        <f aca="false">IF(ROUND(F108,2)=F108,"OK","FIX")</f>
        <v>OK</v>
      </c>
    </row>
    <row r="109" customFormat="false" ht="15" hidden="false" customHeight="false" outlineLevel="0" collapsed="false">
      <c r="A109" s="2" t="str">
        <f aca="false">TRIM(UPPER(Raw_Data!A109))</f>
        <v>ORD200107</v>
      </c>
      <c r="B109" s="3" t="n">
        <f aca="false">IF(ISNUMBER(Raw_Data!B109),Raw_Data!B109,DATEVALUE(Raw_Data!B109))</f>
        <v>45012</v>
      </c>
      <c r="C109" s="2" t="str">
        <f aca="false">TRIM(UPPER(Raw_Data!C109))</f>
        <v>C16775</v>
      </c>
      <c r="D109" s="2" t="str">
        <f aca="false">PROPER(TRIM(Raw_Data!D109))</f>
        <v>Printer</v>
      </c>
      <c r="E109" s="2" t="n">
        <f aca="false">Raw_Data!E109</f>
        <v>5</v>
      </c>
      <c r="F109" s="4" t="n">
        <f aca="false">ROUND(Raw_Data!F109,2)</f>
        <v>670.75</v>
      </c>
      <c r="G109" s="2" t="str">
        <f aca="false">PROPER(TRIM(Raw_Data!G109))</f>
        <v>848 Main St</v>
      </c>
      <c r="H109" s="2" t="str">
        <f aca="false">PROPER(TRIM(Raw_Data!H109))</f>
        <v>Gift Card</v>
      </c>
      <c r="I109" s="2" t="str">
        <f aca="false">PROPER(TRIM(Raw_Data!I109))</f>
        <v>Shipped</v>
      </c>
      <c r="J109" s="2" t="str">
        <f aca="false">TRIM(UPPER(Raw_Data!J109))</f>
        <v>TRK34392124</v>
      </c>
      <c r="K109" s="2" t="n">
        <f aca="false">Raw_Data!K109</f>
        <v>8</v>
      </c>
      <c r="L109" s="2" t="str">
        <f aca="false">IF(TRIM(Raw_Data!L109)="","No Coupon",TRIM(UPPER(Raw_Data!L109)))</f>
        <v>FREESHIP</v>
      </c>
      <c r="M109" s="2" t="str">
        <f aca="false">PROPER(TRIM(Raw_Data!M109))</f>
        <v>Instagram</v>
      </c>
      <c r="N109" s="4" t="n">
        <f aca="false">ROUND(E109*F109,2)</f>
        <v>3353.75</v>
      </c>
      <c r="O109" s="2" t="str">
        <f aca="false">IF(COUNTIF($A$2:$A$1201,A109)&gt;1,"DUPLICATE","Unique")</f>
        <v>Unique</v>
      </c>
      <c r="P109" s="2" t="str">
        <f aca="false">IF(L109="","MISSING","OK")</f>
        <v>OK</v>
      </c>
      <c r="Q109" s="2" t="str">
        <f aca="false">IF(ISNUMBER(B109),"OK","BAD DATE")</f>
        <v>OK</v>
      </c>
      <c r="R109" s="2" t="str">
        <f aca="false">IF(ROUND(F109,2)=F109,"OK","FIX")</f>
        <v>OK</v>
      </c>
    </row>
    <row r="110" customFormat="false" ht="15" hidden="false" customHeight="false" outlineLevel="0" collapsed="false">
      <c r="A110" s="2" t="str">
        <f aca="false">TRIM(UPPER(Raw_Data!A110))</f>
        <v>ORD200108</v>
      </c>
      <c r="B110" s="3" t="n">
        <f aca="false">IF(ISNUMBER(Raw_Data!B110),Raw_Data!B110,DATEVALUE(Raw_Data!B110))</f>
        <v>45654</v>
      </c>
      <c r="C110" s="2" t="str">
        <f aca="false">TRIM(UPPER(Raw_Data!C110))</f>
        <v>C33099</v>
      </c>
      <c r="D110" s="2" t="str">
        <f aca="false">PROPER(TRIM(Raw_Data!D110))</f>
        <v>Laptop</v>
      </c>
      <c r="E110" s="2" t="n">
        <f aca="false">Raw_Data!E110</f>
        <v>5</v>
      </c>
      <c r="F110" s="4" t="n">
        <f aca="false">ROUND(Raw_Data!F110,2)</f>
        <v>48.38</v>
      </c>
      <c r="G110" s="2" t="str">
        <f aca="false">PROPER(TRIM(Raw_Data!G110))</f>
        <v>522 Main St</v>
      </c>
      <c r="H110" s="2" t="str">
        <f aca="false">PROPER(TRIM(Raw_Data!H110))</f>
        <v>Gift Card</v>
      </c>
      <c r="I110" s="2" t="str">
        <f aca="false">PROPER(TRIM(Raw_Data!I110))</f>
        <v>Delivered</v>
      </c>
      <c r="J110" s="2" t="str">
        <f aca="false">TRIM(UPPER(Raw_Data!J110))</f>
        <v>TRK28522330</v>
      </c>
      <c r="K110" s="2" t="n">
        <f aca="false">Raw_Data!K110</f>
        <v>9</v>
      </c>
      <c r="L110" s="2" t="str">
        <f aca="false">IF(TRIM(Raw_Data!L110)="","No Coupon",TRIM(UPPER(Raw_Data!L110)))</f>
        <v>WINTER15</v>
      </c>
      <c r="M110" s="2" t="str">
        <f aca="false">PROPER(TRIM(Raw_Data!M110))</f>
        <v>Email</v>
      </c>
      <c r="N110" s="4" t="n">
        <f aca="false">ROUND(E110*F110,2)</f>
        <v>241.9</v>
      </c>
      <c r="O110" s="2" t="str">
        <f aca="false">IF(COUNTIF($A$2:$A$1201,A110)&gt;1,"DUPLICATE","Unique")</f>
        <v>Unique</v>
      </c>
      <c r="P110" s="2" t="str">
        <f aca="false">IF(L110="","MISSING","OK")</f>
        <v>OK</v>
      </c>
      <c r="Q110" s="2" t="str">
        <f aca="false">IF(ISNUMBER(B110),"OK","BAD DATE")</f>
        <v>OK</v>
      </c>
      <c r="R110" s="2" t="str">
        <f aca="false">IF(ROUND(F110,2)=F110,"OK","FIX")</f>
        <v>OK</v>
      </c>
    </row>
    <row r="111" customFormat="false" ht="15" hidden="false" customHeight="false" outlineLevel="0" collapsed="false">
      <c r="A111" s="2" t="str">
        <f aca="false">TRIM(UPPER(Raw_Data!A111))</f>
        <v>ORD200109</v>
      </c>
      <c r="B111" s="3" t="n">
        <f aca="false">IF(ISNUMBER(Raw_Data!B111),Raw_Data!B111,DATEVALUE(Raw_Data!B111))</f>
        <v>45186</v>
      </c>
      <c r="C111" s="2" t="str">
        <f aca="false">TRIM(UPPER(Raw_Data!C111))</f>
        <v>C51157</v>
      </c>
      <c r="D111" s="2" t="str">
        <f aca="false">PROPER(TRIM(Raw_Data!D111))</f>
        <v>Desk</v>
      </c>
      <c r="E111" s="2" t="n">
        <f aca="false">Raw_Data!E111</f>
        <v>3</v>
      </c>
      <c r="F111" s="4" t="n">
        <f aca="false">ROUND(Raw_Data!F111,2)</f>
        <v>592.87</v>
      </c>
      <c r="G111" s="2" t="str">
        <f aca="false">PROPER(TRIM(Raw_Data!G111))</f>
        <v>131 Main St</v>
      </c>
      <c r="H111" s="2" t="str">
        <f aca="false">PROPER(TRIM(Raw_Data!H111))</f>
        <v>Gift Card</v>
      </c>
      <c r="I111" s="2" t="str">
        <f aca="false">PROPER(TRIM(Raw_Data!I111))</f>
        <v>Shipped</v>
      </c>
      <c r="J111" s="2" t="str">
        <f aca="false">TRIM(UPPER(Raw_Data!J111))</f>
        <v>TRK18674578</v>
      </c>
      <c r="K111" s="2" t="n">
        <f aca="false">Raw_Data!K111</f>
        <v>3</v>
      </c>
      <c r="L111" s="2" t="str">
        <f aca="false">IF(TRIM(Raw_Data!L111)="","No Coupon",TRIM(UPPER(Raw_Data!L111)))</f>
        <v>FREESHIP</v>
      </c>
      <c r="M111" s="2" t="str">
        <f aca="false">PROPER(TRIM(Raw_Data!M111))</f>
        <v>Referral</v>
      </c>
      <c r="N111" s="4" t="n">
        <f aca="false">ROUND(E111*F111,2)</f>
        <v>1778.61</v>
      </c>
      <c r="O111" s="2" t="str">
        <f aca="false">IF(COUNTIF($A$2:$A$1201,A111)&gt;1,"DUPLICATE","Unique")</f>
        <v>Unique</v>
      </c>
      <c r="P111" s="2" t="str">
        <f aca="false">IF(L111="","MISSING","OK")</f>
        <v>OK</v>
      </c>
      <c r="Q111" s="2" t="str">
        <f aca="false">IF(ISNUMBER(B111),"OK","BAD DATE")</f>
        <v>OK</v>
      </c>
      <c r="R111" s="2" t="str">
        <f aca="false">IF(ROUND(F111,2)=F111,"OK","FIX")</f>
        <v>OK</v>
      </c>
    </row>
    <row r="112" customFormat="false" ht="15" hidden="false" customHeight="false" outlineLevel="0" collapsed="false">
      <c r="A112" s="2" t="str">
        <f aca="false">TRIM(UPPER(Raw_Data!A112))</f>
        <v>ORD200110</v>
      </c>
      <c r="B112" s="3" t="n">
        <f aca="false">IF(ISNUMBER(Raw_Data!B112),Raw_Data!B112,DATEVALUE(Raw_Data!B112))</f>
        <v>45403</v>
      </c>
      <c r="C112" s="2" t="str">
        <f aca="false">TRIM(UPPER(Raw_Data!C112))</f>
        <v>C74562</v>
      </c>
      <c r="D112" s="2" t="str">
        <f aca="false">PROPER(TRIM(Raw_Data!D112))</f>
        <v>Tablet</v>
      </c>
      <c r="E112" s="2" t="n">
        <f aca="false">Raw_Data!E112</f>
        <v>1</v>
      </c>
      <c r="F112" s="4" t="n">
        <f aca="false">ROUND(Raw_Data!F112,2)</f>
        <v>220.77</v>
      </c>
      <c r="G112" s="2" t="str">
        <f aca="false">PROPER(TRIM(Raw_Data!G112))</f>
        <v>388 Main St</v>
      </c>
      <c r="H112" s="2" t="str">
        <f aca="false">PROPER(TRIM(Raw_Data!H112))</f>
        <v>Gift Card</v>
      </c>
      <c r="I112" s="2" t="str">
        <f aca="false">PROPER(TRIM(Raw_Data!I112))</f>
        <v>Pending</v>
      </c>
      <c r="J112" s="2" t="str">
        <f aca="false">TRIM(UPPER(Raw_Data!J112))</f>
        <v>TRK32062079</v>
      </c>
      <c r="K112" s="2" t="n">
        <f aca="false">Raw_Data!K112</f>
        <v>5</v>
      </c>
      <c r="L112" s="2" t="str">
        <f aca="false">IF(TRIM(Raw_Data!L112)="","No Coupon",TRIM(UPPER(Raw_Data!L112)))</f>
        <v>FREESHIP</v>
      </c>
      <c r="M112" s="2" t="str">
        <f aca="false">PROPER(TRIM(Raw_Data!M112))</f>
        <v>Instagram</v>
      </c>
      <c r="N112" s="4" t="n">
        <f aca="false">ROUND(E112*F112,2)</f>
        <v>220.77</v>
      </c>
      <c r="O112" s="2" t="str">
        <f aca="false">IF(COUNTIF($A$2:$A$1201,A112)&gt;1,"DUPLICATE","Unique")</f>
        <v>Unique</v>
      </c>
      <c r="P112" s="2" t="str">
        <f aca="false">IF(L112="","MISSING","OK")</f>
        <v>OK</v>
      </c>
      <c r="Q112" s="2" t="str">
        <f aca="false">IF(ISNUMBER(B112),"OK","BAD DATE")</f>
        <v>OK</v>
      </c>
      <c r="R112" s="2" t="str">
        <f aca="false">IF(ROUND(F112,2)=F112,"OK","FIX")</f>
        <v>OK</v>
      </c>
    </row>
    <row r="113" customFormat="false" ht="15" hidden="false" customHeight="false" outlineLevel="0" collapsed="false">
      <c r="A113" s="2" t="str">
        <f aca="false">TRIM(UPPER(Raw_Data!A113))</f>
        <v>ORD200111</v>
      </c>
      <c r="B113" s="3" t="n">
        <f aca="false">IF(ISNUMBER(Raw_Data!B113),Raw_Data!B113,DATEVALUE(Raw_Data!B113))</f>
        <v>45784</v>
      </c>
      <c r="C113" s="2" t="str">
        <f aca="false">TRIM(UPPER(Raw_Data!C113))</f>
        <v>C95271</v>
      </c>
      <c r="D113" s="2" t="str">
        <f aca="false">PROPER(TRIM(Raw_Data!D113))</f>
        <v>Desk</v>
      </c>
      <c r="E113" s="2" t="n">
        <f aca="false">Raw_Data!E113</f>
        <v>3</v>
      </c>
      <c r="F113" s="4" t="n">
        <f aca="false">ROUND(Raw_Data!F113,2)</f>
        <v>309.22</v>
      </c>
      <c r="G113" s="2" t="str">
        <f aca="false">PROPER(TRIM(Raw_Data!G113))</f>
        <v>620 Main St</v>
      </c>
      <c r="H113" s="2" t="str">
        <f aca="false">PROPER(TRIM(Raw_Data!H113))</f>
        <v>Online</v>
      </c>
      <c r="I113" s="2" t="str">
        <f aca="false">PROPER(TRIM(Raw_Data!I113))</f>
        <v>Cancelled</v>
      </c>
      <c r="J113" s="2" t="str">
        <f aca="false">TRIM(UPPER(Raw_Data!J113))</f>
        <v>TRK74904969</v>
      </c>
      <c r="K113" s="2" t="n">
        <f aca="false">Raw_Data!K113</f>
        <v>7</v>
      </c>
      <c r="L113" s="2" t="str">
        <f aca="false">IF(TRIM(Raw_Data!L113)="","No Coupon",TRIM(UPPER(Raw_Data!L113)))</f>
        <v>FREESHIP</v>
      </c>
      <c r="M113" s="2" t="str">
        <f aca="false">PROPER(TRIM(Raw_Data!M113))</f>
        <v>Google</v>
      </c>
      <c r="N113" s="4" t="n">
        <f aca="false">ROUND(E113*F113,2)</f>
        <v>927.66</v>
      </c>
      <c r="O113" s="2" t="str">
        <f aca="false">IF(COUNTIF($A$2:$A$1201,A113)&gt;1,"DUPLICATE","Unique")</f>
        <v>Unique</v>
      </c>
      <c r="P113" s="2" t="str">
        <f aca="false">IF(L113="","MISSING","OK")</f>
        <v>OK</v>
      </c>
      <c r="Q113" s="2" t="str">
        <f aca="false">IF(ISNUMBER(B113),"OK","BAD DATE")</f>
        <v>OK</v>
      </c>
      <c r="R113" s="2" t="str">
        <f aca="false">IF(ROUND(F113,2)=F113,"OK","FIX")</f>
        <v>OK</v>
      </c>
    </row>
    <row r="114" customFormat="false" ht="15" hidden="false" customHeight="false" outlineLevel="0" collapsed="false">
      <c r="A114" s="2" t="str">
        <f aca="false">TRIM(UPPER(Raw_Data!A114))</f>
        <v>ORD200112</v>
      </c>
      <c r="B114" s="3" t="n">
        <f aca="false">IF(ISNUMBER(Raw_Data!B114),Raw_Data!B114,DATEVALUE(Raw_Data!B114))</f>
        <v>44927</v>
      </c>
      <c r="C114" s="2" t="str">
        <f aca="false">TRIM(UPPER(Raw_Data!C114))</f>
        <v>C81366</v>
      </c>
      <c r="D114" s="2" t="str">
        <f aca="false">PROPER(TRIM(Raw_Data!D114))</f>
        <v>Monitor</v>
      </c>
      <c r="E114" s="2" t="n">
        <f aca="false">Raw_Data!E114</f>
        <v>1</v>
      </c>
      <c r="F114" s="4" t="n">
        <f aca="false">ROUND(Raw_Data!F114,2)</f>
        <v>410.6</v>
      </c>
      <c r="G114" s="2" t="str">
        <f aca="false">PROPER(TRIM(Raw_Data!G114))</f>
        <v>423 Main St</v>
      </c>
      <c r="H114" s="2" t="str">
        <f aca="false">PROPER(TRIM(Raw_Data!H114))</f>
        <v>Online</v>
      </c>
      <c r="I114" s="2" t="str">
        <f aca="false">PROPER(TRIM(Raw_Data!I114))</f>
        <v>Cancelled</v>
      </c>
      <c r="J114" s="2" t="str">
        <f aca="false">TRIM(UPPER(Raw_Data!J114))</f>
        <v>TRK17062206</v>
      </c>
      <c r="K114" s="2" t="n">
        <f aca="false">Raw_Data!K114</f>
        <v>2</v>
      </c>
      <c r="L114" s="2" t="str">
        <f aca="false">IF(TRIM(Raw_Data!L114)="","No Coupon",TRIM(UPPER(Raw_Data!L114)))</f>
        <v>WINTER15</v>
      </c>
      <c r="M114" s="2" t="str">
        <f aca="false">PROPER(TRIM(Raw_Data!M114))</f>
        <v>Referral</v>
      </c>
      <c r="N114" s="4" t="n">
        <f aca="false">ROUND(E114*F114,2)</f>
        <v>410.6</v>
      </c>
      <c r="O114" s="2" t="str">
        <f aca="false">IF(COUNTIF($A$2:$A$1201,A114)&gt;1,"DUPLICATE","Unique")</f>
        <v>Unique</v>
      </c>
      <c r="P114" s="2" t="str">
        <f aca="false">IF(L114="","MISSING","OK")</f>
        <v>OK</v>
      </c>
      <c r="Q114" s="2" t="str">
        <f aca="false">IF(ISNUMBER(B114),"OK","BAD DATE")</f>
        <v>OK</v>
      </c>
      <c r="R114" s="2" t="str">
        <f aca="false">IF(ROUND(F114,2)=F114,"OK","FIX")</f>
        <v>OK</v>
      </c>
    </row>
    <row r="115" customFormat="false" ht="15" hidden="false" customHeight="false" outlineLevel="0" collapsed="false">
      <c r="A115" s="2" t="str">
        <f aca="false">TRIM(UPPER(Raw_Data!A115))</f>
        <v>ORD200113</v>
      </c>
      <c r="B115" s="3" t="n">
        <f aca="false">IF(ISNUMBER(Raw_Data!B115),Raw_Data!B115,DATEVALUE(Raw_Data!B115))</f>
        <v>45308</v>
      </c>
      <c r="C115" s="2" t="str">
        <f aca="false">TRIM(UPPER(Raw_Data!C115))</f>
        <v>C65905</v>
      </c>
      <c r="D115" s="2" t="str">
        <f aca="false">PROPER(TRIM(Raw_Data!D115))</f>
        <v>Laptop</v>
      </c>
      <c r="E115" s="2" t="n">
        <f aca="false">Raw_Data!E115</f>
        <v>5</v>
      </c>
      <c r="F115" s="4" t="n">
        <f aca="false">ROUND(Raw_Data!F115,2)</f>
        <v>190.08</v>
      </c>
      <c r="G115" s="2" t="str">
        <f aca="false">PROPER(TRIM(Raw_Data!G115))</f>
        <v>605 Main St</v>
      </c>
      <c r="H115" s="2" t="str">
        <f aca="false">PROPER(TRIM(Raw_Data!H115))</f>
        <v>Cash</v>
      </c>
      <c r="I115" s="2" t="str">
        <f aca="false">PROPER(TRIM(Raw_Data!I115))</f>
        <v>Shipped</v>
      </c>
      <c r="J115" s="2" t="str">
        <f aca="false">TRIM(UPPER(Raw_Data!J115))</f>
        <v>TRK73954365</v>
      </c>
      <c r="K115" s="2" t="n">
        <f aca="false">Raw_Data!K115</f>
        <v>9</v>
      </c>
      <c r="L115" s="2" t="str">
        <f aca="false">IF(TRIM(Raw_Data!L115)="","No Coupon",TRIM(UPPER(Raw_Data!L115)))</f>
        <v>FREESHIP</v>
      </c>
      <c r="M115" s="2" t="str">
        <f aca="false">PROPER(TRIM(Raw_Data!M115))</f>
        <v>Instagram</v>
      </c>
      <c r="N115" s="4" t="n">
        <f aca="false">ROUND(E115*F115,2)</f>
        <v>950.4</v>
      </c>
      <c r="O115" s="2" t="str">
        <f aca="false">IF(COUNTIF($A$2:$A$1201,A115)&gt;1,"DUPLICATE","Unique")</f>
        <v>Unique</v>
      </c>
      <c r="P115" s="2" t="str">
        <f aca="false">IF(L115="","MISSING","OK")</f>
        <v>OK</v>
      </c>
      <c r="Q115" s="2" t="str">
        <f aca="false">IF(ISNUMBER(B115),"OK","BAD DATE")</f>
        <v>OK</v>
      </c>
      <c r="R115" s="2" t="str">
        <f aca="false">IF(ROUND(F115,2)=F115,"OK","FIX")</f>
        <v>OK</v>
      </c>
    </row>
    <row r="116" customFormat="false" ht="15" hidden="false" customHeight="false" outlineLevel="0" collapsed="false">
      <c r="A116" s="2" t="str">
        <f aca="false">TRIM(UPPER(Raw_Data!A116))</f>
        <v>ORD200114</v>
      </c>
      <c r="B116" s="3" t="n">
        <f aca="false">IF(ISNUMBER(Raw_Data!B116),Raw_Data!B116,DATEVALUE(Raw_Data!B116))</f>
        <v>45684</v>
      </c>
      <c r="C116" s="2" t="str">
        <f aca="false">TRIM(UPPER(Raw_Data!C116))</f>
        <v>C77272</v>
      </c>
      <c r="D116" s="2" t="str">
        <f aca="false">PROPER(TRIM(Raw_Data!D116))</f>
        <v>Monitor</v>
      </c>
      <c r="E116" s="2" t="n">
        <f aca="false">Raw_Data!E116</f>
        <v>5</v>
      </c>
      <c r="F116" s="4" t="n">
        <f aca="false">ROUND(Raw_Data!F116,2)</f>
        <v>498.48</v>
      </c>
      <c r="G116" s="2" t="str">
        <f aca="false">PROPER(TRIM(Raw_Data!G116))</f>
        <v>115 Main St</v>
      </c>
      <c r="H116" s="2" t="str">
        <f aca="false">PROPER(TRIM(Raw_Data!H116))</f>
        <v>Online</v>
      </c>
      <c r="I116" s="2" t="str">
        <f aca="false">PROPER(TRIM(Raw_Data!I116))</f>
        <v>Pending</v>
      </c>
      <c r="J116" s="2" t="str">
        <f aca="false">TRIM(UPPER(Raw_Data!J116))</f>
        <v>TRK29708128</v>
      </c>
      <c r="K116" s="2" t="n">
        <f aca="false">Raw_Data!K116</f>
        <v>8</v>
      </c>
      <c r="L116" s="2" t="str">
        <f aca="false">IF(TRIM(Raw_Data!L116)="","No Coupon",TRIM(UPPER(Raw_Data!L116)))</f>
        <v>SAVE10</v>
      </c>
      <c r="M116" s="2" t="str">
        <f aca="false">PROPER(TRIM(Raw_Data!M116))</f>
        <v>Google</v>
      </c>
      <c r="N116" s="4" t="n">
        <f aca="false">ROUND(E116*F116,2)</f>
        <v>2492.4</v>
      </c>
      <c r="O116" s="2" t="str">
        <f aca="false">IF(COUNTIF($A$2:$A$1201,A116)&gt;1,"DUPLICATE","Unique")</f>
        <v>Unique</v>
      </c>
      <c r="P116" s="2" t="str">
        <f aca="false">IF(L116="","MISSING","OK")</f>
        <v>OK</v>
      </c>
      <c r="Q116" s="2" t="str">
        <f aca="false">IF(ISNUMBER(B116),"OK","BAD DATE")</f>
        <v>OK</v>
      </c>
      <c r="R116" s="2" t="str">
        <f aca="false">IF(ROUND(F116,2)=F116,"OK","FIX")</f>
        <v>OK</v>
      </c>
    </row>
    <row r="117" customFormat="false" ht="15" hidden="false" customHeight="false" outlineLevel="0" collapsed="false">
      <c r="A117" s="2" t="str">
        <f aca="false">TRIM(UPPER(Raw_Data!A117))</f>
        <v>ORD200115</v>
      </c>
      <c r="B117" s="3" t="n">
        <f aca="false">IF(ISNUMBER(Raw_Data!B117),Raw_Data!B117,DATEVALUE(Raw_Data!B117))</f>
        <v>45257</v>
      </c>
      <c r="C117" s="2" t="str">
        <f aca="false">TRIM(UPPER(Raw_Data!C117))</f>
        <v>C32580</v>
      </c>
      <c r="D117" s="2" t="str">
        <f aca="false">PROPER(TRIM(Raw_Data!D117))</f>
        <v>Phone</v>
      </c>
      <c r="E117" s="2" t="n">
        <f aca="false">Raw_Data!E117</f>
        <v>5</v>
      </c>
      <c r="F117" s="4" t="n">
        <f aca="false">ROUND(Raw_Data!F117,2)</f>
        <v>374.99</v>
      </c>
      <c r="G117" s="2" t="str">
        <f aca="false">PROPER(TRIM(Raw_Data!G117))</f>
        <v>122 Main St</v>
      </c>
      <c r="H117" s="2" t="str">
        <f aca="false">PROPER(TRIM(Raw_Data!H117))</f>
        <v>Online</v>
      </c>
      <c r="I117" s="2" t="str">
        <f aca="false">PROPER(TRIM(Raw_Data!I117))</f>
        <v>Shipped</v>
      </c>
      <c r="J117" s="2" t="str">
        <f aca="false">TRIM(UPPER(Raw_Data!J117))</f>
        <v>TRK23670394</v>
      </c>
      <c r="K117" s="2" t="n">
        <f aca="false">Raw_Data!K117</f>
        <v>9</v>
      </c>
      <c r="L117" s="2" t="str">
        <f aca="false">IF(TRIM(Raw_Data!L117)="","No Coupon",TRIM(UPPER(Raw_Data!L117)))</f>
        <v>SAVE10</v>
      </c>
      <c r="M117" s="2" t="str">
        <f aca="false">PROPER(TRIM(Raw_Data!M117))</f>
        <v>Facebook</v>
      </c>
      <c r="N117" s="4" t="n">
        <f aca="false">ROUND(E117*F117,2)</f>
        <v>1874.95</v>
      </c>
      <c r="O117" s="2" t="str">
        <f aca="false">IF(COUNTIF($A$2:$A$1201,A117)&gt;1,"DUPLICATE","Unique")</f>
        <v>Unique</v>
      </c>
      <c r="P117" s="2" t="str">
        <f aca="false">IF(L117="","MISSING","OK")</f>
        <v>OK</v>
      </c>
      <c r="Q117" s="2" t="str">
        <f aca="false">IF(ISNUMBER(B117),"OK","BAD DATE")</f>
        <v>OK</v>
      </c>
      <c r="R117" s="2" t="str">
        <f aca="false">IF(ROUND(F117,2)=F117,"OK","FIX")</f>
        <v>OK</v>
      </c>
    </row>
    <row r="118" customFormat="false" ht="15" hidden="false" customHeight="false" outlineLevel="0" collapsed="false">
      <c r="A118" s="2" t="str">
        <f aca="false">TRIM(UPPER(Raw_Data!A118))</f>
        <v>ORD200116</v>
      </c>
      <c r="B118" s="3" t="n">
        <f aca="false">IF(ISNUMBER(Raw_Data!B118),Raw_Data!B118,DATEVALUE(Raw_Data!B118))</f>
        <v>45004</v>
      </c>
      <c r="C118" s="2" t="str">
        <f aca="false">TRIM(UPPER(Raw_Data!C118))</f>
        <v>C47761</v>
      </c>
      <c r="D118" s="2" t="str">
        <f aca="false">PROPER(TRIM(Raw_Data!D118))</f>
        <v>Printer</v>
      </c>
      <c r="E118" s="2" t="n">
        <f aca="false">Raw_Data!E118</f>
        <v>4</v>
      </c>
      <c r="F118" s="4" t="n">
        <f aca="false">ROUND(Raw_Data!F118,2)</f>
        <v>291.35</v>
      </c>
      <c r="G118" s="2" t="str">
        <f aca="false">PROPER(TRIM(Raw_Data!G118))</f>
        <v>109 Main St</v>
      </c>
      <c r="H118" s="2" t="str">
        <f aca="false">PROPER(TRIM(Raw_Data!H118))</f>
        <v>Credit Card</v>
      </c>
      <c r="I118" s="2" t="str">
        <f aca="false">PROPER(TRIM(Raw_Data!I118))</f>
        <v>Cancelled</v>
      </c>
      <c r="J118" s="2" t="str">
        <f aca="false">TRIM(UPPER(Raw_Data!J118))</f>
        <v>TRK66669207</v>
      </c>
      <c r="K118" s="2" t="n">
        <f aca="false">Raw_Data!K118</f>
        <v>6</v>
      </c>
      <c r="L118" s="2" t="str">
        <f aca="false">IF(TRIM(Raw_Data!L118)="","No Coupon",TRIM(UPPER(Raw_Data!L118)))</f>
        <v>WINTER15</v>
      </c>
      <c r="M118" s="2" t="str">
        <f aca="false">PROPER(TRIM(Raw_Data!M118))</f>
        <v>Facebook</v>
      </c>
      <c r="N118" s="4" t="n">
        <f aca="false">ROUND(E118*F118,2)</f>
        <v>1165.4</v>
      </c>
      <c r="O118" s="2" t="str">
        <f aca="false">IF(COUNTIF($A$2:$A$1201,A118)&gt;1,"DUPLICATE","Unique")</f>
        <v>Unique</v>
      </c>
      <c r="P118" s="2" t="str">
        <f aca="false">IF(L118="","MISSING","OK")</f>
        <v>OK</v>
      </c>
      <c r="Q118" s="2" t="str">
        <f aca="false">IF(ISNUMBER(B118),"OK","BAD DATE")</f>
        <v>OK</v>
      </c>
      <c r="R118" s="2" t="str">
        <f aca="false">IF(ROUND(F118,2)=F118,"OK","FIX")</f>
        <v>OK</v>
      </c>
    </row>
    <row r="119" customFormat="false" ht="15" hidden="false" customHeight="false" outlineLevel="0" collapsed="false">
      <c r="A119" s="2" t="str">
        <f aca="false">TRIM(UPPER(Raw_Data!A119))</f>
        <v>ORD200117</v>
      </c>
      <c r="B119" s="3" t="n">
        <f aca="false">IF(ISNUMBER(Raw_Data!B119),Raw_Data!B119,DATEVALUE(Raw_Data!B119))</f>
        <v>44993</v>
      </c>
      <c r="C119" s="2" t="str">
        <f aca="false">TRIM(UPPER(Raw_Data!C119))</f>
        <v>C49187</v>
      </c>
      <c r="D119" s="2" t="str">
        <f aca="false">PROPER(TRIM(Raw_Data!D119))</f>
        <v>Tablet</v>
      </c>
      <c r="E119" s="2" t="n">
        <f aca="false">Raw_Data!E119</f>
        <v>1</v>
      </c>
      <c r="F119" s="4" t="n">
        <f aca="false">ROUND(Raw_Data!F119,2)</f>
        <v>535.5</v>
      </c>
      <c r="G119" s="2" t="str">
        <f aca="false">PROPER(TRIM(Raw_Data!G119))</f>
        <v>593 Main St</v>
      </c>
      <c r="H119" s="2" t="str">
        <f aca="false">PROPER(TRIM(Raw_Data!H119))</f>
        <v>Gift Card</v>
      </c>
      <c r="I119" s="2" t="str">
        <f aca="false">PROPER(TRIM(Raw_Data!I119))</f>
        <v>Cancelled</v>
      </c>
      <c r="J119" s="2" t="str">
        <f aca="false">TRIM(UPPER(Raw_Data!J119))</f>
        <v>TRK81888598</v>
      </c>
      <c r="K119" s="2" t="n">
        <f aca="false">Raw_Data!K119</f>
        <v>5</v>
      </c>
      <c r="L119" s="2" t="str">
        <f aca="false">IF(TRIM(Raw_Data!L119)="","No Coupon",TRIM(UPPER(Raw_Data!L119)))</f>
        <v>WINTER15</v>
      </c>
      <c r="M119" s="2" t="str">
        <f aca="false">PROPER(TRIM(Raw_Data!M119))</f>
        <v>Referral</v>
      </c>
      <c r="N119" s="4" t="n">
        <f aca="false">ROUND(E119*F119,2)</f>
        <v>535.5</v>
      </c>
      <c r="O119" s="2" t="str">
        <f aca="false">IF(COUNTIF($A$2:$A$1201,A119)&gt;1,"DUPLICATE","Unique")</f>
        <v>Unique</v>
      </c>
      <c r="P119" s="2" t="str">
        <f aca="false">IF(L119="","MISSING","OK")</f>
        <v>OK</v>
      </c>
      <c r="Q119" s="2" t="str">
        <f aca="false">IF(ISNUMBER(B119),"OK","BAD DATE")</f>
        <v>OK</v>
      </c>
      <c r="R119" s="2" t="str">
        <f aca="false">IF(ROUND(F119,2)=F119,"OK","FIX")</f>
        <v>OK</v>
      </c>
    </row>
    <row r="120" customFormat="false" ht="15" hidden="false" customHeight="false" outlineLevel="0" collapsed="false">
      <c r="A120" s="2" t="str">
        <f aca="false">TRIM(UPPER(Raw_Data!A120))</f>
        <v>ORD200118</v>
      </c>
      <c r="B120" s="3" t="n">
        <f aca="false">IF(ISNUMBER(Raw_Data!B120),Raw_Data!B120,DATEVALUE(Raw_Data!B120))</f>
        <v>45208</v>
      </c>
      <c r="C120" s="2" t="str">
        <f aca="false">TRIM(UPPER(Raw_Data!C120))</f>
        <v>C27898</v>
      </c>
      <c r="D120" s="2" t="str">
        <f aca="false">PROPER(TRIM(Raw_Data!D120))</f>
        <v>Printer</v>
      </c>
      <c r="E120" s="2" t="n">
        <f aca="false">Raw_Data!E120</f>
        <v>5</v>
      </c>
      <c r="F120" s="4" t="n">
        <f aca="false">ROUND(Raw_Data!F120,2)</f>
        <v>502.71</v>
      </c>
      <c r="G120" s="2" t="str">
        <f aca="false">PROPER(TRIM(Raw_Data!G120))</f>
        <v>807 Main St</v>
      </c>
      <c r="H120" s="2" t="str">
        <f aca="false">PROPER(TRIM(Raw_Data!H120))</f>
        <v>Gift Card</v>
      </c>
      <c r="I120" s="2" t="str">
        <f aca="false">PROPER(TRIM(Raw_Data!I120))</f>
        <v>Shipped</v>
      </c>
      <c r="J120" s="2" t="str">
        <f aca="false">TRIM(UPPER(Raw_Data!J120))</f>
        <v>TRK61957665</v>
      </c>
      <c r="K120" s="2" t="n">
        <f aca="false">Raw_Data!K120</f>
        <v>7</v>
      </c>
      <c r="L120" s="2" t="str">
        <f aca="false">IF(TRIM(Raw_Data!L120)="","No Coupon",TRIM(UPPER(Raw_Data!L120)))</f>
        <v>FREESHIP</v>
      </c>
      <c r="M120" s="2" t="str">
        <f aca="false">PROPER(TRIM(Raw_Data!M120))</f>
        <v>Google</v>
      </c>
      <c r="N120" s="4" t="n">
        <f aca="false">ROUND(E120*F120,2)</f>
        <v>2513.55</v>
      </c>
      <c r="O120" s="2" t="str">
        <f aca="false">IF(COUNTIF($A$2:$A$1201,A120)&gt;1,"DUPLICATE","Unique")</f>
        <v>Unique</v>
      </c>
      <c r="P120" s="2" t="str">
        <f aca="false">IF(L120="","MISSING","OK")</f>
        <v>OK</v>
      </c>
      <c r="Q120" s="2" t="str">
        <f aca="false">IF(ISNUMBER(B120),"OK","BAD DATE")</f>
        <v>OK</v>
      </c>
      <c r="R120" s="2" t="str">
        <f aca="false">IF(ROUND(F120,2)=F120,"OK","FIX")</f>
        <v>OK</v>
      </c>
    </row>
    <row r="121" customFormat="false" ht="15" hidden="false" customHeight="false" outlineLevel="0" collapsed="false">
      <c r="A121" s="2" t="str">
        <f aca="false">TRIM(UPPER(Raw_Data!A121))</f>
        <v>ORD200119</v>
      </c>
      <c r="B121" s="3" t="n">
        <f aca="false">IF(ISNUMBER(Raw_Data!B121),Raw_Data!B121,DATEVALUE(Raw_Data!B121))</f>
        <v>45819</v>
      </c>
      <c r="C121" s="2" t="str">
        <f aca="false">TRIM(UPPER(Raw_Data!C121))</f>
        <v>C14683</v>
      </c>
      <c r="D121" s="2" t="str">
        <f aca="false">PROPER(TRIM(Raw_Data!D121))</f>
        <v>Desk</v>
      </c>
      <c r="E121" s="2" t="n">
        <f aca="false">Raw_Data!E121</f>
        <v>2</v>
      </c>
      <c r="F121" s="4" t="n">
        <f aca="false">ROUND(Raw_Data!F121,2)</f>
        <v>534.67</v>
      </c>
      <c r="G121" s="2" t="str">
        <f aca="false">PROPER(TRIM(Raw_Data!G121))</f>
        <v>187 Main St</v>
      </c>
      <c r="H121" s="2" t="str">
        <f aca="false">PROPER(TRIM(Raw_Data!H121))</f>
        <v>Debit Card</v>
      </c>
      <c r="I121" s="2" t="str">
        <f aca="false">PROPER(TRIM(Raw_Data!I121))</f>
        <v>Shipped</v>
      </c>
      <c r="J121" s="2" t="str">
        <f aca="false">TRIM(UPPER(Raw_Data!J121))</f>
        <v>TRK47373682</v>
      </c>
      <c r="K121" s="2" t="n">
        <f aca="false">Raw_Data!K121</f>
        <v>7</v>
      </c>
      <c r="L121" s="2" t="str">
        <f aca="false">IF(TRIM(Raw_Data!L121)="","No Coupon",TRIM(UPPER(Raw_Data!L121)))</f>
        <v>FREESHIP</v>
      </c>
      <c r="M121" s="2" t="str">
        <f aca="false">PROPER(TRIM(Raw_Data!M121))</f>
        <v>Referral</v>
      </c>
      <c r="N121" s="4" t="n">
        <f aca="false">ROUND(E121*F121,2)</f>
        <v>1069.34</v>
      </c>
      <c r="O121" s="2" t="str">
        <f aca="false">IF(COUNTIF($A$2:$A$1201,A121)&gt;1,"DUPLICATE","Unique")</f>
        <v>Unique</v>
      </c>
      <c r="P121" s="2" t="str">
        <f aca="false">IF(L121="","MISSING","OK")</f>
        <v>OK</v>
      </c>
      <c r="Q121" s="2" t="str">
        <f aca="false">IF(ISNUMBER(B121),"OK","BAD DATE")</f>
        <v>OK</v>
      </c>
      <c r="R121" s="2" t="str">
        <f aca="false">IF(ROUND(F121,2)=F121,"OK","FIX")</f>
        <v>OK</v>
      </c>
    </row>
    <row r="122" customFormat="false" ht="15" hidden="false" customHeight="false" outlineLevel="0" collapsed="false">
      <c r="A122" s="2" t="str">
        <f aca="false">TRIM(UPPER(Raw_Data!A122))</f>
        <v>ORD200120</v>
      </c>
      <c r="B122" s="3" t="n">
        <f aca="false">IF(ISNUMBER(Raw_Data!B122),Raw_Data!B122,DATEVALUE(Raw_Data!B122))</f>
        <v>45027</v>
      </c>
      <c r="C122" s="2" t="str">
        <f aca="false">TRIM(UPPER(Raw_Data!C122))</f>
        <v>C58108</v>
      </c>
      <c r="D122" s="2" t="str">
        <f aca="false">PROPER(TRIM(Raw_Data!D122))</f>
        <v>Tablet</v>
      </c>
      <c r="E122" s="2" t="n">
        <f aca="false">Raw_Data!E122</f>
        <v>4</v>
      </c>
      <c r="F122" s="4" t="n">
        <f aca="false">ROUND(Raw_Data!F122,2)</f>
        <v>629.34</v>
      </c>
      <c r="G122" s="2" t="str">
        <f aca="false">PROPER(TRIM(Raw_Data!G122))</f>
        <v>986 Main St</v>
      </c>
      <c r="H122" s="2" t="str">
        <f aca="false">PROPER(TRIM(Raw_Data!H122))</f>
        <v>Cash</v>
      </c>
      <c r="I122" s="2" t="str">
        <f aca="false">PROPER(TRIM(Raw_Data!I122))</f>
        <v>Cancelled</v>
      </c>
      <c r="J122" s="2" t="str">
        <f aca="false">TRIM(UPPER(Raw_Data!J122))</f>
        <v>TRK66218053</v>
      </c>
      <c r="K122" s="2" t="n">
        <f aca="false">Raw_Data!K122</f>
        <v>4</v>
      </c>
      <c r="L122" s="2" t="str">
        <f aca="false">IF(TRIM(Raw_Data!L122)="","No Coupon",TRIM(UPPER(Raw_Data!L122)))</f>
        <v>WINTER15</v>
      </c>
      <c r="M122" s="2" t="str">
        <f aca="false">PROPER(TRIM(Raw_Data!M122))</f>
        <v>Instagram</v>
      </c>
      <c r="N122" s="4" t="n">
        <f aca="false">ROUND(E122*F122,2)</f>
        <v>2517.36</v>
      </c>
      <c r="O122" s="2" t="str">
        <f aca="false">IF(COUNTIF($A$2:$A$1201,A122)&gt;1,"DUPLICATE","Unique")</f>
        <v>Unique</v>
      </c>
      <c r="P122" s="2" t="str">
        <f aca="false">IF(L122="","MISSING","OK")</f>
        <v>OK</v>
      </c>
      <c r="Q122" s="2" t="str">
        <f aca="false">IF(ISNUMBER(B122),"OK","BAD DATE")</f>
        <v>OK</v>
      </c>
      <c r="R122" s="2" t="str">
        <f aca="false">IF(ROUND(F122,2)=F122,"OK","FIX")</f>
        <v>OK</v>
      </c>
    </row>
    <row r="123" customFormat="false" ht="15" hidden="false" customHeight="false" outlineLevel="0" collapsed="false">
      <c r="A123" s="2" t="str">
        <f aca="false">TRIM(UPPER(Raw_Data!A123))</f>
        <v>ORD200121</v>
      </c>
      <c r="B123" s="3" t="n">
        <f aca="false">IF(ISNUMBER(Raw_Data!B123),Raw_Data!B123,DATEVALUE(Raw_Data!B123))</f>
        <v>45260</v>
      </c>
      <c r="C123" s="2" t="str">
        <f aca="false">TRIM(UPPER(Raw_Data!C123))</f>
        <v>C89822</v>
      </c>
      <c r="D123" s="2" t="str">
        <f aca="false">PROPER(TRIM(Raw_Data!D123))</f>
        <v>Desk</v>
      </c>
      <c r="E123" s="2" t="n">
        <f aca="false">Raw_Data!E123</f>
        <v>1</v>
      </c>
      <c r="F123" s="4" t="n">
        <f aca="false">ROUND(Raw_Data!F123,2)</f>
        <v>410.78</v>
      </c>
      <c r="G123" s="2" t="str">
        <f aca="false">PROPER(TRIM(Raw_Data!G123))</f>
        <v>673 Main St</v>
      </c>
      <c r="H123" s="2" t="str">
        <f aca="false">PROPER(TRIM(Raw_Data!H123))</f>
        <v>Cash</v>
      </c>
      <c r="I123" s="2" t="str">
        <f aca="false">PROPER(TRIM(Raw_Data!I123))</f>
        <v>Cancelled</v>
      </c>
      <c r="J123" s="2" t="str">
        <f aca="false">TRIM(UPPER(Raw_Data!J123))</f>
        <v>TRK24138598</v>
      </c>
      <c r="K123" s="2" t="n">
        <f aca="false">Raw_Data!K123</f>
        <v>1</v>
      </c>
      <c r="L123" s="2" t="str">
        <f aca="false">IF(TRIM(Raw_Data!L123)="","No Coupon",TRIM(UPPER(Raw_Data!L123)))</f>
        <v>FREESHIP</v>
      </c>
      <c r="M123" s="2" t="str">
        <f aca="false">PROPER(TRIM(Raw_Data!M123))</f>
        <v>Instagram</v>
      </c>
      <c r="N123" s="4" t="n">
        <f aca="false">ROUND(E123*F123,2)</f>
        <v>410.78</v>
      </c>
      <c r="O123" s="2" t="str">
        <f aca="false">IF(COUNTIF($A$2:$A$1201,A123)&gt;1,"DUPLICATE","Unique")</f>
        <v>Unique</v>
      </c>
      <c r="P123" s="2" t="str">
        <f aca="false">IF(L123="","MISSING","OK")</f>
        <v>OK</v>
      </c>
      <c r="Q123" s="2" t="str">
        <f aca="false">IF(ISNUMBER(B123),"OK","BAD DATE")</f>
        <v>OK</v>
      </c>
      <c r="R123" s="2" t="str">
        <f aca="false">IF(ROUND(F123,2)=F123,"OK","FIX")</f>
        <v>OK</v>
      </c>
    </row>
    <row r="124" customFormat="false" ht="15" hidden="false" customHeight="false" outlineLevel="0" collapsed="false">
      <c r="A124" s="2" t="str">
        <f aca="false">TRIM(UPPER(Raw_Data!A124))</f>
        <v>ORD200122</v>
      </c>
      <c r="B124" s="3" t="n">
        <f aca="false">IF(ISNUMBER(Raw_Data!B124),Raw_Data!B124,DATEVALUE(Raw_Data!B124))</f>
        <v>45397</v>
      </c>
      <c r="C124" s="2" t="str">
        <f aca="false">TRIM(UPPER(Raw_Data!C124))</f>
        <v>C96787</v>
      </c>
      <c r="D124" s="2" t="str">
        <f aca="false">PROPER(TRIM(Raw_Data!D124))</f>
        <v>Laptop</v>
      </c>
      <c r="E124" s="2" t="n">
        <f aca="false">Raw_Data!E124</f>
        <v>2</v>
      </c>
      <c r="F124" s="4" t="n">
        <f aca="false">ROUND(Raw_Data!F124,2)</f>
        <v>533.02</v>
      </c>
      <c r="G124" s="2" t="str">
        <f aca="false">PROPER(TRIM(Raw_Data!G124))</f>
        <v>588 Main St</v>
      </c>
      <c r="H124" s="2" t="str">
        <f aca="false">PROPER(TRIM(Raw_Data!H124))</f>
        <v>Gift Card</v>
      </c>
      <c r="I124" s="2" t="str">
        <f aca="false">PROPER(TRIM(Raw_Data!I124))</f>
        <v>Shipped</v>
      </c>
      <c r="J124" s="2" t="str">
        <f aca="false">TRIM(UPPER(Raw_Data!J124))</f>
        <v>TRK30422853</v>
      </c>
      <c r="K124" s="2" t="n">
        <f aca="false">Raw_Data!K124</f>
        <v>2</v>
      </c>
      <c r="L124" s="2" t="str">
        <f aca="false">IF(TRIM(Raw_Data!L124)="","No Coupon",TRIM(UPPER(Raw_Data!L124)))</f>
        <v>No Coupon</v>
      </c>
      <c r="M124" s="2" t="str">
        <f aca="false">PROPER(TRIM(Raw_Data!M124))</f>
        <v>Facebook</v>
      </c>
      <c r="N124" s="4" t="n">
        <f aca="false">ROUND(E124*F124,2)</f>
        <v>1066.04</v>
      </c>
      <c r="O124" s="2" t="str">
        <f aca="false">IF(COUNTIF($A$2:$A$1201,A124)&gt;1,"DUPLICATE","Unique")</f>
        <v>Unique</v>
      </c>
      <c r="P124" s="2" t="str">
        <f aca="false">IF(L124="","MISSING","OK")</f>
        <v>OK</v>
      </c>
      <c r="Q124" s="2" t="str">
        <f aca="false">IF(ISNUMBER(B124),"OK","BAD DATE")</f>
        <v>OK</v>
      </c>
      <c r="R124" s="2" t="str">
        <f aca="false">IF(ROUND(F124,2)=F124,"OK","FIX")</f>
        <v>OK</v>
      </c>
    </row>
    <row r="125" customFormat="false" ht="15" hidden="false" customHeight="false" outlineLevel="0" collapsed="false">
      <c r="A125" s="2" t="str">
        <f aca="false">TRIM(UPPER(Raw_Data!A125))</f>
        <v>ORD200123</v>
      </c>
      <c r="B125" s="3" t="n">
        <f aca="false">IF(ISNUMBER(Raw_Data!B125),Raw_Data!B125,DATEVALUE(Raw_Data!B125))</f>
        <v>45113</v>
      </c>
      <c r="C125" s="2" t="str">
        <f aca="false">TRIM(UPPER(Raw_Data!C125))</f>
        <v>C86064</v>
      </c>
      <c r="D125" s="2" t="str">
        <f aca="false">PROPER(TRIM(Raw_Data!D125))</f>
        <v>Desk</v>
      </c>
      <c r="E125" s="2" t="n">
        <f aca="false">Raw_Data!E125</f>
        <v>3</v>
      </c>
      <c r="F125" s="4" t="n">
        <f aca="false">ROUND(Raw_Data!F125,2)</f>
        <v>278.04</v>
      </c>
      <c r="G125" s="2" t="str">
        <f aca="false">PROPER(TRIM(Raw_Data!G125))</f>
        <v>727 Main St</v>
      </c>
      <c r="H125" s="2" t="str">
        <f aca="false">PROPER(TRIM(Raw_Data!H125))</f>
        <v>Online</v>
      </c>
      <c r="I125" s="2" t="str">
        <f aca="false">PROPER(TRIM(Raw_Data!I125))</f>
        <v>Delivered</v>
      </c>
      <c r="J125" s="2" t="str">
        <f aca="false">TRIM(UPPER(Raw_Data!J125))</f>
        <v>TRK62182901</v>
      </c>
      <c r="K125" s="2" t="n">
        <f aca="false">Raw_Data!K125</f>
        <v>5</v>
      </c>
      <c r="L125" s="2" t="str">
        <f aca="false">IF(TRIM(Raw_Data!L125)="","No Coupon",TRIM(UPPER(Raw_Data!L125)))</f>
        <v>No Coupon</v>
      </c>
      <c r="M125" s="2" t="str">
        <f aca="false">PROPER(TRIM(Raw_Data!M125))</f>
        <v>Instagram</v>
      </c>
      <c r="N125" s="4" t="n">
        <f aca="false">ROUND(E125*F125,2)</f>
        <v>834.12</v>
      </c>
      <c r="O125" s="2" t="str">
        <f aca="false">IF(COUNTIF($A$2:$A$1201,A125)&gt;1,"DUPLICATE","Unique")</f>
        <v>Unique</v>
      </c>
      <c r="P125" s="2" t="str">
        <f aca="false">IF(L125="","MISSING","OK")</f>
        <v>OK</v>
      </c>
      <c r="Q125" s="2" t="str">
        <f aca="false">IF(ISNUMBER(B125),"OK","BAD DATE")</f>
        <v>OK</v>
      </c>
      <c r="R125" s="2" t="str">
        <f aca="false">IF(ROUND(F125,2)=F125,"OK","FIX")</f>
        <v>OK</v>
      </c>
    </row>
    <row r="126" customFormat="false" ht="15" hidden="false" customHeight="false" outlineLevel="0" collapsed="false">
      <c r="A126" s="2" t="str">
        <f aca="false">TRIM(UPPER(Raw_Data!A126))</f>
        <v>ORD200124</v>
      </c>
      <c r="B126" s="3" t="n">
        <f aca="false">IF(ISNUMBER(Raw_Data!B126),Raw_Data!B126,DATEVALUE(Raw_Data!B126))</f>
        <v>45501</v>
      </c>
      <c r="C126" s="2" t="str">
        <f aca="false">TRIM(UPPER(Raw_Data!C126))</f>
        <v>C97148</v>
      </c>
      <c r="D126" s="2" t="str">
        <f aca="false">PROPER(TRIM(Raw_Data!D126))</f>
        <v>Printer</v>
      </c>
      <c r="E126" s="2" t="n">
        <f aca="false">Raw_Data!E126</f>
        <v>4</v>
      </c>
      <c r="F126" s="4" t="n">
        <f aca="false">ROUND(Raw_Data!F126,2)</f>
        <v>283.79</v>
      </c>
      <c r="G126" s="2" t="str">
        <f aca="false">PROPER(TRIM(Raw_Data!G126))</f>
        <v>563 Main St</v>
      </c>
      <c r="H126" s="2" t="str">
        <f aca="false">PROPER(TRIM(Raw_Data!H126))</f>
        <v>Online</v>
      </c>
      <c r="I126" s="2" t="str">
        <f aca="false">PROPER(TRIM(Raw_Data!I126))</f>
        <v>Pending</v>
      </c>
      <c r="J126" s="2" t="str">
        <f aca="false">TRIM(UPPER(Raw_Data!J126))</f>
        <v>TRK85321126</v>
      </c>
      <c r="K126" s="2" t="n">
        <f aca="false">Raw_Data!K126</f>
        <v>8</v>
      </c>
      <c r="L126" s="2" t="str">
        <f aca="false">IF(TRIM(Raw_Data!L126)="","No Coupon",TRIM(UPPER(Raw_Data!L126)))</f>
        <v>No Coupon</v>
      </c>
      <c r="M126" s="2" t="str">
        <f aca="false">PROPER(TRIM(Raw_Data!M126))</f>
        <v>Google</v>
      </c>
      <c r="N126" s="4" t="n">
        <f aca="false">ROUND(E126*F126,2)</f>
        <v>1135.16</v>
      </c>
      <c r="O126" s="2" t="str">
        <f aca="false">IF(COUNTIF($A$2:$A$1201,A126)&gt;1,"DUPLICATE","Unique")</f>
        <v>Unique</v>
      </c>
      <c r="P126" s="2" t="str">
        <f aca="false">IF(L126="","MISSING","OK")</f>
        <v>OK</v>
      </c>
      <c r="Q126" s="2" t="str">
        <f aca="false">IF(ISNUMBER(B126),"OK","BAD DATE")</f>
        <v>OK</v>
      </c>
      <c r="R126" s="2" t="str">
        <f aca="false">IF(ROUND(F126,2)=F126,"OK","FIX")</f>
        <v>OK</v>
      </c>
    </row>
    <row r="127" customFormat="false" ht="15" hidden="false" customHeight="false" outlineLevel="0" collapsed="false">
      <c r="A127" s="2" t="str">
        <f aca="false">TRIM(UPPER(Raw_Data!A127))</f>
        <v>ORD200125</v>
      </c>
      <c r="B127" s="3" t="n">
        <f aca="false">IF(ISNUMBER(Raw_Data!B127),Raw_Data!B127,DATEVALUE(Raw_Data!B127))</f>
        <v>45602</v>
      </c>
      <c r="C127" s="2" t="str">
        <f aca="false">TRIM(UPPER(Raw_Data!C127))</f>
        <v>C91099</v>
      </c>
      <c r="D127" s="2" t="str">
        <f aca="false">PROPER(TRIM(Raw_Data!D127))</f>
        <v>Phone</v>
      </c>
      <c r="E127" s="2" t="n">
        <f aca="false">Raw_Data!E127</f>
        <v>2</v>
      </c>
      <c r="F127" s="4" t="n">
        <f aca="false">ROUND(Raw_Data!F127,2)</f>
        <v>512.65</v>
      </c>
      <c r="G127" s="2" t="str">
        <f aca="false">PROPER(TRIM(Raw_Data!G127))</f>
        <v>758 Main St</v>
      </c>
      <c r="H127" s="2" t="str">
        <f aca="false">PROPER(TRIM(Raw_Data!H127))</f>
        <v>Credit Card</v>
      </c>
      <c r="I127" s="2" t="str">
        <f aca="false">PROPER(TRIM(Raw_Data!I127))</f>
        <v>Shipped</v>
      </c>
      <c r="J127" s="2" t="str">
        <f aca="false">TRIM(UPPER(Raw_Data!J127))</f>
        <v>TRK81846174</v>
      </c>
      <c r="K127" s="2" t="n">
        <f aca="false">Raw_Data!K127</f>
        <v>5</v>
      </c>
      <c r="L127" s="2" t="str">
        <f aca="false">IF(TRIM(Raw_Data!L127)="","No Coupon",TRIM(UPPER(Raw_Data!L127)))</f>
        <v>SAVE10</v>
      </c>
      <c r="M127" s="2" t="str">
        <f aca="false">PROPER(TRIM(Raw_Data!M127))</f>
        <v>Email</v>
      </c>
      <c r="N127" s="4" t="n">
        <f aca="false">ROUND(E127*F127,2)</f>
        <v>1025.3</v>
      </c>
      <c r="O127" s="2" t="str">
        <f aca="false">IF(COUNTIF($A$2:$A$1201,A127)&gt;1,"DUPLICATE","Unique")</f>
        <v>Unique</v>
      </c>
      <c r="P127" s="2" t="str">
        <f aca="false">IF(L127="","MISSING","OK")</f>
        <v>OK</v>
      </c>
      <c r="Q127" s="2" t="str">
        <f aca="false">IF(ISNUMBER(B127),"OK","BAD DATE")</f>
        <v>OK</v>
      </c>
      <c r="R127" s="2" t="str">
        <f aca="false">IF(ROUND(F127,2)=F127,"OK","FIX")</f>
        <v>OK</v>
      </c>
    </row>
    <row r="128" customFormat="false" ht="15" hidden="false" customHeight="false" outlineLevel="0" collapsed="false">
      <c r="A128" s="2" t="str">
        <f aca="false">TRIM(UPPER(Raw_Data!A128))</f>
        <v>ORD200126</v>
      </c>
      <c r="B128" s="3" t="n">
        <f aca="false">IF(ISNUMBER(Raw_Data!B128),Raw_Data!B128,DATEVALUE(Raw_Data!B128))</f>
        <v>45780</v>
      </c>
      <c r="C128" s="2" t="str">
        <f aca="false">TRIM(UPPER(Raw_Data!C128))</f>
        <v>C55606</v>
      </c>
      <c r="D128" s="2" t="str">
        <f aca="false">PROPER(TRIM(Raw_Data!D128))</f>
        <v>Desk</v>
      </c>
      <c r="E128" s="2" t="n">
        <f aca="false">Raw_Data!E128</f>
        <v>4</v>
      </c>
      <c r="F128" s="4" t="n">
        <f aca="false">ROUND(Raw_Data!F128,2)</f>
        <v>275.5</v>
      </c>
      <c r="G128" s="2" t="str">
        <f aca="false">PROPER(TRIM(Raw_Data!G128))</f>
        <v>353 Main St</v>
      </c>
      <c r="H128" s="2" t="str">
        <f aca="false">PROPER(TRIM(Raw_Data!H128))</f>
        <v>Gift Card</v>
      </c>
      <c r="I128" s="2" t="str">
        <f aca="false">PROPER(TRIM(Raw_Data!I128))</f>
        <v>Shipped</v>
      </c>
      <c r="J128" s="2" t="str">
        <f aca="false">TRIM(UPPER(Raw_Data!J128))</f>
        <v>TRK68250319</v>
      </c>
      <c r="K128" s="2" t="n">
        <f aca="false">Raw_Data!K128</f>
        <v>8</v>
      </c>
      <c r="L128" s="2" t="str">
        <f aca="false">IF(TRIM(Raw_Data!L128)="","No Coupon",TRIM(UPPER(Raw_Data!L128)))</f>
        <v>FREESHIP</v>
      </c>
      <c r="M128" s="2" t="str">
        <f aca="false">PROPER(TRIM(Raw_Data!M128))</f>
        <v>Google</v>
      </c>
      <c r="N128" s="4" t="n">
        <f aca="false">ROUND(E128*F128,2)</f>
        <v>1102</v>
      </c>
      <c r="O128" s="2" t="str">
        <f aca="false">IF(COUNTIF($A$2:$A$1201,A128)&gt;1,"DUPLICATE","Unique")</f>
        <v>Unique</v>
      </c>
      <c r="P128" s="2" t="str">
        <f aca="false">IF(L128="","MISSING","OK")</f>
        <v>OK</v>
      </c>
      <c r="Q128" s="2" t="str">
        <f aca="false">IF(ISNUMBER(B128),"OK","BAD DATE")</f>
        <v>OK</v>
      </c>
      <c r="R128" s="2" t="str">
        <f aca="false">IF(ROUND(F128,2)=F128,"OK","FIX")</f>
        <v>OK</v>
      </c>
    </row>
    <row r="129" customFormat="false" ht="15" hidden="false" customHeight="false" outlineLevel="0" collapsed="false">
      <c r="A129" s="2" t="str">
        <f aca="false">TRIM(UPPER(Raw_Data!A129))</f>
        <v>ORD200127</v>
      </c>
      <c r="B129" s="3" t="n">
        <f aca="false">IF(ISNUMBER(Raw_Data!B129),Raw_Data!B129,DATEVALUE(Raw_Data!B129))</f>
        <v>45148</v>
      </c>
      <c r="C129" s="2" t="str">
        <f aca="false">TRIM(UPPER(Raw_Data!C129))</f>
        <v>C71486</v>
      </c>
      <c r="D129" s="2" t="str">
        <f aca="false">PROPER(TRIM(Raw_Data!D129))</f>
        <v>Desk</v>
      </c>
      <c r="E129" s="2" t="n">
        <f aca="false">Raw_Data!E129</f>
        <v>3</v>
      </c>
      <c r="F129" s="4" t="n">
        <f aca="false">ROUND(Raw_Data!F129,2)</f>
        <v>469.32</v>
      </c>
      <c r="G129" s="2" t="str">
        <f aca="false">PROPER(TRIM(Raw_Data!G129))</f>
        <v>365 Main St</v>
      </c>
      <c r="H129" s="2" t="str">
        <f aca="false">PROPER(TRIM(Raw_Data!H129))</f>
        <v>Debit Card</v>
      </c>
      <c r="I129" s="2" t="str">
        <f aca="false">PROPER(TRIM(Raw_Data!I129))</f>
        <v>Shipped</v>
      </c>
      <c r="J129" s="2" t="str">
        <f aca="false">TRIM(UPPER(Raw_Data!J129))</f>
        <v>TRK73929833</v>
      </c>
      <c r="K129" s="2" t="n">
        <f aca="false">Raw_Data!K129</f>
        <v>3</v>
      </c>
      <c r="L129" s="2" t="str">
        <f aca="false">IF(TRIM(Raw_Data!L129)="","No Coupon",TRIM(UPPER(Raw_Data!L129)))</f>
        <v>No Coupon</v>
      </c>
      <c r="M129" s="2" t="str">
        <f aca="false">PROPER(TRIM(Raw_Data!M129))</f>
        <v>Google</v>
      </c>
      <c r="N129" s="4" t="n">
        <f aca="false">ROUND(E129*F129,2)</f>
        <v>1407.96</v>
      </c>
      <c r="O129" s="2" t="str">
        <f aca="false">IF(COUNTIF($A$2:$A$1201,A129)&gt;1,"DUPLICATE","Unique")</f>
        <v>Unique</v>
      </c>
      <c r="P129" s="2" t="str">
        <f aca="false">IF(L129="","MISSING","OK")</f>
        <v>OK</v>
      </c>
      <c r="Q129" s="2" t="str">
        <f aca="false">IF(ISNUMBER(B129),"OK","BAD DATE")</f>
        <v>OK</v>
      </c>
      <c r="R129" s="2" t="str">
        <f aca="false">IF(ROUND(F129,2)=F129,"OK","FIX")</f>
        <v>OK</v>
      </c>
    </row>
    <row r="130" customFormat="false" ht="15" hidden="false" customHeight="false" outlineLevel="0" collapsed="false">
      <c r="A130" s="2" t="str">
        <f aca="false">TRIM(UPPER(Raw_Data!A130))</f>
        <v>ORD200128</v>
      </c>
      <c r="B130" s="3" t="n">
        <f aca="false">IF(ISNUMBER(Raw_Data!B130),Raw_Data!B130,DATEVALUE(Raw_Data!B130))</f>
        <v>44974</v>
      </c>
      <c r="C130" s="2" t="str">
        <f aca="false">TRIM(UPPER(Raw_Data!C130))</f>
        <v>C86408</v>
      </c>
      <c r="D130" s="2" t="str">
        <f aca="false">PROPER(TRIM(Raw_Data!D130))</f>
        <v>Tablet</v>
      </c>
      <c r="E130" s="2" t="n">
        <f aca="false">Raw_Data!E130</f>
        <v>4</v>
      </c>
      <c r="F130" s="4" t="n">
        <f aca="false">ROUND(Raw_Data!F130,2)</f>
        <v>21.07</v>
      </c>
      <c r="G130" s="2" t="str">
        <f aca="false">PROPER(TRIM(Raw_Data!G130))</f>
        <v>244 Main St</v>
      </c>
      <c r="H130" s="2" t="str">
        <f aca="false">PROPER(TRIM(Raw_Data!H130))</f>
        <v>Gift Card</v>
      </c>
      <c r="I130" s="2" t="str">
        <f aca="false">PROPER(TRIM(Raw_Data!I130))</f>
        <v>Delivered</v>
      </c>
      <c r="J130" s="2" t="str">
        <f aca="false">TRIM(UPPER(Raw_Data!J130))</f>
        <v>TRK41432648</v>
      </c>
      <c r="K130" s="2" t="n">
        <f aca="false">Raw_Data!K130</f>
        <v>4</v>
      </c>
      <c r="L130" s="2" t="str">
        <f aca="false">IF(TRIM(Raw_Data!L130)="","No Coupon",TRIM(UPPER(Raw_Data!L130)))</f>
        <v>FREESHIP</v>
      </c>
      <c r="M130" s="2" t="str">
        <f aca="false">PROPER(TRIM(Raw_Data!M130))</f>
        <v>Google</v>
      </c>
      <c r="N130" s="4" t="n">
        <f aca="false">ROUND(E130*F130,2)</f>
        <v>84.28</v>
      </c>
      <c r="O130" s="2" t="str">
        <f aca="false">IF(COUNTIF($A$2:$A$1201,A130)&gt;1,"DUPLICATE","Unique")</f>
        <v>Unique</v>
      </c>
      <c r="P130" s="2" t="str">
        <f aca="false">IF(L130="","MISSING","OK")</f>
        <v>OK</v>
      </c>
      <c r="Q130" s="2" t="str">
        <f aca="false">IF(ISNUMBER(B130),"OK","BAD DATE")</f>
        <v>OK</v>
      </c>
      <c r="R130" s="2" t="str">
        <f aca="false">IF(ROUND(F130,2)=F130,"OK","FIX")</f>
        <v>OK</v>
      </c>
    </row>
    <row r="131" customFormat="false" ht="15" hidden="false" customHeight="false" outlineLevel="0" collapsed="false">
      <c r="A131" s="2" t="str">
        <f aca="false">TRIM(UPPER(Raw_Data!A131))</f>
        <v>ORD200129</v>
      </c>
      <c r="B131" s="3" t="n">
        <f aca="false">IF(ISNUMBER(Raw_Data!B131),Raw_Data!B131,DATEVALUE(Raw_Data!B131))</f>
        <v>45226</v>
      </c>
      <c r="C131" s="2" t="str">
        <f aca="false">TRIM(UPPER(Raw_Data!C131))</f>
        <v>C52751</v>
      </c>
      <c r="D131" s="2" t="str">
        <f aca="false">PROPER(TRIM(Raw_Data!D131))</f>
        <v>Laptop</v>
      </c>
      <c r="E131" s="2" t="n">
        <f aca="false">Raw_Data!E131</f>
        <v>4</v>
      </c>
      <c r="F131" s="4" t="n">
        <f aca="false">ROUND(Raw_Data!F131,2)</f>
        <v>263.93</v>
      </c>
      <c r="G131" s="2" t="str">
        <f aca="false">PROPER(TRIM(Raw_Data!G131))</f>
        <v>427 Main St</v>
      </c>
      <c r="H131" s="2" t="str">
        <f aca="false">PROPER(TRIM(Raw_Data!H131))</f>
        <v>Debit Card</v>
      </c>
      <c r="I131" s="2" t="str">
        <f aca="false">PROPER(TRIM(Raw_Data!I131))</f>
        <v>Shipped</v>
      </c>
      <c r="J131" s="2" t="str">
        <f aca="false">TRIM(UPPER(Raw_Data!J131))</f>
        <v>TRK72481234</v>
      </c>
      <c r="K131" s="2" t="n">
        <f aca="false">Raw_Data!K131</f>
        <v>4</v>
      </c>
      <c r="L131" s="2" t="str">
        <f aca="false">IF(TRIM(Raw_Data!L131)="","No Coupon",TRIM(UPPER(Raw_Data!L131)))</f>
        <v>FREESHIP</v>
      </c>
      <c r="M131" s="2" t="str">
        <f aca="false">PROPER(TRIM(Raw_Data!M131))</f>
        <v>Facebook</v>
      </c>
      <c r="N131" s="4" t="n">
        <f aca="false">ROUND(E131*F131,2)</f>
        <v>1055.72</v>
      </c>
      <c r="O131" s="2" t="str">
        <f aca="false">IF(COUNTIF($A$2:$A$1201,A131)&gt;1,"DUPLICATE","Unique")</f>
        <v>Unique</v>
      </c>
      <c r="P131" s="2" t="str">
        <f aca="false">IF(L131="","MISSING","OK")</f>
        <v>OK</v>
      </c>
      <c r="Q131" s="2" t="str">
        <f aca="false">IF(ISNUMBER(B131),"OK","BAD DATE")</f>
        <v>OK</v>
      </c>
      <c r="R131" s="2" t="str">
        <f aca="false">IF(ROUND(F131,2)=F131,"OK","FIX")</f>
        <v>OK</v>
      </c>
    </row>
    <row r="132" customFormat="false" ht="15" hidden="false" customHeight="false" outlineLevel="0" collapsed="false">
      <c r="A132" s="2" t="str">
        <f aca="false">TRIM(UPPER(Raw_Data!A132))</f>
        <v>ORD200130</v>
      </c>
      <c r="B132" s="3" t="n">
        <f aca="false">IF(ISNUMBER(Raw_Data!B132),Raw_Data!B132,DATEVALUE(Raw_Data!B132))</f>
        <v>45679</v>
      </c>
      <c r="C132" s="2" t="str">
        <f aca="false">TRIM(UPPER(Raw_Data!C132))</f>
        <v>C29059</v>
      </c>
      <c r="D132" s="2" t="str">
        <f aca="false">PROPER(TRIM(Raw_Data!D132))</f>
        <v>Desk</v>
      </c>
      <c r="E132" s="2" t="n">
        <f aca="false">Raw_Data!E132</f>
        <v>3</v>
      </c>
      <c r="F132" s="4" t="n">
        <f aca="false">ROUND(Raw_Data!F132,2)</f>
        <v>501.3</v>
      </c>
      <c r="G132" s="2" t="str">
        <f aca="false">PROPER(TRIM(Raw_Data!G132))</f>
        <v>513 Main St</v>
      </c>
      <c r="H132" s="2" t="str">
        <f aca="false">PROPER(TRIM(Raw_Data!H132))</f>
        <v>Online</v>
      </c>
      <c r="I132" s="2" t="str">
        <f aca="false">PROPER(TRIM(Raw_Data!I132))</f>
        <v>Cancelled</v>
      </c>
      <c r="J132" s="2" t="str">
        <f aca="false">TRIM(UPPER(Raw_Data!J132))</f>
        <v>TRK88360704</v>
      </c>
      <c r="K132" s="2" t="n">
        <f aca="false">Raw_Data!K132</f>
        <v>3</v>
      </c>
      <c r="L132" s="2" t="str">
        <f aca="false">IF(TRIM(Raw_Data!L132)="","No Coupon",TRIM(UPPER(Raw_Data!L132)))</f>
        <v>WINTER15</v>
      </c>
      <c r="M132" s="2" t="str">
        <f aca="false">PROPER(TRIM(Raw_Data!M132))</f>
        <v>Facebook</v>
      </c>
      <c r="N132" s="4" t="n">
        <f aca="false">ROUND(E132*F132,2)</f>
        <v>1503.9</v>
      </c>
      <c r="O132" s="2" t="str">
        <f aca="false">IF(COUNTIF($A$2:$A$1201,A132)&gt;1,"DUPLICATE","Unique")</f>
        <v>Unique</v>
      </c>
      <c r="P132" s="2" t="str">
        <f aca="false">IF(L132="","MISSING","OK")</f>
        <v>OK</v>
      </c>
      <c r="Q132" s="2" t="str">
        <f aca="false">IF(ISNUMBER(B132),"OK","BAD DATE")</f>
        <v>OK</v>
      </c>
      <c r="R132" s="2" t="str">
        <f aca="false">IF(ROUND(F132,2)=F132,"OK","FIX")</f>
        <v>OK</v>
      </c>
    </row>
    <row r="133" customFormat="false" ht="15" hidden="false" customHeight="false" outlineLevel="0" collapsed="false">
      <c r="A133" s="2" t="str">
        <f aca="false">TRIM(UPPER(Raw_Data!A133))</f>
        <v>ORD200131</v>
      </c>
      <c r="B133" s="3" t="n">
        <f aca="false">IF(ISNUMBER(Raw_Data!B133),Raw_Data!B133,DATEVALUE(Raw_Data!B133))</f>
        <v>44934</v>
      </c>
      <c r="C133" s="2" t="str">
        <f aca="false">TRIM(UPPER(Raw_Data!C133))</f>
        <v>C72862</v>
      </c>
      <c r="D133" s="2" t="str">
        <f aca="false">PROPER(TRIM(Raw_Data!D133))</f>
        <v>Tablet</v>
      </c>
      <c r="E133" s="2" t="n">
        <f aca="false">Raw_Data!E133</f>
        <v>1</v>
      </c>
      <c r="F133" s="4" t="n">
        <f aca="false">ROUND(Raw_Data!F133,2)</f>
        <v>84.8</v>
      </c>
      <c r="G133" s="2" t="str">
        <f aca="false">PROPER(TRIM(Raw_Data!G133))</f>
        <v>606 Main St</v>
      </c>
      <c r="H133" s="2" t="str">
        <f aca="false">PROPER(TRIM(Raw_Data!H133))</f>
        <v>Gift Card</v>
      </c>
      <c r="I133" s="2" t="str">
        <f aca="false">PROPER(TRIM(Raw_Data!I133))</f>
        <v>Pending</v>
      </c>
      <c r="J133" s="2" t="str">
        <f aca="false">TRIM(UPPER(Raw_Data!J133))</f>
        <v>TRK51648833</v>
      </c>
      <c r="K133" s="2" t="n">
        <f aca="false">Raw_Data!K133</f>
        <v>5</v>
      </c>
      <c r="L133" s="2" t="str">
        <f aca="false">IF(TRIM(Raw_Data!L133)="","No Coupon",TRIM(UPPER(Raw_Data!L133)))</f>
        <v>No Coupon</v>
      </c>
      <c r="M133" s="2" t="str">
        <f aca="false">PROPER(TRIM(Raw_Data!M133))</f>
        <v>Instagram</v>
      </c>
      <c r="N133" s="4" t="n">
        <f aca="false">ROUND(E133*F133,2)</f>
        <v>84.8</v>
      </c>
      <c r="O133" s="2" t="str">
        <f aca="false">IF(COUNTIF($A$2:$A$1201,A133)&gt;1,"DUPLICATE","Unique")</f>
        <v>Unique</v>
      </c>
      <c r="P133" s="2" t="str">
        <f aca="false">IF(L133="","MISSING","OK")</f>
        <v>OK</v>
      </c>
      <c r="Q133" s="2" t="str">
        <f aca="false">IF(ISNUMBER(B133),"OK","BAD DATE")</f>
        <v>OK</v>
      </c>
      <c r="R133" s="2" t="str">
        <f aca="false">IF(ROUND(F133,2)=F133,"OK","FIX")</f>
        <v>OK</v>
      </c>
    </row>
    <row r="134" customFormat="false" ht="15" hidden="false" customHeight="false" outlineLevel="0" collapsed="false">
      <c r="A134" s="2" t="str">
        <f aca="false">TRIM(UPPER(Raw_Data!A134))</f>
        <v>ORD200132</v>
      </c>
      <c r="B134" s="3" t="n">
        <f aca="false">IF(ISNUMBER(Raw_Data!B134),Raw_Data!B134,DATEVALUE(Raw_Data!B134))</f>
        <v>45013</v>
      </c>
      <c r="C134" s="2" t="str">
        <f aca="false">TRIM(UPPER(Raw_Data!C134))</f>
        <v>C96257</v>
      </c>
      <c r="D134" s="2" t="str">
        <f aca="false">PROPER(TRIM(Raw_Data!D134))</f>
        <v>Tablet</v>
      </c>
      <c r="E134" s="2" t="n">
        <f aca="false">Raw_Data!E134</f>
        <v>4</v>
      </c>
      <c r="F134" s="4" t="n">
        <f aca="false">ROUND(Raw_Data!F134,2)</f>
        <v>450.75</v>
      </c>
      <c r="G134" s="2" t="str">
        <f aca="false">PROPER(TRIM(Raw_Data!G134))</f>
        <v>583 Main St</v>
      </c>
      <c r="H134" s="2" t="str">
        <f aca="false">PROPER(TRIM(Raw_Data!H134))</f>
        <v>Credit Card</v>
      </c>
      <c r="I134" s="2" t="str">
        <f aca="false">PROPER(TRIM(Raw_Data!I134))</f>
        <v>Shipped</v>
      </c>
      <c r="J134" s="2" t="str">
        <f aca="false">TRIM(UPPER(Raw_Data!J134))</f>
        <v>TRK13137948</v>
      </c>
      <c r="K134" s="2" t="n">
        <f aca="false">Raw_Data!K134</f>
        <v>6</v>
      </c>
      <c r="L134" s="2" t="str">
        <f aca="false">IF(TRIM(Raw_Data!L134)="","No Coupon",TRIM(UPPER(Raw_Data!L134)))</f>
        <v>WINTER15</v>
      </c>
      <c r="M134" s="2" t="str">
        <f aca="false">PROPER(TRIM(Raw_Data!M134))</f>
        <v>Email</v>
      </c>
      <c r="N134" s="4" t="n">
        <f aca="false">ROUND(E134*F134,2)</f>
        <v>1803</v>
      </c>
      <c r="O134" s="2" t="str">
        <f aca="false">IF(COUNTIF($A$2:$A$1201,A134)&gt;1,"DUPLICATE","Unique")</f>
        <v>Unique</v>
      </c>
      <c r="P134" s="2" t="str">
        <f aca="false">IF(L134="","MISSING","OK")</f>
        <v>OK</v>
      </c>
      <c r="Q134" s="2" t="str">
        <f aca="false">IF(ISNUMBER(B134),"OK","BAD DATE")</f>
        <v>OK</v>
      </c>
      <c r="R134" s="2" t="str">
        <f aca="false">IF(ROUND(F134,2)=F134,"OK","FIX")</f>
        <v>OK</v>
      </c>
    </row>
    <row r="135" customFormat="false" ht="15" hidden="false" customHeight="false" outlineLevel="0" collapsed="false">
      <c r="A135" s="2" t="str">
        <f aca="false">TRIM(UPPER(Raw_Data!A135))</f>
        <v>ORD200133</v>
      </c>
      <c r="B135" s="3" t="n">
        <f aca="false">IF(ISNUMBER(Raw_Data!B135),Raw_Data!B135,DATEVALUE(Raw_Data!B135))</f>
        <v>45828</v>
      </c>
      <c r="C135" s="2" t="str">
        <f aca="false">TRIM(UPPER(Raw_Data!C135))</f>
        <v>C87432</v>
      </c>
      <c r="D135" s="2" t="str">
        <f aca="false">PROPER(TRIM(Raw_Data!D135))</f>
        <v>Chair</v>
      </c>
      <c r="E135" s="2" t="n">
        <f aca="false">Raw_Data!E135</f>
        <v>4</v>
      </c>
      <c r="F135" s="4" t="n">
        <f aca="false">ROUND(Raw_Data!F135,2)</f>
        <v>302.05</v>
      </c>
      <c r="G135" s="2" t="str">
        <f aca="false">PROPER(TRIM(Raw_Data!G135))</f>
        <v>636 Main St</v>
      </c>
      <c r="H135" s="2" t="str">
        <f aca="false">PROPER(TRIM(Raw_Data!H135))</f>
        <v>Debit Card</v>
      </c>
      <c r="I135" s="2" t="str">
        <f aca="false">PROPER(TRIM(Raw_Data!I135))</f>
        <v>Cancelled</v>
      </c>
      <c r="J135" s="2" t="str">
        <f aca="false">TRIM(UPPER(Raw_Data!J135))</f>
        <v>TRK68969625</v>
      </c>
      <c r="K135" s="2" t="n">
        <f aca="false">Raw_Data!K135</f>
        <v>6</v>
      </c>
      <c r="L135" s="2" t="str">
        <f aca="false">IF(TRIM(Raw_Data!L135)="","No Coupon",TRIM(UPPER(Raw_Data!L135)))</f>
        <v>SAVE10</v>
      </c>
      <c r="M135" s="2" t="str">
        <f aca="false">PROPER(TRIM(Raw_Data!M135))</f>
        <v>Google</v>
      </c>
      <c r="N135" s="4" t="n">
        <f aca="false">ROUND(E135*F135,2)</f>
        <v>1208.2</v>
      </c>
      <c r="O135" s="2" t="str">
        <f aca="false">IF(COUNTIF($A$2:$A$1201,A135)&gt;1,"DUPLICATE","Unique")</f>
        <v>Unique</v>
      </c>
      <c r="P135" s="2" t="str">
        <f aca="false">IF(L135="","MISSING","OK")</f>
        <v>OK</v>
      </c>
      <c r="Q135" s="2" t="str">
        <f aca="false">IF(ISNUMBER(B135),"OK","BAD DATE")</f>
        <v>OK</v>
      </c>
      <c r="R135" s="2" t="str">
        <f aca="false">IF(ROUND(F135,2)=F135,"OK","FIX")</f>
        <v>OK</v>
      </c>
    </row>
    <row r="136" customFormat="false" ht="15" hidden="false" customHeight="false" outlineLevel="0" collapsed="false">
      <c r="A136" s="2" t="str">
        <f aca="false">TRIM(UPPER(Raw_Data!A136))</f>
        <v>ORD200134</v>
      </c>
      <c r="B136" s="3" t="n">
        <f aca="false">IF(ISNUMBER(Raw_Data!B136),Raw_Data!B136,DATEVALUE(Raw_Data!B136))</f>
        <v>45831</v>
      </c>
      <c r="C136" s="2" t="str">
        <f aca="false">TRIM(UPPER(Raw_Data!C136))</f>
        <v>C16253</v>
      </c>
      <c r="D136" s="2" t="str">
        <f aca="false">PROPER(TRIM(Raw_Data!D136))</f>
        <v>Laptop</v>
      </c>
      <c r="E136" s="2" t="n">
        <f aca="false">Raw_Data!E136</f>
        <v>2</v>
      </c>
      <c r="F136" s="4" t="n">
        <f aca="false">ROUND(Raw_Data!F136,2)</f>
        <v>199.7</v>
      </c>
      <c r="G136" s="2" t="str">
        <f aca="false">PROPER(TRIM(Raw_Data!G136))</f>
        <v>583 Main St</v>
      </c>
      <c r="H136" s="2" t="str">
        <f aca="false">PROPER(TRIM(Raw_Data!H136))</f>
        <v>Cash</v>
      </c>
      <c r="I136" s="2" t="str">
        <f aca="false">PROPER(TRIM(Raw_Data!I136))</f>
        <v>Pending</v>
      </c>
      <c r="J136" s="2" t="str">
        <f aca="false">TRIM(UPPER(Raw_Data!J136))</f>
        <v>TRK17354894</v>
      </c>
      <c r="K136" s="2" t="n">
        <f aca="false">Raw_Data!K136</f>
        <v>4</v>
      </c>
      <c r="L136" s="2" t="str">
        <f aca="false">IF(TRIM(Raw_Data!L136)="","No Coupon",TRIM(UPPER(Raw_Data!L136)))</f>
        <v>No Coupon</v>
      </c>
      <c r="M136" s="2" t="str">
        <f aca="false">PROPER(TRIM(Raw_Data!M136))</f>
        <v>Email</v>
      </c>
      <c r="N136" s="4" t="n">
        <f aca="false">ROUND(E136*F136,2)</f>
        <v>399.4</v>
      </c>
      <c r="O136" s="2" t="str">
        <f aca="false">IF(COUNTIF($A$2:$A$1201,A136)&gt;1,"DUPLICATE","Unique")</f>
        <v>Unique</v>
      </c>
      <c r="P136" s="2" t="str">
        <f aca="false">IF(L136="","MISSING","OK")</f>
        <v>OK</v>
      </c>
      <c r="Q136" s="2" t="str">
        <f aca="false">IF(ISNUMBER(B136),"OK","BAD DATE")</f>
        <v>OK</v>
      </c>
      <c r="R136" s="2" t="str">
        <f aca="false">IF(ROUND(F136,2)=F136,"OK","FIX")</f>
        <v>OK</v>
      </c>
    </row>
    <row r="137" customFormat="false" ht="15" hidden="false" customHeight="false" outlineLevel="0" collapsed="false">
      <c r="A137" s="2" t="str">
        <f aca="false">TRIM(UPPER(Raw_Data!A137))</f>
        <v>ORD200135</v>
      </c>
      <c r="B137" s="3" t="n">
        <f aca="false">IF(ISNUMBER(Raw_Data!B137),Raw_Data!B137,DATEVALUE(Raw_Data!B137))</f>
        <v>45142</v>
      </c>
      <c r="C137" s="2" t="str">
        <f aca="false">TRIM(UPPER(Raw_Data!C137))</f>
        <v>C79909</v>
      </c>
      <c r="D137" s="2" t="str">
        <f aca="false">PROPER(TRIM(Raw_Data!D137))</f>
        <v>Printer</v>
      </c>
      <c r="E137" s="2" t="n">
        <f aca="false">Raw_Data!E137</f>
        <v>2</v>
      </c>
      <c r="F137" s="4" t="n">
        <f aca="false">ROUND(Raw_Data!F137,2)</f>
        <v>68.81</v>
      </c>
      <c r="G137" s="2" t="str">
        <f aca="false">PROPER(TRIM(Raw_Data!G137))</f>
        <v>642 Main St</v>
      </c>
      <c r="H137" s="2" t="str">
        <f aca="false">PROPER(TRIM(Raw_Data!H137))</f>
        <v>Gift Card</v>
      </c>
      <c r="I137" s="2" t="str">
        <f aca="false">PROPER(TRIM(Raw_Data!I137))</f>
        <v>Shipped</v>
      </c>
      <c r="J137" s="2" t="str">
        <f aca="false">TRIM(UPPER(Raw_Data!J137))</f>
        <v>TRK86742257</v>
      </c>
      <c r="K137" s="2" t="n">
        <f aca="false">Raw_Data!K137</f>
        <v>5</v>
      </c>
      <c r="L137" s="2" t="str">
        <f aca="false">IF(TRIM(Raw_Data!L137)="","No Coupon",TRIM(UPPER(Raw_Data!L137)))</f>
        <v>SAVE10</v>
      </c>
      <c r="M137" s="2" t="str">
        <f aca="false">PROPER(TRIM(Raw_Data!M137))</f>
        <v>Referral</v>
      </c>
      <c r="N137" s="4" t="n">
        <f aca="false">ROUND(E137*F137,2)</f>
        <v>137.62</v>
      </c>
      <c r="O137" s="2" t="str">
        <f aca="false">IF(COUNTIF($A$2:$A$1201,A137)&gt;1,"DUPLICATE","Unique")</f>
        <v>Unique</v>
      </c>
      <c r="P137" s="2" t="str">
        <f aca="false">IF(L137="","MISSING","OK")</f>
        <v>OK</v>
      </c>
      <c r="Q137" s="2" t="str">
        <f aca="false">IF(ISNUMBER(B137),"OK","BAD DATE")</f>
        <v>OK</v>
      </c>
      <c r="R137" s="2" t="str">
        <f aca="false">IF(ROUND(F137,2)=F137,"OK","FIX")</f>
        <v>OK</v>
      </c>
    </row>
    <row r="138" customFormat="false" ht="15" hidden="false" customHeight="false" outlineLevel="0" collapsed="false">
      <c r="A138" s="2" t="str">
        <f aca="false">TRIM(UPPER(Raw_Data!A138))</f>
        <v>ORD200136</v>
      </c>
      <c r="B138" s="3" t="n">
        <f aca="false">IF(ISNUMBER(Raw_Data!B138),Raw_Data!B138,DATEVALUE(Raw_Data!B138))</f>
        <v>45409</v>
      </c>
      <c r="C138" s="2" t="str">
        <f aca="false">TRIM(UPPER(Raw_Data!C138))</f>
        <v>C73370</v>
      </c>
      <c r="D138" s="2" t="str">
        <f aca="false">PROPER(TRIM(Raw_Data!D138))</f>
        <v>Laptop</v>
      </c>
      <c r="E138" s="2" t="n">
        <f aca="false">Raw_Data!E138</f>
        <v>1</v>
      </c>
      <c r="F138" s="4" t="n">
        <f aca="false">ROUND(Raw_Data!F138,2)</f>
        <v>44.35</v>
      </c>
      <c r="G138" s="2" t="str">
        <f aca="false">PROPER(TRIM(Raw_Data!G138))</f>
        <v>595 Main St</v>
      </c>
      <c r="H138" s="2" t="str">
        <f aca="false">PROPER(TRIM(Raw_Data!H138))</f>
        <v>Gift Card</v>
      </c>
      <c r="I138" s="2" t="str">
        <f aca="false">PROPER(TRIM(Raw_Data!I138))</f>
        <v>Cancelled</v>
      </c>
      <c r="J138" s="2" t="str">
        <f aca="false">TRIM(UPPER(Raw_Data!J138))</f>
        <v>TRK67820278</v>
      </c>
      <c r="K138" s="2" t="n">
        <f aca="false">Raw_Data!K138</f>
        <v>1</v>
      </c>
      <c r="L138" s="2" t="str">
        <f aca="false">IF(TRIM(Raw_Data!L138)="","No Coupon",TRIM(UPPER(Raw_Data!L138)))</f>
        <v>SAVE10</v>
      </c>
      <c r="M138" s="2" t="str">
        <f aca="false">PROPER(TRIM(Raw_Data!M138))</f>
        <v>Instagram</v>
      </c>
      <c r="N138" s="4" t="n">
        <f aca="false">ROUND(E138*F138,2)</f>
        <v>44.35</v>
      </c>
      <c r="O138" s="2" t="str">
        <f aca="false">IF(COUNTIF($A$2:$A$1201,A138)&gt;1,"DUPLICATE","Unique")</f>
        <v>Unique</v>
      </c>
      <c r="P138" s="2" t="str">
        <f aca="false">IF(L138="","MISSING","OK")</f>
        <v>OK</v>
      </c>
      <c r="Q138" s="2" t="str">
        <f aca="false">IF(ISNUMBER(B138),"OK","BAD DATE")</f>
        <v>OK</v>
      </c>
      <c r="R138" s="2" t="str">
        <f aca="false">IF(ROUND(F138,2)=F138,"OK","FIX")</f>
        <v>OK</v>
      </c>
    </row>
    <row r="139" customFormat="false" ht="15" hidden="false" customHeight="false" outlineLevel="0" collapsed="false">
      <c r="A139" s="2" t="str">
        <f aca="false">TRIM(UPPER(Raw_Data!A139))</f>
        <v>ORD200137</v>
      </c>
      <c r="B139" s="3" t="n">
        <f aca="false">IF(ISNUMBER(Raw_Data!B139),Raw_Data!B139,DATEVALUE(Raw_Data!B139))</f>
        <v>45622</v>
      </c>
      <c r="C139" s="2" t="str">
        <f aca="false">TRIM(UPPER(Raw_Data!C139))</f>
        <v>C50682</v>
      </c>
      <c r="D139" s="2" t="str">
        <f aca="false">PROPER(TRIM(Raw_Data!D139))</f>
        <v>Monitor</v>
      </c>
      <c r="E139" s="2" t="n">
        <f aca="false">Raw_Data!E139</f>
        <v>2</v>
      </c>
      <c r="F139" s="4" t="n">
        <f aca="false">ROUND(Raw_Data!F139,2)</f>
        <v>250.98</v>
      </c>
      <c r="G139" s="2" t="str">
        <f aca="false">PROPER(TRIM(Raw_Data!G139))</f>
        <v>598 Main St</v>
      </c>
      <c r="H139" s="2" t="str">
        <f aca="false">PROPER(TRIM(Raw_Data!H139))</f>
        <v>Credit Card</v>
      </c>
      <c r="I139" s="2" t="str">
        <f aca="false">PROPER(TRIM(Raw_Data!I139))</f>
        <v>Delivered</v>
      </c>
      <c r="J139" s="2" t="str">
        <f aca="false">TRIM(UPPER(Raw_Data!J139))</f>
        <v>TRK12242337</v>
      </c>
      <c r="K139" s="2" t="n">
        <f aca="false">Raw_Data!K139</f>
        <v>5</v>
      </c>
      <c r="L139" s="2" t="str">
        <f aca="false">IF(TRIM(Raw_Data!L139)="","No Coupon",TRIM(UPPER(Raw_Data!L139)))</f>
        <v>No Coupon</v>
      </c>
      <c r="M139" s="2" t="str">
        <f aca="false">PROPER(TRIM(Raw_Data!M139))</f>
        <v>Google</v>
      </c>
      <c r="N139" s="4" t="n">
        <f aca="false">ROUND(E139*F139,2)</f>
        <v>501.96</v>
      </c>
      <c r="O139" s="2" t="str">
        <f aca="false">IF(COUNTIF($A$2:$A$1201,A139)&gt;1,"DUPLICATE","Unique")</f>
        <v>Unique</v>
      </c>
      <c r="P139" s="2" t="str">
        <f aca="false">IF(L139="","MISSING","OK")</f>
        <v>OK</v>
      </c>
      <c r="Q139" s="2" t="str">
        <f aca="false">IF(ISNUMBER(B139),"OK","BAD DATE")</f>
        <v>OK</v>
      </c>
      <c r="R139" s="2" t="str">
        <f aca="false">IF(ROUND(F139,2)=F139,"OK","FIX")</f>
        <v>OK</v>
      </c>
    </row>
    <row r="140" customFormat="false" ht="15" hidden="false" customHeight="false" outlineLevel="0" collapsed="false">
      <c r="A140" s="2" t="str">
        <f aca="false">TRIM(UPPER(Raw_Data!A140))</f>
        <v>ORD200138</v>
      </c>
      <c r="B140" s="3" t="n">
        <f aca="false">IF(ISNUMBER(Raw_Data!B140),Raw_Data!B140,DATEVALUE(Raw_Data!B140))</f>
        <v>45281</v>
      </c>
      <c r="C140" s="2" t="str">
        <f aca="false">TRIM(UPPER(Raw_Data!C140))</f>
        <v>C21905</v>
      </c>
      <c r="D140" s="2" t="str">
        <f aca="false">PROPER(TRIM(Raw_Data!D140))</f>
        <v>Tablet</v>
      </c>
      <c r="E140" s="2" t="n">
        <f aca="false">Raw_Data!E140</f>
        <v>1</v>
      </c>
      <c r="F140" s="4" t="n">
        <f aca="false">ROUND(Raw_Data!F140,2)</f>
        <v>298.06</v>
      </c>
      <c r="G140" s="2" t="str">
        <f aca="false">PROPER(TRIM(Raw_Data!G140))</f>
        <v>478 Main St</v>
      </c>
      <c r="H140" s="2" t="str">
        <f aca="false">PROPER(TRIM(Raw_Data!H140))</f>
        <v>Debit Card</v>
      </c>
      <c r="I140" s="2" t="str">
        <f aca="false">PROPER(TRIM(Raw_Data!I140))</f>
        <v>Pending</v>
      </c>
      <c r="J140" s="2" t="str">
        <f aca="false">TRIM(UPPER(Raw_Data!J140))</f>
        <v>TRK31863841</v>
      </c>
      <c r="K140" s="2" t="n">
        <f aca="false">Raw_Data!K140</f>
        <v>3</v>
      </c>
      <c r="L140" s="2" t="str">
        <f aca="false">IF(TRIM(Raw_Data!L140)="","No Coupon",TRIM(UPPER(Raw_Data!L140)))</f>
        <v>WINTER15</v>
      </c>
      <c r="M140" s="2" t="str">
        <f aca="false">PROPER(TRIM(Raw_Data!M140))</f>
        <v>Google</v>
      </c>
      <c r="N140" s="4" t="n">
        <f aca="false">ROUND(E140*F140,2)</f>
        <v>298.06</v>
      </c>
      <c r="O140" s="2" t="str">
        <f aca="false">IF(COUNTIF($A$2:$A$1201,A140)&gt;1,"DUPLICATE","Unique")</f>
        <v>Unique</v>
      </c>
      <c r="P140" s="2" t="str">
        <f aca="false">IF(L140="","MISSING","OK")</f>
        <v>OK</v>
      </c>
      <c r="Q140" s="2" t="str">
        <f aca="false">IF(ISNUMBER(B140),"OK","BAD DATE")</f>
        <v>OK</v>
      </c>
      <c r="R140" s="2" t="str">
        <f aca="false">IF(ROUND(F140,2)=F140,"OK","FIX")</f>
        <v>OK</v>
      </c>
    </row>
    <row r="141" customFormat="false" ht="15" hidden="false" customHeight="false" outlineLevel="0" collapsed="false">
      <c r="A141" s="2" t="str">
        <f aca="false">TRIM(UPPER(Raw_Data!A141))</f>
        <v>ORD200139</v>
      </c>
      <c r="B141" s="3" t="n">
        <f aca="false">IF(ISNUMBER(Raw_Data!B141),Raw_Data!B141,DATEVALUE(Raw_Data!B141))</f>
        <v>45026</v>
      </c>
      <c r="C141" s="2" t="str">
        <f aca="false">TRIM(UPPER(Raw_Data!C141))</f>
        <v>C61440</v>
      </c>
      <c r="D141" s="2" t="str">
        <f aca="false">PROPER(TRIM(Raw_Data!D141))</f>
        <v>Phone</v>
      </c>
      <c r="E141" s="2" t="n">
        <f aca="false">Raw_Data!E141</f>
        <v>1</v>
      </c>
      <c r="F141" s="4" t="n">
        <f aca="false">ROUND(Raw_Data!F141,2)</f>
        <v>583.9</v>
      </c>
      <c r="G141" s="2" t="str">
        <f aca="false">PROPER(TRIM(Raw_Data!G141))</f>
        <v>714 Main St</v>
      </c>
      <c r="H141" s="2" t="str">
        <f aca="false">PROPER(TRIM(Raw_Data!H141))</f>
        <v>Cash</v>
      </c>
      <c r="I141" s="2" t="str">
        <f aca="false">PROPER(TRIM(Raw_Data!I141))</f>
        <v>Returned</v>
      </c>
      <c r="J141" s="2" t="str">
        <f aca="false">TRIM(UPPER(Raw_Data!J141))</f>
        <v>TRK33114521</v>
      </c>
      <c r="K141" s="2" t="n">
        <f aca="false">Raw_Data!K141</f>
        <v>1</v>
      </c>
      <c r="L141" s="2" t="str">
        <f aca="false">IF(TRIM(Raw_Data!L141)="","No Coupon",TRIM(UPPER(Raw_Data!L141)))</f>
        <v>No Coupon</v>
      </c>
      <c r="M141" s="2" t="str">
        <f aca="false">PROPER(TRIM(Raw_Data!M141))</f>
        <v>Email</v>
      </c>
      <c r="N141" s="4" t="n">
        <f aca="false">ROUND(E141*F141,2)</f>
        <v>583.9</v>
      </c>
      <c r="O141" s="2" t="str">
        <f aca="false">IF(COUNTIF($A$2:$A$1201,A141)&gt;1,"DUPLICATE","Unique")</f>
        <v>Unique</v>
      </c>
      <c r="P141" s="2" t="str">
        <f aca="false">IF(L141="","MISSING","OK")</f>
        <v>OK</v>
      </c>
      <c r="Q141" s="2" t="str">
        <f aca="false">IF(ISNUMBER(B141),"OK","BAD DATE")</f>
        <v>OK</v>
      </c>
      <c r="R141" s="2" t="str">
        <f aca="false">IF(ROUND(F141,2)=F141,"OK","FIX")</f>
        <v>OK</v>
      </c>
    </row>
    <row r="142" customFormat="false" ht="15" hidden="false" customHeight="false" outlineLevel="0" collapsed="false">
      <c r="A142" s="2" t="str">
        <f aca="false">TRIM(UPPER(Raw_Data!A142))</f>
        <v>ORD200140</v>
      </c>
      <c r="B142" s="3" t="n">
        <f aca="false">IF(ISNUMBER(Raw_Data!B142),Raw_Data!B142,DATEVALUE(Raw_Data!B142))</f>
        <v>45808</v>
      </c>
      <c r="C142" s="2" t="str">
        <f aca="false">TRIM(UPPER(Raw_Data!C142))</f>
        <v>C33110</v>
      </c>
      <c r="D142" s="2" t="str">
        <f aca="false">PROPER(TRIM(Raw_Data!D142))</f>
        <v>Chair</v>
      </c>
      <c r="E142" s="2" t="n">
        <f aca="false">Raw_Data!E142</f>
        <v>3</v>
      </c>
      <c r="F142" s="4" t="n">
        <f aca="false">ROUND(Raw_Data!F142,2)</f>
        <v>528.14</v>
      </c>
      <c r="G142" s="2" t="str">
        <f aca="false">PROPER(TRIM(Raw_Data!G142))</f>
        <v>388 Main St</v>
      </c>
      <c r="H142" s="2" t="str">
        <f aca="false">PROPER(TRIM(Raw_Data!H142))</f>
        <v>Online</v>
      </c>
      <c r="I142" s="2" t="str">
        <f aca="false">PROPER(TRIM(Raw_Data!I142))</f>
        <v>Delivered</v>
      </c>
      <c r="J142" s="2" t="str">
        <f aca="false">TRIM(UPPER(Raw_Data!J142))</f>
        <v>TRK38624225</v>
      </c>
      <c r="K142" s="2" t="n">
        <f aca="false">Raw_Data!K142</f>
        <v>3</v>
      </c>
      <c r="L142" s="2" t="str">
        <f aca="false">IF(TRIM(Raw_Data!L142)="","No Coupon",TRIM(UPPER(Raw_Data!L142)))</f>
        <v>FREESHIP</v>
      </c>
      <c r="M142" s="2" t="str">
        <f aca="false">PROPER(TRIM(Raw_Data!M142))</f>
        <v>Email</v>
      </c>
      <c r="N142" s="4" t="n">
        <f aca="false">ROUND(E142*F142,2)</f>
        <v>1584.42</v>
      </c>
      <c r="O142" s="2" t="str">
        <f aca="false">IF(COUNTIF($A$2:$A$1201,A142)&gt;1,"DUPLICATE","Unique")</f>
        <v>Unique</v>
      </c>
      <c r="P142" s="2" t="str">
        <f aca="false">IF(L142="","MISSING","OK")</f>
        <v>OK</v>
      </c>
      <c r="Q142" s="2" t="str">
        <f aca="false">IF(ISNUMBER(B142),"OK","BAD DATE")</f>
        <v>OK</v>
      </c>
      <c r="R142" s="2" t="str">
        <f aca="false">IF(ROUND(F142,2)=F142,"OK","FIX")</f>
        <v>OK</v>
      </c>
    </row>
    <row r="143" customFormat="false" ht="15" hidden="false" customHeight="false" outlineLevel="0" collapsed="false">
      <c r="A143" s="2" t="str">
        <f aca="false">TRIM(UPPER(Raw_Data!A143))</f>
        <v>ORD200141</v>
      </c>
      <c r="B143" s="3" t="n">
        <f aca="false">IF(ISNUMBER(Raw_Data!B143),Raw_Data!B143,DATEVALUE(Raw_Data!B143))</f>
        <v>45248</v>
      </c>
      <c r="C143" s="2" t="str">
        <f aca="false">TRIM(UPPER(Raw_Data!C143))</f>
        <v>C80004</v>
      </c>
      <c r="D143" s="2" t="str">
        <f aca="false">PROPER(TRIM(Raw_Data!D143))</f>
        <v>Printer</v>
      </c>
      <c r="E143" s="2" t="n">
        <f aca="false">Raw_Data!E143</f>
        <v>3</v>
      </c>
      <c r="F143" s="4" t="n">
        <f aca="false">ROUND(Raw_Data!F143,2)</f>
        <v>684.14</v>
      </c>
      <c r="G143" s="2" t="str">
        <f aca="false">PROPER(TRIM(Raw_Data!G143))</f>
        <v>151 Main St</v>
      </c>
      <c r="H143" s="2" t="str">
        <f aca="false">PROPER(TRIM(Raw_Data!H143))</f>
        <v>Cash</v>
      </c>
      <c r="I143" s="2" t="str">
        <f aca="false">PROPER(TRIM(Raw_Data!I143))</f>
        <v>Cancelled</v>
      </c>
      <c r="J143" s="2" t="str">
        <f aca="false">TRIM(UPPER(Raw_Data!J143))</f>
        <v>TRK66230753</v>
      </c>
      <c r="K143" s="2" t="n">
        <f aca="false">Raw_Data!K143</f>
        <v>3</v>
      </c>
      <c r="L143" s="2" t="str">
        <f aca="false">IF(TRIM(Raw_Data!L143)="","No Coupon",TRIM(UPPER(Raw_Data!L143)))</f>
        <v>WINTER15</v>
      </c>
      <c r="M143" s="2" t="str">
        <f aca="false">PROPER(TRIM(Raw_Data!M143))</f>
        <v>Instagram</v>
      </c>
      <c r="N143" s="4" t="n">
        <f aca="false">ROUND(E143*F143,2)</f>
        <v>2052.42</v>
      </c>
      <c r="O143" s="2" t="str">
        <f aca="false">IF(COUNTIF($A$2:$A$1201,A143)&gt;1,"DUPLICATE","Unique")</f>
        <v>Unique</v>
      </c>
      <c r="P143" s="2" t="str">
        <f aca="false">IF(L143="","MISSING","OK")</f>
        <v>OK</v>
      </c>
      <c r="Q143" s="2" t="str">
        <f aca="false">IF(ISNUMBER(B143),"OK","BAD DATE")</f>
        <v>OK</v>
      </c>
      <c r="R143" s="2" t="str">
        <f aca="false">IF(ROUND(F143,2)=F143,"OK","FIX")</f>
        <v>OK</v>
      </c>
    </row>
    <row r="144" customFormat="false" ht="15" hidden="false" customHeight="false" outlineLevel="0" collapsed="false">
      <c r="A144" s="2" t="str">
        <f aca="false">TRIM(UPPER(Raw_Data!A144))</f>
        <v>ORD200142</v>
      </c>
      <c r="B144" s="3" t="n">
        <f aca="false">IF(ISNUMBER(Raw_Data!B144),Raw_Data!B144,DATEVALUE(Raw_Data!B144))</f>
        <v>45175</v>
      </c>
      <c r="C144" s="2" t="str">
        <f aca="false">TRIM(UPPER(Raw_Data!C144))</f>
        <v>C86374</v>
      </c>
      <c r="D144" s="2" t="str">
        <f aca="false">PROPER(TRIM(Raw_Data!D144))</f>
        <v>Desk</v>
      </c>
      <c r="E144" s="2" t="n">
        <f aca="false">Raw_Data!E144</f>
        <v>5</v>
      </c>
      <c r="F144" s="4" t="n">
        <f aca="false">ROUND(Raw_Data!F144,2)</f>
        <v>272.77</v>
      </c>
      <c r="G144" s="2" t="str">
        <f aca="false">PROPER(TRIM(Raw_Data!G144))</f>
        <v>573 Main St</v>
      </c>
      <c r="H144" s="2" t="str">
        <f aca="false">PROPER(TRIM(Raw_Data!H144))</f>
        <v>Cash</v>
      </c>
      <c r="I144" s="2" t="str">
        <f aca="false">PROPER(TRIM(Raw_Data!I144))</f>
        <v>Pending</v>
      </c>
      <c r="J144" s="2" t="str">
        <f aca="false">TRIM(UPPER(Raw_Data!J144))</f>
        <v>TRK79451491</v>
      </c>
      <c r="K144" s="2" t="n">
        <f aca="false">Raw_Data!K144</f>
        <v>7</v>
      </c>
      <c r="L144" s="2" t="str">
        <f aca="false">IF(TRIM(Raw_Data!L144)="","No Coupon",TRIM(UPPER(Raw_Data!L144)))</f>
        <v>WINTER15</v>
      </c>
      <c r="M144" s="2" t="str">
        <f aca="false">PROPER(TRIM(Raw_Data!M144))</f>
        <v>Email</v>
      </c>
      <c r="N144" s="4" t="n">
        <f aca="false">ROUND(E144*F144,2)</f>
        <v>1363.85</v>
      </c>
      <c r="O144" s="2" t="str">
        <f aca="false">IF(COUNTIF($A$2:$A$1201,A144)&gt;1,"DUPLICATE","Unique")</f>
        <v>Unique</v>
      </c>
      <c r="P144" s="2" t="str">
        <f aca="false">IF(L144="","MISSING","OK")</f>
        <v>OK</v>
      </c>
      <c r="Q144" s="2" t="str">
        <f aca="false">IF(ISNUMBER(B144),"OK","BAD DATE")</f>
        <v>OK</v>
      </c>
      <c r="R144" s="2" t="str">
        <f aca="false">IF(ROUND(F144,2)=F144,"OK","FIX")</f>
        <v>OK</v>
      </c>
    </row>
    <row r="145" customFormat="false" ht="15" hidden="false" customHeight="false" outlineLevel="0" collapsed="false">
      <c r="A145" s="2" t="str">
        <f aca="false">TRIM(UPPER(Raw_Data!A145))</f>
        <v>ORD200143</v>
      </c>
      <c r="B145" s="3" t="n">
        <f aca="false">IF(ISNUMBER(Raw_Data!B145),Raw_Data!B145,DATEVALUE(Raw_Data!B145))</f>
        <v>45456</v>
      </c>
      <c r="C145" s="2" t="str">
        <f aca="false">TRIM(UPPER(Raw_Data!C145))</f>
        <v>C66521</v>
      </c>
      <c r="D145" s="2" t="str">
        <f aca="false">PROPER(TRIM(Raw_Data!D145))</f>
        <v>Chair</v>
      </c>
      <c r="E145" s="2" t="n">
        <f aca="false">Raw_Data!E145</f>
        <v>4</v>
      </c>
      <c r="F145" s="4" t="n">
        <f aca="false">ROUND(Raw_Data!F145,2)</f>
        <v>400.07</v>
      </c>
      <c r="G145" s="2" t="str">
        <f aca="false">PROPER(TRIM(Raw_Data!G145))</f>
        <v>933 Main St</v>
      </c>
      <c r="H145" s="2" t="str">
        <f aca="false">PROPER(TRIM(Raw_Data!H145))</f>
        <v>Online</v>
      </c>
      <c r="I145" s="2" t="str">
        <f aca="false">PROPER(TRIM(Raw_Data!I145))</f>
        <v>Shipped</v>
      </c>
      <c r="J145" s="2" t="str">
        <f aca="false">TRIM(UPPER(Raw_Data!J145))</f>
        <v>TRK34654244</v>
      </c>
      <c r="K145" s="2" t="n">
        <f aca="false">Raw_Data!K145</f>
        <v>5</v>
      </c>
      <c r="L145" s="2" t="str">
        <f aca="false">IF(TRIM(Raw_Data!L145)="","No Coupon",TRIM(UPPER(Raw_Data!L145)))</f>
        <v>No Coupon</v>
      </c>
      <c r="M145" s="2" t="str">
        <f aca="false">PROPER(TRIM(Raw_Data!M145))</f>
        <v>Referral</v>
      </c>
      <c r="N145" s="4" t="n">
        <f aca="false">ROUND(E145*F145,2)</f>
        <v>1600.28</v>
      </c>
      <c r="O145" s="2" t="str">
        <f aca="false">IF(COUNTIF($A$2:$A$1201,A145)&gt;1,"DUPLICATE","Unique")</f>
        <v>Unique</v>
      </c>
      <c r="P145" s="2" t="str">
        <f aca="false">IF(L145="","MISSING","OK")</f>
        <v>OK</v>
      </c>
      <c r="Q145" s="2" t="str">
        <f aca="false">IF(ISNUMBER(B145),"OK","BAD DATE")</f>
        <v>OK</v>
      </c>
      <c r="R145" s="2" t="str">
        <f aca="false">IF(ROUND(F145,2)=F145,"OK","FIX")</f>
        <v>OK</v>
      </c>
    </row>
    <row r="146" customFormat="false" ht="15" hidden="false" customHeight="false" outlineLevel="0" collapsed="false">
      <c r="A146" s="2" t="str">
        <f aca="false">TRIM(UPPER(Raw_Data!A146))</f>
        <v>ORD200144</v>
      </c>
      <c r="B146" s="3" t="n">
        <f aca="false">IF(ISNUMBER(Raw_Data!B146),Raw_Data!B146,DATEVALUE(Raw_Data!B146))</f>
        <v>45142</v>
      </c>
      <c r="C146" s="2" t="str">
        <f aca="false">TRIM(UPPER(Raw_Data!C146))</f>
        <v>C63365</v>
      </c>
      <c r="D146" s="2" t="str">
        <f aca="false">PROPER(TRIM(Raw_Data!D146))</f>
        <v>Desk</v>
      </c>
      <c r="E146" s="2" t="n">
        <f aca="false">Raw_Data!E146</f>
        <v>5</v>
      </c>
      <c r="F146" s="4" t="n">
        <f aca="false">ROUND(Raw_Data!F146,2)</f>
        <v>219.78</v>
      </c>
      <c r="G146" s="2" t="str">
        <f aca="false">PROPER(TRIM(Raw_Data!G146))</f>
        <v>895 Main St</v>
      </c>
      <c r="H146" s="2" t="str">
        <f aca="false">PROPER(TRIM(Raw_Data!H146))</f>
        <v>Credit Card</v>
      </c>
      <c r="I146" s="2" t="str">
        <f aca="false">PROPER(TRIM(Raw_Data!I146))</f>
        <v>Pending</v>
      </c>
      <c r="J146" s="2" t="str">
        <f aca="false">TRIM(UPPER(Raw_Data!J146))</f>
        <v>TRK80100887</v>
      </c>
      <c r="K146" s="2" t="n">
        <f aca="false">Raw_Data!K146</f>
        <v>8</v>
      </c>
      <c r="L146" s="2" t="str">
        <f aca="false">IF(TRIM(Raw_Data!L146)="","No Coupon",TRIM(UPPER(Raw_Data!L146)))</f>
        <v>No Coupon</v>
      </c>
      <c r="M146" s="2" t="str">
        <f aca="false">PROPER(TRIM(Raw_Data!M146))</f>
        <v>Facebook</v>
      </c>
      <c r="N146" s="4" t="n">
        <f aca="false">ROUND(E146*F146,2)</f>
        <v>1098.9</v>
      </c>
      <c r="O146" s="2" t="str">
        <f aca="false">IF(COUNTIF($A$2:$A$1201,A146)&gt;1,"DUPLICATE","Unique")</f>
        <v>Unique</v>
      </c>
      <c r="P146" s="2" t="str">
        <f aca="false">IF(L146="","MISSING","OK")</f>
        <v>OK</v>
      </c>
      <c r="Q146" s="2" t="str">
        <f aca="false">IF(ISNUMBER(B146),"OK","BAD DATE")</f>
        <v>OK</v>
      </c>
      <c r="R146" s="2" t="str">
        <f aca="false">IF(ROUND(F146,2)=F146,"OK","FIX")</f>
        <v>OK</v>
      </c>
    </row>
    <row r="147" customFormat="false" ht="15" hidden="false" customHeight="false" outlineLevel="0" collapsed="false">
      <c r="A147" s="2" t="str">
        <f aca="false">TRIM(UPPER(Raw_Data!A147))</f>
        <v>ORD200145</v>
      </c>
      <c r="B147" s="3" t="n">
        <f aca="false">IF(ISNUMBER(Raw_Data!B147),Raw_Data!B147,DATEVALUE(Raw_Data!B147))</f>
        <v>45353</v>
      </c>
      <c r="C147" s="2" t="str">
        <f aca="false">TRIM(UPPER(Raw_Data!C147))</f>
        <v>C85929</v>
      </c>
      <c r="D147" s="2" t="str">
        <f aca="false">PROPER(TRIM(Raw_Data!D147))</f>
        <v>Printer</v>
      </c>
      <c r="E147" s="2" t="n">
        <f aca="false">Raw_Data!E147</f>
        <v>3</v>
      </c>
      <c r="F147" s="4" t="n">
        <f aca="false">ROUND(Raw_Data!F147,2)</f>
        <v>146.91</v>
      </c>
      <c r="G147" s="2" t="str">
        <f aca="false">PROPER(TRIM(Raw_Data!G147))</f>
        <v>798 Main St</v>
      </c>
      <c r="H147" s="2" t="str">
        <f aca="false">PROPER(TRIM(Raw_Data!H147))</f>
        <v>Credit Card</v>
      </c>
      <c r="I147" s="2" t="str">
        <f aca="false">PROPER(TRIM(Raw_Data!I147))</f>
        <v>Delivered</v>
      </c>
      <c r="J147" s="2" t="str">
        <f aca="false">TRIM(UPPER(Raw_Data!J147))</f>
        <v>TRK29318610</v>
      </c>
      <c r="K147" s="2" t="n">
        <f aca="false">Raw_Data!K147</f>
        <v>6</v>
      </c>
      <c r="L147" s="2" t="str">
        <f aca="false">IF(TRIM(Raw_Data!L147)="","No Coupon",TRIM(UPPER(Raw_Data!L147)))</f>
        <v>FREESHIP</v>
      </c>
      <c r="M147" s="2" t="str">
        <f aca="false">PROPER(TRIM(Raw_Data!M147))</f>
        <v>Google</v>
      </c>
      <c r="N147" s="4" t="n">
        <f aca="false">ROUND(E147*F147,2)</f>
        <v>440.73</v>
      </c>
      <c r="O147" s="2" t="str">
        <f aca="false">IF(COUNTIF($A$2:$A$1201,A147)&gt;1,"DUPLICATE","Unique")</f>
        <v>Unique</v>
      </c>
      <c r="P147" s="2" t="str">
        <f aca="false">IF(L147="","MISSING","OK")</f>
        <v>OK</v>
      </c>
      <c r="Q147" s="2" t="str">
        <f aca="false">IF(ISNUMBER(B147),"OK","BAD DATE")</f>
        <v>OK</v>
      </c>
      <c r="R147" s="2" t="str">
        <f aca="false">IF(ROUND(F147,2)=F147,"OK","FIX")</f>
        <v>OK</v>
      </c>
    </row>
    <row r="148" customFormat="false" ht="15" hidden="false" customHeight="false" outlineLevel="0" collapsed="false">
      <c r="A148" s="2" t="str">
        <f aca="false">TRIM(UPPER(Raw_Data!A148))</f>
        <v>ORD200146</v>
      </c>
      <c r="B148" s="3" t="n">
        <f aca="false">IF(ISNUMBER(Raw_Data!B148),Raw_Data!B148,DATEVALUE(Raw_Data!B148))</f>
        <v>45777</v>
      </c>
      <c r="C148" s="2" t="str">
        <f aca="false">TRIM(UPPER(Raw_Data!C148))</f>
        <v>C84645</v>
      </c>
      <c r="D148" s="2" t="str">
        <f aca="false">PROPER(TRIM(Raw_Data!D148))</f>
        <v>Tablet</v>
      </c>
      <c r="E148" s="2" t="n">
        <f aca="false">Raw_Data!E148</f>
        <v>2</v>
      </c>
      <c r="F148" s="4" t="n">
        <f aca="false">ROUND(Raw_Data!F148,2)</f>
        <v>411.49</v>
      </c>
      <c r="G148" s="2" t="str">
        <f aca="false">PROPER(TRIM(Raw_Data!G148))</f>
        <v>404 Main St</v>
      </c>
      <c r="H148" s="2" t="str">
        <f aca="false">PROPER(TRIM(Raw_Data!H148))</f>
        <v>Credit Card</v>
      </c>
      <c r="I148" s="2" t="str">
        <f aca="false">PROPER(TRIM(Raw_Data!I148))</f>
        <v>Returned</v>
      </c>
      <c r="J148" s="2" t="str">
        <f aca="false">TRIM(UPPER(Raw_Data!J148))</f>
        <v>TRK68893369</v>
      </c>
      <c r="K148" s="2" t="n">
        <f aca="false">Raw_Data!K148</f>
        <v>4</v>
      </c>
      <c r="L148" s="2" t="str">
        <f aca="false">IF(TRIM(Raw_Data!L148)="","No Coupon",TRIM(UPPER(Raw_Data!L148)))</f>
        <v>No Coupon</v>
      </c>
      <c r="M148" s="2" t="str">
        <f aca="false">PROPER(TRIM(Raw_Data!M148))</f>
        <v>Instagram</v>
      </c>
      <c r="N148" s="4" t="n">
        <f aca="false">ROUND(E148*F148,2)</f>
        <v>822.98</v>
      </c>
      <c r="O148" s="2" t="str">
        <f aca="false">IF(COUNTIF($A$2:$A$1201,A148)&gt;1,"DUPLICATE","Unique")</f>
        <v>Unique</v>
      </c>
      <c r="P148" s="2" t="str">
        <f aca="false">IF(L148="","MISSING","OK")</f>
        <v>OK</v>
      </c>
      <c r="Q148" s="2" t="str">
        <f aca="false">IF(ISNUMBER(B148),"OK","BAD DATE")</f>
        <v>OK</v>
      </c>
      <c r="R148" s="2" t="str">
        <f aca="false">IF(ROUND(F148,2)=F148,"OK","FIX")</f>
        <v>OK</v>
      </c>
    </row>
    <row r="149" customFormat="false" ht="15" hidden="false" customHeight="false" outlineLevel="0" collapsed="false">
      <c r="A149" s="2" t="str">
        <f aca="false">TRIM(UPPER(Raw_Data!A149))</f>
        <v>ORD200147</v>
      </c>
      <c r="B149" s="3" t="n">
        <f aca="false">IF(ISNUMBER(Raw_Data!B149),Raw_Data!B149,DATEVALUE(Raw_Data!B149))</f>
        <v>45783</v>
      </c>
      <c r="C149" s="2" t="str">
        <f aca="false">TRIM(UPPER(Raw_Data!C149))</f>
        <v>C46316</v>
      </c>
      <c r="D149" s="2" t="str">
        <f aca="false">PROPER(TRIM(Raw_Data!D149))</f>
        <v>Laptop</v>
      </c>
      <c r="E149" s="2" t="n">
        <f aca="false">Raw_Data!E149</f>
        <v>2</v>
      </c>
      <c r="F149" s="4" t="n">
        <f aca="false">ROUND(Raw_Data!F149,2)</f>
        <v>465.18</v>
      </c>
      <c r="G149" s="2" t="str">
        <f aca="false">PROPER(TRIM(Raw_Data!G149))</f>
        <v>893 Main St</v>
      </c>
      <c r="H149" s="2" t="str">
        <f aca="false">PROPER(TRIM(Raw_Data!H149))</f>
        <v>Credit Card</v>
      </c>
      <c r="I149" s="2" t="str">
        <f aca="false">PROPER(TRIM(Raw_Data!I149))</f>
        <v>Cancelled</v>
      </c>
      <c r="J149" s="2" t="str">
        <f aca="false">TRIM(UPPER(Raw_Data!J149))</f>
        <v>TRK16196000</v>
      </c>
      <c r="K149" s="2" t="n">
        <f aca="false">Raw_Data!K149</f>
        <v>2</v>
      </c>
      <c r="L149" s="2" t="str">
        <f aca="false">IF(TRIM(Raw_Data!L149)="","No Coupon",TRIM(UPPER(Raw_Data!L149)))</f>
        <v>SAVE10</v>
      </c>
      <c r="M149" s="2" t="str">
        <f aca="false">PROPER(TRIM(Raw_Data!M149))</f>
        <v>Google</v>
      </c>
      <c r="N149" s="4" t="n">
        <f aca="false">ROUND(E149*F149,2)</f>
        <v>930.36</v>
      </c>
      <c r="O149" s="2" t="str">
        <f aca="false">IF(COUNTIF($A$2:$A$1201,A149)&gt;1,"DUPLICATE","Unique")</f>
        <v>Unique</v>
      </c>
      <c r="P149" s="2" t="str">
        <f aca="false">IF(L149="","MISSING","OK")</f>
        <v>OK</v>
      </c>
      <c r="Q149" s="2" t="str">
        <f aca="false">IF(ISNUMBER(B149),"OK","BAD DATE")</f>
        <v>OK</v>
      </c>
      <c r="R149" s="2" t="str">
        <f aca="false">IF(ROUND(F149,2)=F149,"OK","FIX")</f>
        <v>OK</v>
      </c>
    </row>
    <row r="150" customFormat="false" ht="15" hidden="false" customHeight="false" outlineLevel="0" collapsed="false">
      <c r="A150" s="2" t="str">
        <f aca="false">TRIM(UPPER(Raw_Data!A150))</f>
        <v>ORD200148</v>
      </c>
      <c r="B150" s="3" t="n">
        <f aca="false">IF(ISNUMBER(Raw_Data!B150),Raw_Data!B150,DATEVALUE(Raw_Data!B150))</f>
        <v>45641</v>
      </c>
      <c r="C150" s="2" t="str">
        <f aca="false">TRIM(UPPER(Raw_Data!C150))</f>
        <v>C35100</v>
      </c>
      <c r="D150" s="2" t="str">
        <f aca="false">PROPER(TRIM(Raw_Data!D150))</f>
        <v>Phone</v>
      </c>
      <c r="E150" s="2" t="n">
        <f aca="false">Raw_Data!E150</f>
        <v>2</v>
      </c>
      <c r="F150" s="4" t="n">
        <f aca="false">ROUND(Raw_Data!F150,2)</f>
        <v>319.91</v>
      </c>
      <c r="G150" s="2" t="str">
        <f aca="false">PROPER(TRIM(Raw_Data!G150))</f>
        <v>139 Main St</v>
      </c>
      <c r="H150" s="2" t="str">
        <f aca="false">PROPER(TRIM(Raw_Data!H150))</f>
        <v>Credit Card</v>
      </c>
      <c r="I150" s="2" t="str">
        <f aca="false">PROPER(TRIM(Raw_Data!I150))</f>
        <v>Cancelled</v>
      </c>
      <c r="J150" s="2" t="str">
        <f aca="false">TRIM(UPPER(Raw_Data!J150))</f>
        <v>TRK56853491</v>
      </c>
      <c r="K150" s="2" t="n">
        <f aca="false">Raw_Data!K150</f>
        <v>3</v>
      </c>
      <c r="L150" s="2" t="str">
        <f aca="false">IF(TRIM(Raw_Data!L150)="","No Coupon",TRIM(UPPER(Raw_Data!L150)))</f>
        <v>WINTER15</v>
      </c>
      <c r="M150" s="2" t="str">
        <f aca="false">PROPER(TRIM(Raw_Data!M150))</f>
        <v>Google</v>
      </c>
      <c r="N150" s="4" t="n">
        <f aca="false">ROUND(E150*F150,2)</f>
        <v>639.82</v>
      </c>
      <c r="O150" s="2" t="str">
        <f aca="false">IF(COUNTIF($A$2:$A$1201,A150)&gt;1,"DUPLICATE","Unique")</f>
        <v>Unique</v>
      </c>
      <c r="P150" s="2" t="str">
        <f aca="false">IF(L150="","MISSING","OK")</f>
        <v>OK</v>
      </c>
      <c r="Q150" s="2" t="str">
        <f aca="false">IF(ISNUMBER(B150),"OK","BAD DATE")</f>
        <v>OK</v>
      </c>
      <c r="R150" s="2" t="str">
        <f aca="false">IF(ROUND(F150,2)=F150,"OK","FIX")</f>
        <v>OK</v>
      </c>
    </row>
    <row r="151" customFormat="false" ht="15" hidden="false" customHeight="false" outlineLevel="0" collapsed="false">
      <c r="A151" s="2" t="str">
        <f aca="false">TRIM(UPPER(Raw_Data!A151))</f>
        <v>ORD200149</v>
      </c>
      <c r="B151" s="3" t="n">
        <f aca="false">IF(ISNUMBER(Raw_Data!B151),Raw_Data!B151,DATEVALUE(Raw_Data!B151))</f>
        <v>45287</v>
      </c>
      <c r="C151" s="2" t="str">
        <f aca="false">TRIM(UPPER(Raw_Data!C151))</f>
        <v>C39671</v>
      </c>
      <c r="D151" s="2" t="str">
        <f aca="false">PROPER(TRIM(Raw_Data!D151))</f>
        <v>Laptop</v>
      </c>
      <c r="E151" s="2" t="n">
        <f aca="false">Raw_Data!E151</f>
        <v>1</v>
      </c>
      <c r="F151" s="4" t="n">
        <f aca="false">ROUND(Raw_Data!F151,2)</f>
        <v>217.56</v>
      </c>
      <c r="G151" s="2" t="str">
        <f aca="false">PROPER(TRIM(Raw_Data!G151))</f>
        <v>174 Main St</v>
      </c>
      <c r="H151" s="2" t="str">
        <f aca="false">PROPER(TRIM(Raw_Data!H151))</f>
        <v>Debit Card</v>
      </c>
      <c r="I151" s="2" t="str">
        <f aca="false">PROPER(TRIM(Raw_Data!I151))</f>
        <v>Delivered</v>
      </c>
      <c r="J151" s="2" t="str">
        <f aca="false">TRIM(UPPER(Raw_Data!J151))</f>
        <v>TRK47153818</v>
      </c>
      <c r="K151" s="2" t="n">
        <f aca="false">Raw_Data!K151</f>
        <v>3</v>
      </c>
      <c r="L151" s="2" t="str">
        <f aca="false">IF(TRIM(Raw_Data!L151)="","No Coupon",TRIM(UPPER(Raw_Data!L151)))</f>
        <v>No Coupon</v>
      </c>
      <c r="M151" s="2" t="str">
        <f aca="false">PROPER(TRIM(Raw_Data!M151))</f>
        <v>Facebook</v>
      </c>
      <c r="N151" s="4" t="n">
        <f aca="false">ROUND(E151*F151,2)</f>
        <v>217.56</v>
      </c>
      <c r="O151" s="2" t="str">
        <f aca="false">IF(COUNTIF($A$2:$A$1201,A151)&gt;1,"DUPLICATE","Unique")</f>
        <v>Unique</v>
      </c>
      <c r="P151" s="2" t="str">
        <f aca="false">IF(L151="","MISSING","OK")</f>
        <v>OK</v>
      </c>
      <c r="Q151" s="2" t="str">
        <f aca="false">IF(ISNUMBER(B151),"OK","BAD DATE")</f>
        <v>OK</v>
      </c>
      <c r="R151" s="2" t="str">
        <f aca="false">IF(ROUND(F151,2)=F151,"OK","FIX")</f>
        <v>OK</v>
      </c>
    </row>
    <row r="152" customFormat="false" ht="15" hidden="false" customHeight="false" outlineLevel="0" collapsed="false">
      <c r="A152" s="2" t="str">
        <f aca="false">TRIM(UPPER(Raw_Data!A152))</f>
        <v>ORD200150</v>
      </c>
      <c r="B152" s="3" t="n">
        <f aca="false">IF(ISNUMBER(Raw_Data!B152),Raw_Data!B152,DATEVALUE(Raw_Data!B152))</f>
        <v>45273</v>
      </c>
      <c r="C152" s="2" t="str">
        <f aca="false">TRIM(UPPER(Raw_Data!C152))</f>
        <v>C25503</v>
      </c>
      <c r="D152" s="2" t="str">
        <f aca="false">PROPER(TRIM(Raw_Data!D152))</f>
        <v>Phone</v>
      </c>
      <c r="E152" s="2" t="n">
        <f aca="false">Raw_Data!E152</f>
        <v>2</v>
      </c>
      <c r="F152" s="4" t="n">
        <f aca="false">ROUND(Raw_Data!F152,2)</f>
        <v>105.57</v>
      </c>
      <c r="G152" s="2" t="str">
        <f aca="false">PROPER(TRIM(Raw_Data!G152))</f>
        <v>981 Main St</v>
      </c>
      <c r="H152" s="2" t="str">
        <f aca="false">PROPER(TRIM(Raw_Data!H152))</f>
        <v>Debit Card</v>
      </c>
      <c r="I152" s="2" t="str">
        <f aca="false">PROPER(TRIM(Raw_Data!I152))</f>
        <v>Returned</v>
      </c>
      <c r="J152" s="2" t="str">
        <f aca="false">TRIM(UPPER(Raw_Data!J152))</f>
        <v>TRK29878837</v>
      </c>
      <c r="K152" s="2" t="n">
        <f aca="false">Raw_Data!K152</f>
        <v>5</v>
      </c>
      <c r="L152" s="2" t="str">
        <f aca="false">IF(TRIM(Raw_Data!L152)="","No Coupon",TRIM(UPPER(Raw_Data!L152)))</f>
        <v>WINTER15</v>
      </c>
      <c r="M152" s="2" t="str">
        <f aca="false">PROPER(TRIM(Raw_Data!M152))</f>
        <v>Google</v>
      </c>
      <c r="N152" s="4" t="n">
        <f aca="false">ROUND(E152*F152,2)</f>
        <v>211.14</v>
      </c>
      <c r="O152" s="2" t="str">
        <f aca="false">IF(COUNTIF($A$2:$A$1201,A152)&gt;1,"DUPLICATE","Unique")</f>
        <v>Unique</v>
      </c>
      <c r="P152" s="2" t="str">
        <f aca="false">IF(L152="","MISSING","OK")</f>
        <v>OK</v>
      </c>
      <c r="Q152" s="2" t="str">
        <f aca="false">IF(ISNUMBER(B152),"OK","BAD DATE")</f>
        <v>OK</v>
      </c>
      <c r="R152" s="2" t="str">
        <f aca="false">IF(ROUND(F152,2)=F152,"OK","FIX")</f>
        <v>OK</v>
      </c>
    </row>
    <row r="153" customFormat="false" ht="15" hidden="false" customHeight="false" outlineLevel="0" collapsed="false">
      <c r="A153" s="2" t="str">
        <f aca="false">TRIM(UPPER(Raw_Data!A153))</f>
        <v>ORD200151</v>
      </c>
      <c r="B153" s="3" t="n">
        <f aca="false">IF(ISNUMBER(Raw_Data!B153),Raw_Data!B153,DATEVALUE(Raw_Data!B153))</f>
        <v>45261</v>
      </c>
      <c r="C153" s="2" t="str">
        <f aca="false">TRIM(UPPER(Raw_Data!C153))</f>
        <v>C32960</v>
      </c>
      <c r="D153" s="2" t="str">
        <f aca="false">PROPER(TRIM(Raw_Data!D153))</f>
        <v>Printer</v>
      </c>
      <c r="E153" s="2" t="n">
        <f aca="false">Raw_Data!E153</f>
        <v>5</v>
      </c>
      <c r="F153" s="4" t="n">
        <f aca="false">ROUND(Raw_Data!F153,2)</f>
        <v>444.76</v>
      </c>
      <c r="G153" s="2" t="str">
        <f aca="false">PROPER(TRIM(Raw_Data!G153))</f>
        <v>947 Main St</v>
      </c>
      <c r="H153" s="2" t="str">
        <f aca="false">PROPER(TRIM(Raw_Data!H153))</f>
        <v>Debit Card</v>
      </c>
      <c r="I153" s="2" t="str">
        <f aca="false">PROPER(TRIM(Raw_Data!I153))</f>
        <v>Returned</v>
      </c>
      <c r="J153" s="2" t="str">
        <f aca="false">TRIM(UPPER(Raw_Data!J153))</f>
        <v>TRK91226500</v>
      </c>
      <c r="K153" s="2" t="n">
        <f aca="false">Raw_Data!K153</f>
        <v>7</v>
      </c>
      <c r="L153" s="2" t="str">
        <f aca="false">IF(TRIM(Raw_Data!L153)="","No Coupon",TRIM(UPPER(Raw_Data!L153)))</f>
        <v>No Coupon</v>
      </c>
      <c r="M153" s="2" t="str">
        <f aca="false">PROPER(TRIM(Raw_Data!M153))</f>
        <v>Email</v>
      </c>
      <c r="N153" s="4" t="n">
        <f aca="false">ROUND(E153*F153,2)</f>
        <v>2223.8</v>
      </c>
      <c r="O153" s="2" t="str">
        <f aca="false">IF(COUNTIF($A$2:$A$1201,A153)&gt;1,"DUPLICATE","Unique")</f>
        <v>Unique</v>
      </c>
      <c r="P153" s="2" t="str">
        <f aca="false">IF(L153="","MISSING","OK")</f>
        <v>OK</v>
      </c>
      <c r="Q153" s="2" t="str">
        <f aca="false">IF(ISNUMBER(B153),"OK","BAD DATE")</f>
        <v>OK</v>
      </c>
      <c r="R153" s="2" t="str">
        <f aca="false">IF(ROUND(F153,2)=F153,"OK","FIX")</f>
        <v>OK</v>
      </c>
    </row>
    <row r="154" customFormat="false" ht="15" hidden="false" customHeight="false" outlineLevel="0" collapsed="false">
      <c r="A154" s="2" t="str">
        <f aca="false">TRIM(UPPER(Raw_Data!A154))</f>
        <v>ORD200152</v>
      </c>
      <c r="B154" s="3" t="n">
        <f aca="false">IF(ISNUMBER(Raw_Data!B154),Raw_Data!B154,DATEVALUE(Raw_Data!B154))</f>
        <v>45659</v>
      </c>
      <c r="C154" s="2" t="str">
        <f aca="false">TRIM(UPPER(Raw_Data!C154))</f>
        <v>C77736</v>
      </c>
      <c r="D154" s="2" t="str">
        <f aca="false">PROPER(TRIM(Raw_Data!D154))</f>
        <v>Chair</v>
      </c>
      <c r="E154" s="2" t="n">
        <f aca="false">Raw_Data!E154</f>
        <v>2</v>
      </c>
      <c r="F154" s="4" t="n">
        <f aca="false">ROUND(Raw_Data!F154,2)</f>
        <v>399.04</v>
      </c>
      <c r="G154" s="2" t="str">
        <f aca="false">PROPER(TRIM(Raw_Data!G154))</f>
        <v>659 Main St</v>
      </c>
      <c r="H154" s="2" t="str">
        <f aca="false">PROPER(TRIM(Raw_Data!H154))</f>
        <v>Cash</v>
      </c>
      <c r="I154" s="2" t="str">
        <f aca="false">PROPER(TRIM(Raw_Data!I154))</f>
        <v>Cancelled</v>
      </c>
      <c r="J154" s="2" t="str">
        <f aca="false">TRIM(UPPER(Raw_Data!J154))</f>
        <v>TRK90329250</v>
      </c>
      <c r="K154" s="2" t="n">
        <f aca="false">Raw_Data!K154</f>
        <v>3</v>
      </c>
      <c r="L154" s="2" t="str">
        <f aca="false">IF(TRIM(Raw_Data!L154)="","No Coupon",TRIM(UPPER(Raw_Data!L154)))</f>
        <v>FREESHIP</v>
      </c>
      <c r="M154" s="2" t="str">
        <f aca="false">PROPER(TRIM(Raw_Data!M154))</f>
        <v>Referral</v>
      </c>
      <c r="N154" s="4" t="n">
        <f aca="false">ROUND(E154*F154,2)</f>
        <v>798.08</v>
      </c>
      <c r="O154" s="2" t="str">
        <f aca="false">IF(COUNTIF($A$2:$A$1201,A154)&gt;1,"DUPLICATE","Unique")</f>
        <v>Unique</v>
      </c>
      <c r="P154" s="2" t="str">
        <f aca="false">IF(L154="","MISSING","OK")</f>
        <v>OK</v>
      </c>
      <c r="Q154" s="2" t="str">
        <f aca="false">IF(ISNUMBER(B154),"OK","BAD DATE")</f>
        <v>OK</v>
      </c>
      <c r="R154" s="2" t="str">
        <f aca="false">IF(ROUND(F154,2)=F154,"OK","FIX")</f>
        <v>OK</v>
      </c>
    </row>
    <row r="155" customFormat="false" ht="15" hidden="false" customHeight="false" outlineLevel="0" collapsed="false">
      <c r="A155" s="2" t="str">
        <f aca="false">TRIM(UPPER(Raw_Data!A155))</f>
        <v>ORD200153</v>
      </c>
      <c r="B155" s="3" t="n">
        <f aca="false">IF(ISNUMBER(Raw_Data!B155),Raw_Data!B155,DATEVALUE(Raw_Data!B155))</f>
        <v>45644</v>
      </c>
      <c r="C155" s="2" t="str">
        <f aca="false">TRIM(UPPER(Raw_Data!C155))</f>
        <v>C71570</v>
      </c>
      <c r="D155" s="2" t="str">
        <f aca="false">PROPER(TRIM(Raw_Data!D155))</f>
        <v>Chair</v>
      </c>
      <c r="E155" s="2" t="n">
        <f aca="false">Raw_Data!E155</f>
        <v>4</v>
      </c>
      <c r="F155" s="4" t="n">
        <f aca="false">ROUND(Raw_Data!F155,2)</f>
        <v>534.48</v>
      </c>
      <c r="G155" s="2" t="str">
        <f aca="false">PROPER(TRIM(Raw_Data!G155))</f>
        <v>437 Main St</v>
      </c>
      <c r="H155" s="2" t="str">
        <f aca="false">PROPER(TRIM(Raw_Data!H155))</f>
        <v>Online</v>
      </c>
      <c r="I155" s="2" t="str">
        <f aca="false">PROPER(TRIM(Raw_Data!I155))</f>
        <v>Returned</v>
      </c>
      <c r="J155" s="2" t="str">
        <f aca="false">TRIM(UPPER(Raw_Data!J155))</f>
        <v>TRK95992269</v>
      </c>
      <c r="K155" s="2" t="n">
        <f aca="false">Raw_Data!K155</f>
        <v>9</v>
      </c>
      <c r="L155" s="2" t="str">
        <f aca="false">IF(TRIM(Raw_Data!L155)="","No Coupon",TRIM(UPPER(Raw_Data!L155)))</f>
        <v>WINTER15</v>
      </c>
      <c r="M155" s="2" t="str">
        <f aca="false">PROPER(TRIM(Raw_Data!M155))</f>
        <v>Instagram</v>
      </c>
      <c r="N155" s="4" t="n">
        <f aca="false">ROUND(E155*F155,2)</f>
        <v>2137.92</v>
      </c>
      <c r="O155" s="2" t="str">
        <f aca="false">IF(COUNTIF($A$2:$A$1201,A155)&gt;1,"DUPLICATE","Unique")</f>
        <v>Unique</v>
      </c>
      <c r="P155" s="2" t="str">
        <f aca="false">IF(L155="","MISSING","OK")</f>
        <v>OK</v>
      </c>
      <c r="Q155" s="2" t="str">
        <f aca="false">IF(ISNUMBER(B155),"OK","BAD DATE")</f>
        <v>OK</v>
      </c>
      <c r="R155" s="2" t="str">
        <f aca="false">IF(ROUND(F155,2)=F155,"OK","FIX")</f>
        <v>OK</v>
      </c>
    </row>
    <row r="156" customFormat="false" ht="15" hidden="false" customHeight="false" outlineLevel="0" collapsed="false">
      <c r="A156" s="2" t="str">
        <f aca="false">TRIM(UPPER(Raw_Data!A156))</f>
        <v>ORD200154</v>
      </c>
      <c r="B156" s="3" t="n">
        <f aca="false">IF(ISNUMBER(Raw_Data!B156),Raw_Data!B156,DATEVALUE(Raw_Data!B156))</f>
        <v>45127</v>
      </c>
      <c r="C156" s="2" t="str">
        <f aca="false">TRIM(UPPER(Raw_Data!C156))</f>
        <v>C73587</v>
      </c>
      <c r="D156" s="2" t="str">
        <f aca="false">PROPER(TRIM(Raw_Data!D156))</f>
        <v>Phone</v>
      </c>
      <c r="E156" s="2" t="n">
        <f aca="false">Raw_Data!E156</f>
        <v>4</v>
      </c>
      <c r="F156" s="4" t="n">
        <f aca="false">ROUND(Raw_Data!F156,2)</f>
        <v>408.21</v>
      </c>
      <c r="G156" s="2" t="str">
        <f aca="false">PROPER(TRIM(Raw_Data!G156))</f>
        <v>727 Main St</v>
      </c>
      <c r="H156" s="2" t="str">
        <f aca="false">PROPER(TRIM(Raw_Data!H156))</f>
        <v>Credit Card</v>
      </c>
      <c r="I156" s="2" t="str">
        <f aca="false">PROPER(TRIM(Raw_Data!I156))</f>
        <v>Pending</v>
      </c>
      <c r="J156" s="2" t="str">
        <f aca="false">TRIM(UPPER(Raw_Data!J156))</f>
        <v>TRK13955543</v>
      </c>
      <c r="K156" s="2" t="n">
        <f aca="false">Raw_Data!K156</f>
        <v>9</v>
      </c>
      <c r="L156" s="2" t="str">
        <f aca="false">IF(TRIM(Raw_Data!L156)="","No Coupon",TRIM(UPPER(Raw_Data!L156)))</f>
        <v>No Coupon</v>
      </c>
      <c r="M156" s="2" t="str">
        <f aca="false">PROPER(TRIM(Raw_Data!M156))</f>
        <v>Instagram</v>
      </c>
      <c r="N156" s="4" t="n">
        <f aca="false">ROUND(E156*F156,2)</f>
        <v>1632.84</v>
      </c>
      <c r="O156" s="2" t="str">
        <f aca="false">IF(COUNTIF($A$2:$A$1201,A156)&gt;1,"DUPLICATE","Unique")</f>
        <v>Unique</v>
      </c>
      <c r="P156" s="2" t="str">
        <f aca="false">IF(L156="","MISSING","OK")</f>
        <v>OK</v>
      </c>
      <c r="Q156" s="2" t="str">
        <f aca="false">IF(ISNUMBER(B156),"OK","BAD DATE")</f>
        <v>OK</v>
      </c>
      <c r="R156" s="2" t="str">
        <f aca="false">IF(ROUND(F156,2)=F156,"OK","FIX")</f>
        <v>OK</v>
      </c>
    </row>
    <row r="157" customFormat="false" ht="15" hidden="false" customHeight="false" outlineLevel="0" collapsed="false">
      <c r="A157" s="2" t="str">
        <f aca="false">TRIM(UPPER(Raw_Data!A157))</f>
        <v>ORD200155</v>
      </c>
      <c r="B157" s="3" t="n">
        <f aca="false">IF(ISNUMBER(Raw_Data!B157),Raw_Data!B157,DATEVALUE(Raw_Data!B157))</f>
        <v>44984</v>
      </c>
      <c r="C157" s="2" t="str">
        <f aca="false">TRIM(UPPER(Raw_Data!C157))</f>
        <v>C62740</v>
      </c>
      <c r="D157" s="2" t="str">
        <f aca="false">PROPER(TRIM(Raw_Data!D157))</f>
        <v>Phone</v>
      </c>
      <c r="E157" s="2" t="n">
        <f aca="false">Raw_Data!E157</f>
        <v>1</v>
      </c>
      <c r="F157" s="4" t="n">
        <f aca="false">ROUND(Raw_Data!F157,2)</f>
        <v>424.4</v>
      </c>
      <c r="G157" s="2" t="str">
        <f aca="false">PROPER(TRIM(Raw_Data!G157))</f>
        <v>446 Main St</v>
      </c>
      <c r="H157" s="2" t="str">
        <f aca="false">PROPER(TRIM(Raw_Data!H157))</f>
        <v>Online</v>
      </c>
      <c r="I157" s="2" t="str">
        <f aca="false">PROPER(TRIM(Raw_Data!I157))</f>
        <v>Shipped</v>
      </c>
      <c r="J157" s="2" t="str">
        <f aca="false">TRIM(UPPER(Raw_Data!J157))</f>
        <v>TRK20706408</v>
      </c>
      <c r="K157" s="2" t="n">
        <f aca="false">Raw_Data!K157</f>
        <v>6</v>
      </c>
      <c r="L157" s="2" t="str">
        <f aca="false">IF(TRIM(Raw_Data!L157)="","No Coupon",TRIM(UPPER(Raw_Data!L157)))</f>
        <v>WINTER15</v>
      </c>
      <c r="M157" s="2" t="str">
        <f aca="false">PROPER(TRIM(Raw_Data!M157))</f>
        <v>Referral</v>
      </c>
      <c r="N157" s="4" t="n">
        <f aca="false">ROUND(E157*F157,2)</f>
        <v>424.4</v>
      </c>
      <c r="O157" s="2" t="str">
        <f aca="false">IF(COUNTIF($A$2:$A$1201,A157)&gt;1,"DUPLICATE","Unique")</f>
        <v>Unique</v>
      </c>
      <c r="P157" s="2" t="str">
        <f aca="false">IF(L157="","MISSING","OK")</f>
        <v>OK</v>
      </c>
      <c r="Q157" s="2" t="str">
        <f aca="false">IF(ISNUMBER(B157),"OK","BAD DATE")</f>
        <v>OK</v>
      </c>
      <c r="R157" s="2" t="str">
        <f aca="false">IF(ROUND(F157,2)=F157,"OK","FIX")</f>
        <v>OK</v>
      </c>
    </row>
    <row r="158" customFormat="false" ht="15" hidden="false" customHeight="false" outlineLevel="0" collapsed="false">
      <c r="A158" s="2" t="str">
        <f aca="false">TRIM(UPPER(Raw_Data!A158))</f>
        <v>ORD200156</v>
      </c>
      <c r="B158" s="3" t="n">
        <f aca="false">IF(ISNUMBER(Raw_Data!B158),Raw_Data!B158,DATEVALUE(Raw_Data!B158))</f>
        <v>45604</v>
      </c>
      <c r="C158" s="2" t="str">
        <f aca="false">TRIM(UPPER(Raw_Data!C158))</f>
        <v>C58808</v>
      </c>
      <c r="D158" s="2" t="str">
        <f aca="false">PROPER(TRIM(Raw_Data!D158))</f>
        <v>Chair</v>
      </c>
      <c r="E158" s="2" t="n">
        <f aca="false">Raw_Data!E158</f>
        <v>2</v>
      </c>
      <c r="F158" s="4" t="n">
        <f aca="false">ROUND(Raw_Data!F158,2)</f>
        <v>269.83</v>
      </c>
      <c r="G158" s="2" t="str">
        <f aca="false">PROPER(TRIM(Raw_Data!G158))</f>
        <v>651 Main St</v>
      </c>
      <c r="H158" s="2" t="str">
        <f aca="false">PROPER(TRIM(Raw_Data!H158))</f>
        <v>Online</v>
      </c>
      <c r="I158" s="2" t="str">
        <f aca="false">PROPER(TRIM(Raw_Data!I158))</f>
        <v>Delivered</v>
      </c>
      <c r="J158" s="2" t="str">
        <f aca="false">TRIM(UPPER(Raw_Data!J158))</f>
        <v>TRK24451893</v>
      </c>
      <c r="K158" s="2" t="n">
        <f aca="false">Raw_Data!K158</f>
        <v>4</v>
      </c>
      <c r="L158" s="2" t="str">
        <f aca="false">IF(TRIM(Raw_Data!L158)="","No Coupon",TRIM(UPPER(Raw_Data!L158)))</f>
        <v>SAVE10</v>
      </c>
      <c r="M158" s="2" t="str">
        <f aca="false">PROPER(TRIM(Raw_Data!M158))</f>
        <v>Email</v>
      </c>
      <c r="N158" s="4" t="n">
        <f aca="false">ROUND(E158*F158,2)</f>
        <v>539.66</v>
      </c>
      <c r="O158" s="2" t="str">
        <f aca="false">IF(COUNTIF($A$2:$A$1201,A158)&gt;1,"DUPLICATE","Unique")</f>
        <v>Unique</v>
      </c>
      <c r="P158" s="2" t="str">
        <f aca="false">IF(L158="","MISSING","OK")</f>
        <v>OK</v>
      </c>
      <c r="Q158" s="2" t="str">
        <f aca="false">IF(ISNUMBER(B158),"OK","BAD DATE")</f>
        <v>OK</v>
      </c>
      <c r="R158" s="2" t="str">
        <f aca="false">IF(ROUND(F158,2)=F158,"OK","FIX")</f>
        <v>OK</v>
      </c>
    </row>
    <row r="159" customFormat="false" ht="15" hidden="false" customHeight="false" outlineLevel="0" collapsed="false">
      <c r="A159" s="2" t="str">
        <f aca="false">TRIM(UPPER(Raw_Data!A159))</f>
        <v>ORD200157</v>
      </c>
      <c r="B159" s="3" t="n">
        <f aca="false">IF(ISNUMBER(Raw_Data!B159),Raw_Data!B159,DATEVALUE(Raw_Data!B159))</f>
        <v>45709</v>
      </c>
      <c r="C159" s="2" t="str">
        <f aca="false">TRIM(UPPER(Raw_Data!C159))</f>
        <v>C50422</v>
      </c>
      <c r="D159" s="2" t="str">
        <f aca="false">PROPER(TRIM(Raw_Data!D159))</f>
        <v>Monitor</v>
      </c>
      <c r="E159" s="2" t="n">
        <f aca="false">Raw_Data!E159</f>
        <v>2</v>
      </c>
      <c r="F159" s="4" t="n">
        <f aca="false">ROUND(Raw_Data!F159,2)</f>
        <v>564.58</v>
      </c>
      <c r="G159" s="2" t="str">
        <f aca="false">PROPER(TRIM(Raw_Data!G159))</f>
        <v>636 Main St</v>
      </c>
      <c r="H159" s="2" t="str">
        <f aca="false">PROPER(TRIM(Raw_Data!H159))</f>
        <v>Online</v>
      </c>
      <c r="I159" s="2" t="str">
        <f aca="false">PROPER(TRIM(Raw_Data!I159))</f>
        <v>Returned</v>
      </c>
      <c r="J159" s="2" t="str">
        <f aca="false">TRIM(UPPER(Raw_Data!J159))</f>
        <v>TRK71227815</v>
      </c>
      <c r="K159" s="2" t="n">
        <f aca="false">Raw_Data!K159</f>
        <v>4</v>
      </c>
      <c r="L159" s="2" t="str">
        <f aca="false">IF(TRIM(Raw_Data!L159)="","No Coupon",TRIM(UPPER(Raw_Data!L159)))</f>
        <v>WINTER15</v>
      </c>
      <c r="M159" s="2" t="str">
        <f aca="false">PROPER(TRIM(Raw_Data!M159))</f>
        <v>Facebook</v>
      </c>
      <c r="N159" s="4" t="n">
        <f aca="false">ROUND(E159*F159,2)</f>
        <v>1129.16</v>
      </c>
      <c r="O159" s="2" t="str">
        <f aca="false">IF(COUNTIF($A$2:$A$1201,A159)&gt;1,"DUPLICATE","Unique")</f>
        <v>Unique</v>
      </c>
      <c r="P159" s="2" t="str">
        <f aca="false">IF(L159="","MISSING","OK")</f>
        <v>OK</v>
      </c>
      <c r="Q159" s="2" t="str">
        <f aca="false">IF(ISNUMBER(B159),"OK","BAD DATE")</f>
        <v>OK</v>
      </c>
      <c r="R159" s="2" t="str">
        <f aca="false">IF(ROUND(F159,2)=F159,"OK","FIX")</f>
        <v>OK</v>
      </c>
    </row>
    <row r="160" customFormat="false" ht="15" hidden="false" customHeight="false" outlineLevel="0" collapsed="false">
      <c r="A160" s="2" t="str">
        <f aca="false">TRIM(UPPER(Raw_Data!A160))</f>
        <v>ORD200158</v>
      </c>
      <c r="B160" s="3" t="n">
        <f aca="false">IF(ISNUMBER(Raw_Data!B160),Raw_Data!B160,DATEVALUE(Raw_Data!B160))</f>
        <v>45428</v>
      </c>
      <c r="C160" s="2" t="str">
        <f aca="false">TRIM(UPPER(Raw_Data!C160))</f>
        <v>C23334</v>
      </c>
      <c r="D160" s="2" t="str">
        <f aca="false">PROPER(TRIM(Raw_Data!D160))</f>
        <v>Tablet</v>
      </c>
      <c r="E160" s="2" t="n">
        <f aca="false">Raw_Data!E160</f>
        <v>1</v>
      </c>
      <c r="F160" s="4" t="n">
        <f aca="false">ROUND(Raw_Data!F160,2)</f>
        <v>331.06</v>
      </c>
      <c r="G160" s="2" t="str">
        <f aca="false">PROPER(TRIM(Raw_Data!G160))</f>
        <v>737 Main St</v>
      </c>
      <c r="H160" s="2" t="str">
        <f aca="false">PROPER(TRIM(Raw_Data!H160))</f>
        <v>Credit Card</v>
      </c>
      <c r="I160" s="2" t="str">
        <f aca="false">PROPER(TRIM(Raw_Data!I160))</f>
        <v>Pending</v>
      </c>
      <c r="J160" s="2" t="str">
        <f aca="false">TRIM(UPPER(Raw_Data!J160))</f>
        <v>TRK46335144</v>
      </c>
      <c r="K160" s="2" t="n">
        <f aca="false">Raw_Data!K160</f>
        <v>5</v>
      </c>
      <c r="L160" s="2" t="str">
        <f aca="false">IF(TRIM(Raw_Data!L160)="","No Coupon",TRIM(UPPER(Raw_Data!L160)))</f>
        <v>WINTER15</v>
      </c>
      <c r="M160" s="2" t="str">
        <f aca="false">PROPER(TRIM(Raw_Data!M160))</f>
        <v>Instagram</v>
      </c>
      <c r="N160" s="4" t="n">
        <f aca="false">ROUND(E160*F160,2)</f>
        <v>331.06</v>
      </c>
      <c r="O160" s="2" t="str">
        <f aca="false">IF(COUNTIF($A$2:$A$1201,A160)&gt;1,"DUPLICATE","Unique")</f>
        <v>Unique</v>
      </c>
      <c r="P160" s="2" t="str">
        <f aca="false">IF(L160="","MISSING","OK")</f>
        <v>OK</v>
      </c>
      <c r="Q160" s="2" t="str">
        <f aca="false">IF(ISNUMBER(B160),"OK","BAD DATE")</f>
        <v>OK</v>
      </c>
      <c r="R160" s="2" t="str">
        <f aca="false">IF(ROUND(F160,2)=F160,"OK","FIX")</f>
        <v>OK</v>
      </c>
    </row>
    <row r="161" customFormat="false" ht="15" hidden="false" customHeight="false" outlineLevel="0" collapsed="false">
      <c r="A161" s="2" t="str">
        <f aca="false">TRIM(UPPER(Raw_Data!A161))</f>
        <v>ORD200159</v>
      </c>
      <c r="B161" s="3" t="n">
        <f aca="false">IF(ISNUMBER(Raw_Data!B161),Raw_Data!B161,DATEVALUE(Raw_Data!B161))</f>
        <v>45230</v>
      </c>
      <c r="C161" s="2" t="str">
        <f aca="false">TRIM(UPPER(Raw_Data!C161))</f>
        <v>C48965</v>
      </c>
      <c r="D161" s="2" t="str">
        <f aca="false">PROPER(TRIM(Raw_Data!D161))</f>
        <v>Printer</v>
      </c>
      <c r="E161" s="2" t="n">
        <f aca="false">Raw_Data!E161</f>
        <v>1</v>
      </c>
      <c r="F161" s="4" t="n">
        <f aca="false">ROUND(Raw_Data!F161,2)</f>
        <v>299.35</v>
      </c>
      <c r="G161" s="2" t="str">
        <f aca="false">PROPER(TRIM(Raw_Data!G161))</f>
        <v>819 Main St</v>
      </c>
      <c r="H161" s="2" t="str">
        <f aca="false">PROPER(TRIM(Raw_Data!H161))</f>
        <v>Credit Card</v>
      </c>
      <c r="I161" s="2" t="str">
        <f aca="false">PROPER(TRIM(Raw_Data!I161))</f>
        <v>Cancelled</v>
      </c>
      <c r="J161" s="2" t="str">
        <f aca="false">TRIM(UPPER(Raw_Data!J161))</f>
        <v>TRK50921780</v>
      </c>
      <c r="K161" s="2" t="n">
        <f aca="false">Raw_Data!K161</f>
        <v>5</v>
      </c>
      <c r="L161" s="2" t="str">
        <f aca="false">IF(TRIM(Raw_Data!L161)="","No Coupon",TRIM(UPPER(Raw_Data!L161)))</f>
        <v>WINTER15</v>
      </c>
      <c r="M161" s="2" t="str">
        <f aca="false">PROPER(TRIM(Raw_Data!M161))</f>
        <v>Email</v>
      </c>
      <c r="N161" s="4" t="n">
        <f aca="false">ROUND(E161*F161,2)</f>
        <v>299.35</v>
      </c>
      <c r="O161" s="2" t="str">
        <f aca="false">IF(COUNTIF($A$2:$A$1201,A161)&gt;1,"DUPLICATE","Unique")</f>
        <v>Unique</v>
      </c>
      <c r="P161" s="2" t="str">
        <f aca="false">IF(L161="","MISSING","OK")</f>
        <v>OK</v>
      </c>
      <c r="Q161" s="2" t="str">
        <f aca="false">IF(ISNUMBER(B161),"OK","BAD DATE")</f>
        <v>OK</v>
      </c>
      <c r="R161" s="2" t="str">
        <f aca="false">IF(ROUND(F161,2)=F161,"OK","FIX")</f>
        <v>OK</v>
      </c>
    </row>
    <row r="162" customFormat="false" ht="15" hidden="false" customHeight="false" outlineLevel="0" collapsed="false">
      <c r="A162" s="2" t="str">
        <f aca="false">TRIM(UPPER(Raw_Data!A162))</f>
        <v>ORD200160</v>
      </c>
      <c r="B162" s="3" t="n">
        <f aca="false">IF(ISNUMBER(Raw_Data!B162),Raw_Data!B162,DATEVALUE(Raw_Data!B162))</f>
        <v>44974</v>
      </c>
      <c r="C162" s="2" t="str">
        <f aca="false">TRIM(UPPER(Raw_Data!C162))</f>
        <v>C38669</v>
      </c>
      <c r="D162" s="2" t="str">
        <f aca="false">PROPER(TRIM(Raw_Data!D162))</f>
        <v>Monitor</v>
      </c>
      <c r="E162" s="2" t="n">
        <f aca="false">Raw_Data!E162</f>
        <v>4</v>
      </c>
      <c r="F162" s="4" t="n">
        <f aca="false">ROUND(Raw_Data!F162,2)</f>
        <v>101.32</v>
      </c>
      <c r="G162" s="2" t="str">
        <f aca="false">PROPER(TRIM(Raw_Data!G162))</f>
        <v>240 Main St</v>
      </c>
      <c r="H162" s="2" t="str">
        <f aca="false">PROPER(TRIM(Raw_Data!H162))</f>
        <v>Cash</v>
      </c>
      <c r="I162" s="2" t="str">
        <f aca="false">PROPER(TRIM(Raw_Data!I162))</f>
        <v>Pending</v>
      </c>
      <c r="J162" s="2" t="str">
        <f aca="false">TRIM(UPPER(Raw_Data!J162))</f>
        <v>TRK81738254</v>
      </c>
      <c r="K162" s="2" t="n">
        <f aca="false">Raw_Data!K162</f>
        <v>7</v>
      </c>
      <c r="L162" s="2" t="str">
        <f aca="false">IF(TRIM(Raw_Data!L162)="","No Coupon",TRIM(UPPER(Raw_Data!L162)))</f>
        <v>No Coupon</v>
      </c>
      <c r="M162" s="2" t="str">
        <f aca="false">PROPER(TRIM(Raw_Data!M162))</f>
        <v>Referral</v>
      </c>
      <c r="N162" s="4" t="n">
        <f aca="false">ROUND(E162*F162,2)</f>
        <v>405.28</v>
      </c>
      <c r="O162" s="2" t="str">
        <f aca="false">IF(COUNTIF($A$2:$A$1201,A162)&gt;1,"DUPLICATE","Unique")</f>
        <v>Unique</v>
      </c>
      <c r="P162" s="2" t="str">
        <f aca="false">IF(L162="","MISSING","OK")</f>
        <v>OK</v>
      </c>
      <c r="Q162" s="2" t="str">
        <f aca="false">IF(ISNUMBER(B162),"OK","BAD DATE")</f>
        <v>OK</v>
      </c>
      <c r="R162" s="2" t="str">
        <f aca="false">IF(ROUND(F162,2)=F162,"OK","FIX")</f>
        <v>OK</v>
      </c>
    </row>
    <row r="163" customFormat="false" ht="15" hidden="false" customHeight="false" outlineLevel="0" collapsed="false">
      <c r="A163" s="2" t="str">
        <f aca="false">TRIM(UPPER(Raw_Data!A163))</f>
        <v>ORD200161</v>
      </c>
      <c r="B163" s="3" t="n">
        <f aca="false">IF(ISNUMBER(Raw_Data!B163),Raw_Data!B163,DATEVALUE(Raw_Data!B163))</f>
        <v>45380</v>
      </c>
      <c r="C163" s="2" t="str">
        <f aca="false">TRIM(UPPER(Raw_Data!C163))</f>
        <v>C35091</v>
      </c>
      <c r="D163" s="2" t="str">
        <f aca="false">PROPER(TRIM(Raw_Data!D163))</f>
        <v>Monitor</v>
      </c>
      <c r="E163" s="2" t="n">
        <f aca="false">Raw_Data!E163</f>
        <v>1</v>
      </c>
      <c r="F163" s="4" t="n">
        <f aca="false">ROUND(Raw_Data!F163,2)</f>
        <v>211.14</v>
      </c>
      <c r="G163" s="2" t="str">
        <f aca="false">PROPER(TRIM(Raw_Data!G163))</f>
        <v>513 Main St</v>
      </c>
      <c r="H163" s="2" t="str">
        <f aca="false">PROPER(TRIM(Raw_Data!H163))</f>
        <v>Credit Card</v>
      </c>
      <c r="I163" s="2" t="str">
        <f aca="false">PROPER(TRIM(Raw_Data!I163))</f>
        <v>Cancelled</v>
      </c>
      <c r="J163" s="2" t="str">
        <f aca="false">TRIM(UPPER(Raw_Data!J163))</f>
        <v>TRK53784452</v>
      </c>
      <c r="K163" s="2" t="n">
        <f aca="false">Raw_Data!K163</f>
        <v>1</v>
      </c>
      <c r="L163" s="2" t="str">
        <f aca="false">IF(TRIM(Raw_Data!L163)="","No Coupon",TRIM(UPPER(Raw_Data!L163)))</f>
        <v>SAVE10</v>
      </c>
      <c r="M163" s="2" t="str">
        <f aca="false">PROPER(TRIM(Raw_Data!M163))</f>
        <v>Facebook</v>
      </c>
      <c r="N163" s="4" t="n">
        <f aca="false">ROUND(E163*F163,2)</f>
        <v>211.14</v>
      </c>
      <c r="O163" s="2" t="str">
        <f aca="false">IF(COUNTIF($A$2:$A$1201,A163)&gt;1,"DUPLICATE","Unique")</f>
        <v>Unique</v>
      </c>
      <c r="P163" s="2" t="str">
        <f aca="false">IF(L163="","MISSING","OK")</f>
        <v>OK</v>
      </c>
      <c r="Q163" s="2" t="str">
        <f aca="false">IF(ISNUMBER(B163),"OK","BAD DATE")</f>
        <v>OK</v>
      </c>
      <c r="R163" s="2" t="str">
        <f aca="false">IF(ROUND(F163,2)=F163,"OK","FIX")</f>
        <v>OK</v>
      </c>
    </row>
    <row r="164" customFormat="false" ht="15" hidden="false" customHeight="false" outlineLevel="0" collapsed="false">
      <c r="A164" s="2" t="str">
        <f aca="false">TRIM(UPPER(Raw_Data!A164))</f>
        <v>ORD200162</v>
      </c>
      <c r="B164" s="3" t="n">
        <f aca="false">IF(ISNUMBER(Raw_Data!B164),Raw_Data!B164,DATEVALUE(Raw_Data!B164))</f>
        <v>45134</v>
      </c>
      <c r="C164" s="2" t="str">
        <f aca="false">TRIM(UPPER(Raw_Data!C164))</f>
        <v>C82313</v>
      </c>
      <c r="D164" s="2" t="str">
        <f aca="false">PROPER(TRIM(Raw_Data!D164))</f>
        <v>Chair</v>
      </c>
      <c r="E164" s="2" t="n">
        <f aca="false">Raw_Data!E164</f>
        <v>3</v>
      </c>
      <c r="F164" s="4" t="n">
        <f aca="false">ROUND(Raw_Data!F164,2)</f>
        <v>65.86</v>
      </c>
      <c r="G164" s="2" t="str">
        <f aca="false">PROPER(TRIM(Raw_Data!G164))</f>
        <v>917 Main St</v>
      </c>
      <c r="H164" s="2" t="str">
        <f aca="false">PROPER(TRIM(Raw_Data!H164))</f>
        <v>Online</v>
      </c>
      <c r="I164" s="2" t="str">
        <f aca="false">PROPER(TRIM(Raw_Data!I164))</f>
        <v>Pending</v>
      </c>
      <c r="J164" s="2" t="str">
        <f aca="false">TRIM(UPPER(Raw_Data!J164))</f>
        <v>TRK79854624</v>
      </c>
      <c r="K164" s="2" t="n">
        <f aca="false">Raw_Data!K164</f>
        <v>8</v>
      </c>
      <c r="L164" s="2" t="str">
        <f aca="false">IF(TRIM(Raw_Data!L164)="","No Coupon",TRIM(UPPER(Raw_Data!L164)))</f>
        <v>WINTER15</v>
      </c>
      <c r="M164" s="2" t="str">
        <f aca="false">PROPER(TRIM(Raw_Data!M164))</f>
        <v>Google</v>
      </c>
      <c r="N164" s="4" t="n">
        <f aca="false">ROUND(E164*F164,2)</f>
        <v>197.58</v>
      </c>
      <c r="O164" s="2" t="str">
        <f aca="false">IF(COUNTIF($A$2:$A$1201,A164)&gt;1,"DUPLICATE","Unique")</f>
        <v>Unique</v>
      </c>
      <c r="P164" s="2" t="str">
        <f aca="false">IF(L164="","MISSING","OK")</f>
        <v>OK</v>
      </c>
      <c r="Q164" s="2" t="str">
        <f aca="false">IF(ISNUMBER(B164),"OK","BAD DATE")</f>
        <v>OK</v>
      </c>
      <c r="R164" s="2" t="str">
        <f aca="false">IF(ROUND(F164,2)=F164,"OK","FIX")</f>
        <v>OK</v>
      </c>
    </row>
    <row r="165" customFormat="false" ht="15" hidden="false" customHeight="false" outlineLevel="0" collapsed="false">
      <c r="A165" s="2" t="str">
        <f aca="false">TRIM(UPPER(Raw_Data!A165))</f>
        <v>ORD200163</v>
      </c>
      <c r="B165" s="3" t="n">
        <f aca="false">IF(ISNUMBER(Raw_Data!B165),Raw_Data!B165,DATEVALUE(Raw_Data!B165))</f>
        <v>45832</v>
      </c>
      <c r="C165" s="2" t="str">
        <f aca="false">TRIM(UPPER(Raw_Data!C165))</f>
        <v>C99589</v>
      </c>
      <c r="D165" s="2" t="str">
        <f aca="false">PROPER(TRIM(Raw_Data!D165))</f>
        <v>Tablet</v>
      </c>
      <c r="E165" s="2" t="n">
        <f aca="false">Raw_Data!E165</f>
        <v>1</v>
      </c>
      <c r="F165" s="4" t="n">
        <f aca="false">ROUND(Raw_Data!F165,2)</f>
        <v>641.39</v>
      </c>
      <c r="G165" s="2" t="str">
        <f aca="false">PROPER(TRIM(Raw_Data!G165))</f>
        <v>277 Main St</v>
      </c>
      <c r="H165" s="2" t="str">
        <f aca="false">PROPER(TRIM(Raw_Data!H165))</f>
        <v>Online</v>
      </c>
      <c r="I165" s="2" t="str">
        <f aca="false">PROPER(TRIM(Raw_Data!I165))</f>
        <v>Cancelled</v>
      </c>
      <c r="J165" s="2" t="str">
        <f aca="false">TRIM(UPPER(Raw_Data!J165))</f>
        <v>TRK16695001</v>
      </c>
      <c r="K165" s="2" t="n">
        <f aca="false">Raw_Data!K165</f>
        <v>1</v>
      </c>
      <c r="L165" s="2" t="str">
        <f aca="false">IF(TRIM(Raw_Data!L165)="","No Coupon",TRIM(UPPER(Raw_Data!L165)))</f>
        <v>No Coupon</v>
      </c>
      <c r="M165" s="2" t="str">
        <f aca="false">PROPER(TRIM(Raw_Data!M165))</f>
        <v>Referral</v>
      </c>
      <c r="N165" s="4" t="n">
        <f aca="false">ROUND(E165*F165,2)</f>
        <v>641.39</v>
      </c>
      <c r="O165" s="2" t="str">
        <f aca="false">IF(COUNTIF($A$2:$A$1201,A165)&gt;1,"DUPLICATE","Unique")</f>
        <v>Unique</v>
      </c>
      <c r="P165" s="2" t="str">
        <f aca="false">IF(L165="","MISSING","OK")</f>
        <v>OK</v>
      </c>
      <c r="Q165" s="2" t="str">
        <f aca="false">IF(ISNUMBER(B165),"OK","BAD DATE")</f>
        <v>OK</v>
      </c>
      <c r="R165" s="2" t="str">
        <f aca="false">IF(ROUND(F165,2)=F165,"OK","FIX")</f>
        <v>OK</v>
      </c>
    </row>
    <row r="166" customFormat="false" ht="15" hidden="false" customHeight="false" outlineLevel="0" collapsed="false">
      <c r="A166" s="2" t="str">
        <f aca="false">TRIM(UPPER(Raw_Data!A166))</f>
        <v>ORD200164</v>
      </c>
      <c r="B166" s="3" t="n">
        <f aca="false">IF(ISNUMBER(Raw_Data!B166),Raw_Data!B166,DATEVALUE(Raw_Data!B166))</f>
        <v>45288</v>
      </c>
      <c r="C166" s="2" t="str">
        <f aca="false">TRIM(UPPER(Raw_Data!C166))</f>
        <v>C70566</v>
      </c>
      <c r="D166" s="2" t="str">
        <f aca="false">PROPER(TRIM(Raw_Data!D166))</f>
        <v>Desk</v>
      </c>
      <c r="E166" s="2" t="n">
        <f aca="false">Raw_Data!E166</f>
        <v>5</v>
      </c>
      <c r="F166" s="4" t="n">
        <f aca="false">ROUND(Raw_Data!F166,2)</f>
        <v>536.58</v>
      </c>
      <c r="G166" s="2" t="str">
        <f aca="false">PROPER(TRIM(Raw_Data!G166))</f>
        <v>667 Main St</v>
      </c>
      <c r="H166" s="2" t="str">
        <f aca="false">PROPER(TRIM(Raw_Data!H166))</f>
        <v>Gift Card</v>
      </c>
      <c r="I166" s="2" t="str">
        <f aca="false">PROPER(TRIM(Raw_Data!I166))</f>
        <v>Pending</v>
      </c>
      <c r="J166" s="2" t="str">
        <f aca="false">TRIM(UPPER(Raw_Data!J166))</f>
        <v>TRK49673411</v>
      </c>
      <c r="K166" s="2" t="n">
        <f aca="false">Raw_Data!K166</f>
        <v>5</v>
      </c>
      <c r="L166" s="2" t="str">
        <f aca="false">IF(TRIM(Raw_Data!L166)="","No Coupon",TRIM(UPPER(Raw_Data!L166)))</f>
        <v>SAVE10</v>
      </c>
      <c r="M166" s="2" t="str">
        <f aca="false">PROPER(TRIM(Raw_Data!M166))</f>
        <v>Google</v>
      </c>
      <c r="N166" s="4" t="n">
        <f aca="false">ROUND(E166*F166,2)</f>
        <v>2682.9</v>
      </c>
      <c r="O166" s="2" t="str">
        <f aca="false">IF(COUNTIF($A$2:$A$1201,A166)&gt;1,"DUPLICATE","Unique")</f>
        <v>Unique</v>
      </c>
      <c r="P166" s="2" t="str">
        <f aca="false">IF(L166="","MISSING","OK")</f>
        <v>OK</v>
      </c>
      <c r="Q166" s="2" t="str">
        <f aca="false">IF(ISNUMBER(B166),"OK","BAD DATE")</f>
        <v>OK</v>
      </c>
      <c r="R166" s="2" t="str">
        <f aca="false">IF(ROUND(F166,2)=F166,"OK","FIX")</f>
        <v>OK</v>
      </c>
    </row>
    <row r="167" customFormat="false" ht="15" hidden="false" customHeight="false" outlineLevel="0" collapsed="false">
      <c r="A167" s="2" t="str">
        <f aca="false">TRIM(UPPER(Raw_Data!A167))</f>
        <v>ORD200165</v>
      </c>
      <c r="B167" s="3" t="n">
        <f aca="false">IF(ISNUMBER(Raw_Data!B167),Raw_Data!B167,DATEVALUE(Raw_Data!B167))</f>
        <v>45549</v>
      </c>
      <c r="C167" s="2" t="str">
        <f aca="false">TRIM(UPPER(Raw_Data!C167))</f>
        <v>C60355</v>
      </c>
      <c r="D167" s="2" t="str">
        <f aca="false">PROPER(TRIM(Raw_Data!D167))</f>
        <v>Monitor</v>
      </c>
      <c r="E167" s="2" t="n">
        <f aca="false">Raw_Data!E167</f>
        <v>2</v>
      </c>
      <c r="F167" s="4" t="n">
        <f aca="false">ROUND(Raw_Data!F167,2)</f>
        <v>500.29</v>
      </c>
      <c r="G167" s="2" t="str">
        <f aca="false">PROPER(TRIM(Raw_Data!G167))</f>
        <v>226 Main St</v>
      </c>
      <c r="H167" s="2" t="str">
        <f aca="false">PROPER(TRIM(Raw_Data!H167))</f>
        <v>Online</v>
      </c>
      <c r="I167" s="2" t="str">
        <f aca="false">PROPER(TRIM(Raw_Data!I167))</f>
        <v>Returned</v>
      </c>
      <c r="J167" s="2" t="str">
        <f aca="false">TRIM(UPPER(Raw_Data!J167))</f>
        <v>TRK30155194</v>
      </c>
      <c r="K167" s="2" t="n">
        <f aca="false">Raw_Data!K167</f>
        <v>7</v>
      </c>
      <c r="L167" s="2" t="str">
        <f aca="false">IF(TRIM(Raw_Data!L167)="","No Coupon",TRIM(UPPER(Raw_Data!L167)))</f>
        <v>WINTER15</v>
      </c>
      <c r="M167" s="2" t="str">
        <f aca="false">PROPER(TRIM(Raw_Data!M167))</f>
        <v>Google</v>
      </c>
      <c r="N167" s="4" t="n">
        <f aca="false">ROUND(E167*F167,2)</f>
        <v>1000.58</v>
      </c>
      <c r="O167" s="2" t="str">
        <f aca="false">IF(COUNTIF($A$2:$A$1201,A167)&gt;1,"DUPLICATE","Unique")</f>
        <v>Unique</v>
      </c>
      <c r="P167" s="2" t="str">
        <f aca="false">IF(L167="","MISSING","OK")</f>
        <v>OK</v>
      </c>
      <c r="Q167" s="2" t="str">
        <f aca="false">IF(ISNUMBER(B167),"OK","BAD DATE")</f>
        <v>OK</v>
      </c>
      <c r="R167" s="2" t="str">
        <f aca="false">IF(ROUND(F167,2)=F167,"OK","FIX")</f>
        <v>OK</v>
      </c>
    </row>
    <row r="168" customFormat="false" ht="15" hidden="false" customHeight="false" outlineLevel="0" collapsed="false">
      <c r="A168" s="2" t="str">
        <f aca="false">TRIM(UPPER(Raw_Data!A168))</f>
        <v>ORD200166</v>
      </c>
      <c r="B168" s="3" t="n">
        <f aca="false">IF(ISNUMBER(Raw_Data!B168),Raw_Data!B168,DATEVALUE(Raw_Data!B168))</f>
        <v>45720</v>
      </c>
      <c r="C168" s="2" t="str">
        <f aca="false">TRIM(UPPER(Raw_Data!C168))</f>
        <v>C28889</v>
      </c>
      <c r="D168" s="2" t="str">
        <f aca="false">PROPER(TRIM(Raw_Data!D168))</f>
        <v>Chair</v>
      </c>
      <c r="E168" s="2" t="n">
        <f aca="false">Raw_Data!E168</f>
        <v>3</v>
      </c>
      <c r="F168" s="4" t="n">
        <f aca="false">ROUND(Raw_Data!F168,2)</f>
        <v>86.29</v>
      </c>
      <c r="G168" s="2" t="str">
        <f aca="false">PROPER(TRIM(Raw_Data!G168))</f>
        <v>565 Main St</v>
      </c>
      <c r="H168" s="2" t="str">
        <f aca="false">PROPER(TRIM(Raw_Data!H168))</f>
        <v>Cash</v>
      </c>
      <c r="I168" s="2" t="str">
        <f aca="false">PROPER(TRIM(Raw_Data!I168))</f>
        <v>Delivered</v>
      </c>
      <c r="J168" s="2" t="str">
        <f aca="false">TRIM(UPPER(Raw_Data!J168))</f>
        <v>TRK23791726</v>
      </c>
      <c r="K168" s="2" t="n">
        <f aca="false">Raw_Data!K168</f>
        <v>6</v>
      </c>
      <c r="L168" s="2" t="str">
        <f aca="false">IF(TRIM(Raw_Data!L168)="","No Coupon",TRIM(UPPER(Raw_Data!L168)))</f>
        <v>WINTER15</v>
      </c>
      <c r="M168" s="2" t="str">
        <f aca="false">PROPER(TRIM(Raw_Data!M168))</f>
        <v>Instagram</v>
      </c>
      <c r="N168" s="4" t="n">
        <f aca="false">ROUND(E168*F168,2)</f>
        <v>258.87</v>
      </c>
      <c r="O168" s="2" t="str">
        <f aca="false">IF(COUNTIF($A$2:$A$1201,A168)&gt;1,"DUPLICATE","Unique")</f>
        <v>Unique</v>
      </c>
      <c r="P168" s="2" t="str">
        <f aca="false">IF(L168="","MISSING","OK")</f>
        <v>OK</v>
      </c>
      <c r="Q168" s="2" t="str">
        <f aca="false">IF(ISNUMBER(B168),"OK","BAD DATE")</f>
        <v>OK</v>
      </c>
      <c r="R168" s="2" t="str">
        <f aca="false">IF(ROUND(F168,2)=F168,"OK","FIX")</f>
        <v>OK</v>
      </c>
    </row>
    <row r="169" customFormat="false" ht="15" hidden="false" customHeight="false" outlineLevel="0" collapsed="false">
      <c r="A169" s="2" t="str">
        <f aca="false">TRIM(UPPER(Raw_Data!A169))</f>
        <v>ORD200167</v>
      </c>
      <c r="B169" s="3" t="n">
        <f aca="false">IF(ISNUMBER(Raw_Data!B169),Raw_Data!B169,DATEVALUE(Raw_Data!B169))</f>
        <v>45073</v>
      </c>
      <c r="C169" s="2" t="str">
        <f aca="false">TRIM(UPPER(Raw_Data!C169))</f>
        <v>C88304</v>
      </c>
      <c r="D169" s="2" t="str">
        <f aca="false">PROPER(TRIM(Raw_Data!D169))</f>
        <v>Chair</v>
      </c>
      <c r="E169" s="2" t="n">
        <f aca="false">Raw_Data!E169</f>
        <v>2</v>
      </c>
      <c r="F169" s="4" t="n">
        <f aca="false">ROUND(Raw_Data!F169,2)</f>
        <v>384.14</v>
      </c>
      <c r="G169" s="2" t="str">
        <f aca="false">PROPER(TRIM(Raw_Data!G169))</f>
        <v>219 Main St</v>
      </c>
      <c r="H169" s="2" t="str">
        <f aca="false">PROPER(TRIM(Raw_Data!H169))</f>
        <v>Online</v>
      </c>
      <c r="I169" s="2" t="str">
        <f aca="false">PROPER(TRIM(Raw_Data!I169))</f>
        <v>Returned</v>
      </c>
      <c r="J169" s="2" t="str">
        <f aca="false">TRIM(UPPER(Raw_Data!J169))</f>
        <v>TRK44268941</v>
      </c>
      <c r="K169" s="2" t="n">
        <f aca="false">Raw_Data!K169</f>
        <v>2</v>
      </c>
      <c r="L169" s="2" t="str">
        <f aca="false">IF(TRIM(Raw_Data!L169)="","No Coupon",TRIM(UPPER(Raw_Data!L169)))</f>
        <v>WINTER15</v>
      </c>
      <c r="M169" s="2" t="str">
        <f aca="false">PROPER(TRIM(Raw_Data!M169))</f>
        <v>Email</v>
      </c>
      <c r="N169" s="4" t="n">
        <f aca="false">ROUND(E169*F169,2)</f>
        <v>768.28</v>
      </c>
      <c r="O169" s="2" t="str">
        <f aca="false">IF(COUNTIF($A$2:$A$1201,A169)&gt;1,"DUPLICATE","Unique")</f>
        <v>Unique</v>
      </c>
      <c r="P169" s="2" t="str">
        <f aca="false">IF(L169="","MISSING","OK")</f>
        <v>OK</v>
      </c>
      <c r="Q169" s="2" t="str">
        <f aca="false">IF(ISNUMBER(B169),"OK","BAD DATE")</f>
        <v>OK</v>
      </c>
      <c r="R169" s="2" t="str">
        <f aca="false">IF(ROUND(F169,2)=F169,"OK","FIX")</f>
        <v>OK</v>
      </c>
    </row>
    <row r="170" customFormat="false" ht="15" hidden="false" customHeight="false" outlineLevel="0" collapsed="false">
      <c r="A170" s="2" t="str">
        <f aca="false">TRIM(UPPER(Raw_Data!A170))</f>
        <v>ORD200168</v>
      </c>
      <c r="B170" s="3" t="n">
        <f aca="false">IF(ISNUMBER(Raw_Data!B170),Raw_Data!B170,DATEVALUE(Raw_Data!B170))</f>
        <v>45661</v>
      </c>
      <c r="C170" s="2" t="str">
        <f aca="false">TRIM(UPPER(Raw_Data!C170))</f>
        <v>C49517</v>
      </c>
      <c r="D170" s="2" t="str">
        <f aca="false">PROPER(TRIM(Raw_Data!D170))</f>
        <v>Printer</v>
      </c>
      <c r="E170" s="2" t="n">
        <f aca="false">Raw_Data!E170</f>
        <v>1</v>
      </c>
      <c r="F170" s="4" t="n">
        <f aca="false">ROUND(Raw_Data!F170,2)</f>
        <v>594.96</v>
      </c>
      <c r="G170" s="2" t="str">
        <f aca="false">PROPER(TRIM(Raw_Data!G170))</f>
        <v>878 Main St</v>
      </c>
      <c r="H170" s="2" t="str">
        <f aca="false">PROPER(TRIM(Raw_Data!H170))</f>
        <v>Cash</v>
      </c>
      <c r="I170" s="2" t="str">
        <f aca="false">PROPER(TRIM(Raw_Data!I170))</f>
        <v>Returned</v>
      </c>
      <c r="J170" s="2" t="str">
        <f aca="false">TRIM(UPPER(Raw_Data!J170))</f>
        <v>TRK78551375</v>
      </c>
      <c r="K170" s="2" t="n">
        <f aca="false">Raw_Data!K170</f>
        <v>6</v>
      </c>
      <c r="L170" s="2" t="str">
        <f aca="false">IF(TRIM(Raw_Data!L170)="","No Coupon",TRIM(UPPER(Raw_Data!L170)))</f>
        <v>No Coupon</v>
      </c>
      <c r="M170" s="2" t="str">
        <f aca="false">PROPER(TRIM(Raw_Data!M170))</f>
        <v>Facebook</v>
      </c>
      <c r="N170" s="4" t="n">
        <f aca="false">ROUND(E170*F170,2)</f>
        <v>594.96</v>
      </c>
      <c r="O170" s="2" t="str">
        <f aca="false">IF(COUNTIF($A$2:$A$1201,A170)&gt;1,"DUPLICATE","Unique")</f>
        <v>Unique</v>
      </c>
      <c r="P170" s="2" t="str">
        <f aca="false">IF(L170="","MISSING","OK")</f>
        <v>OK</v>
      </c>
      <c r="Q170" s="2" t="str">
        <f aca="false">IF(ISNUMBER(B170),"OK","BAD DATE")</f>
        <v>OK</v>
      </c>
      <c r="R170" s="2" t="str">
        <f aca="false">IF(ROUND(F170,2)=F170,"OK","FIX")</f>
        <v>OK</v>
      </c>
    </row>
    <row r="171" customFormat="false" ht="15" hidden="false" customHeight="false" outlineLevel="0" collapsed="false">
      <c r="A171" s="2" t="str">
        <f aca="false">TRIM(UPPER(Raw_Data!A171))</f>
        <v>ORD200169</v>
      </c>
      <c r="B171" s="3" t="n">
        <f aca="false">IF(ISNUMBER(Raw_Data!B171),Raw_Data!B171,DATEVALUE(Raw_Data!B171))</f>
        <v>45389</v>
      </c>
      <c r="C171" s="2" t="str">
        <f aca="false">TRIM(UPPER(Raw_Data!C171))</f>
        <v>C35785</v>
      </c>
      <c r="D171" s="2" t="str">
        <f aca="false">PROPER(TRIM(Raw_Data!D171))</f>
        <v>Printer</v>
      </c>
      <c r="E171" s="2" t="n">
        <f aca="false">Raw_Data!E171</f>
        <v>1</v>
      </c>
      <c r="F171" s="4" t="n">
        <f aca="false">ROUND(Raw_Data!F171,2)</f>
        <v>427.82</v>
      </c>
      <c r="G171" s="2" t="str">
        <f aca="false">PROPER(TRIM(Raw_Data!G171))</f>
        <v>732 Main St</v>
      </c>
      <c r="H171" s="2" t="str">
        <f aca="false">PROPER(TRIM(Raw_Data!H171))</f>
        <v>Online</v>
      </c>
      <c r="I171" s="2" t="str">
        <f aca="false">PROPER(TRIM(Raw_Data!I171))</f>
        <v>Delivered</v>
      </c>
      <c r="J171" s="2" t="str">
        <f aca="false">TRIM(UPPER(Raw_Data!J171))</f>
        <v>TRK78923089</v>
      </c>
      <c r="K171" s="2" t="n">
        <f aca="false">Raw_Data!K171</f>
        <v>2</v>
      </c>
      <c r="L171" s="2" t="str">
        <f aca="false">IF(TRIM(Raw_Data!L171)="","No Coupon",TRIM(UPPER(Raw_Data!L171)))</f>
        <v>WINTER15</v>
      </c>
      <c r="M171" s="2" t="str">
        <f aca="false">PROPER(TRIM(Raw_Data!M171))</f>
        <v>Email</v>
      </c>
      <c r="N171" s="4" t="n">
        <f aca="false">ROUND(E171*F171,2)</f>
        <v>427.82</v>
      </c>
      <c r="O171" s="2" t="str">
        <f aca="false">IF(COUNTIF($A$2:$A$1201,A171)&gt;1,"DUPLICATE","Unique")</f>
        <v>Unique</v>
      </c>
      <c r="P171" s="2" t="str">
        <f aca="false">IF(L171="","MISSING","OK")</f>
        <v>OK</v>
      </c>
      <c r="Q171" s="2" t="str">
        <f aca="false">IF(ISNUMBER(B171),"OK","BAD DATE")</f>
        <v>OK</v>
      </c>
      <c r="R171" s="2" t="str">
        <f aca="false">IF(ROUND(F171,2)=F171,"OK","FIX")</f>
        <v>OK</v>
      </c>
    </row>
    <row r="172" customFormat="false" ht="15" hidden="false" customHeight="false" outlineLevel="0" collapsed="false">
      <c r="A172" s="2" t="str">
        <f aca="false">TRIM(UPPER(Raw_Data!A172))</f>
        <v>ORD200170</v>
      </c>
      <c r="B172" s="3" t="n">
        <f aca="false">IF(ISNUMBER(Raw_Data!B172),Raw_Data!B172,DATEVALUE(Raw_Data!B172))</f>
        <v>45751</v>
      </c>
      <c r="C172" s="2" t="str">
        <f aca="false">TRIM(UPPER(Raw_Data!C172))</f>
        <v>C80223</v>
      </c>
      <c r="D172" s="2" t="str">
        <f aca="false">PROPER(TRIM(Raw_Data!D172))</f>
        <v>Desk</v>
      </c>
      <c r="E172" s="2" t="n">
        <f aca="false">Raw_Data!E172</f>
        <v>4</v>
      </c>
      <c r="F172" s="4" t="n">
        <f aca="false">ROUND(Raw_Data!F172,2)</f>
        <v>662.94</v>
      </c>
      <c r="G172" s="2" t="str">
        <f aca="false">PROPER(TRIM(Raw_Data!G172))</f>
        <v>535 Main St</v>
      </c>
      <c r="H172" s="2" t="str">
        <f aca="false">PROPER(TRIM(Raw_Data!H172))</f>
        <v>Cash</v>
      </c>
      <c r="I172" s="2" t="str">
        <f aca="false">PROPER(TRIM(Raw_Data!I172))</f>
        <v>Cancelled</v>
      </c>
      <c r="J172" s="2" t="str">
        <f aca="false">TRIM(UPPER(Raw_Data!J172))</f>
        <v>TRK68632951</v>
      </c>
      <c r="K172" s="2" t="n">
        <f aca="false">Raw_Data!K172</f>
        <v>8</v>
      </c>
      <c r="L172" s="2" t="str">
        <f aca="false">IF(TRIM(Raw_Data!L172)="","No Coupon",TRIM(UPPER(Raw_Data!L172)))</f>
        <v>SAVE10</v>
      </c>
      <c r="M172" s="2" t="str">
        <f aca="false">PROPER(TRIM(Raw_Data!M172))</f>
        <v>Instagram</v>
      </c>
      <c r="N172" s="4" t="n">
        <f aca="false">ROUND(E172*F172,2)</f>
        <v>2651.76</v>
      </c>
      <c r="O172" s="2" t="str">
        <f aca="false">IF(COUNTIF($A$2:$A$1201,A172)&gt;1,"DUPLICATE","Unique")</f>
        <v>Unique</v>
      </c>
      <c r="P172" s="2" t="str">
        <f aca="false">IF(L172="","MISSING","OK")</f>
        <v>OK</v>
      </c>
      <c r="Q172" s="2" t="str">
        <f aca="false">IF(ISNUMBER(B172),"OK","BAD DATE")</f>
        <v>OK</v>
      </c>
      <c r="R172" s="2" t="str">
        <f aca="false">IF(ROUND(F172,2)=F172,"OK","FIX")</f>
        <v>OK</v>
      </c>
    </row>
    <row r="173" customFormat="false" ht="15" hidden="false" customHeight="false" outlineLevel="0" collapsed="false">
      <c r="A173" s="2" t="str">
        <f aca="false">TRIM(UPPER(Raw_Data!A173))</f>
        <v>ORD200171</v>
      </c>
      <c r="B173" s="3" t="n">
        <f aca="false">IF(ISNUMBER(Raw_Data!B173),Raw_Data!B173,DATEVALUE(Raw_Data!B173))</f>
        <v>45153</v>
      </c>
      <c r="C173" s="2" t="str">
        <f aca="false">TRIM(UPPER(Raw_Data!C173))</f>
        <v>C20448</v>
      </c>
      <c r="D173" s="2" t="str">
        <f aca="false">PROPER(TRIM(Raw_Data!D173))</f>
        <v>Tablet</v>
      </c>
      <c r="E173" s="2" t="n">
        <f aca="false">Raw_Data!E173</f>
        <v>2</v>
      </c>
      <c r="F173" s="4" t="n">
        <f aca="false">ROUND(Raw_Data!F173,2)</f>
        <v>148.22</v>
      </c>
      <c r="G173" s="2" t="str">
        <f aca="false">PROPER(TRIM(Raw_Data!G173))</f>
        <v>336 Main St</v>
      </c>
      <c r="H173" s="2" t="str">
        <f aca="false">PROPER(TRIM(Raw_Data!H173))</f>
        <v>Credit Card</v>
      </c>
      <c r="I173" s="2" t="str">
        <f aca="false">PROPER(TRIM(Raw_Data!I173))</f>
        <v>Delivered</v>
      </c>
      <c r="J173" s="2" t="str">
        <f aca="false">TRIM(UPPER(Raw_Data!J173))</f>
        <v>TRK67379895</v>
      </c>
      <c r="K173" s="2" t="n">
        <f aca="false">Raw_Data!K173</f>
        <v>7</v>
      </c>
      <c r="L173" s="2" t="str">
        <f aca="false">IF(TRIM(Raw_Data!L173)="","No Coupon",TRIM(UPPER(Raw_Data!L173)))</f>
        <v>WINTER15</v>
      </c>
      <c r="M173" s="2" t="str">
        <f aca="false">PROPER(TRIM(Raw_Data!M173))</f>
        <v>Instagram</v>
      </c>
      <c r="N173" s="4" t="n">
        <f aca="false">ROUND(E173*F173,2)</f>
        <v>296.44</v>
      </c>
      <c r="O173" s="2" t="str">
        <f aca="false">IF(COUNTIF($A$2:$A$1201,A173)&gt;1,"DUPLICATE","Unique")</f>
        <v>Unique</v>
      </c>
      <c r="P173" s="2" t="str">
        <f aca="false">IF(L173="","MISSING","OK")</f>
        <v>OK</v>
      </c>
      <c r="Q173" s="2" t="str">
        <f aca="false">IF(ISNUMBER(B173),"OK","BAD DATE")</f>
        <v>OK</v>
      </c>
      <c r="R173" s="2" t="str">
        <f aca="false">IF(ROUND(F173,2)=F173,"OK","FIX")</f>
        <v>OK</v>
      </c>
    </row>
    <row r="174" customFormat="false" ht="15" hidden="false" customHeight="false" outlineLevel="0" collapsed="false">
      <c r="A174" s="2" t="str">
        <f aca="false">TRIM(UPPER(Raw_Data!A174))</f>
        <v>ORD200172</v>
      </c>
      <c r="B174" s="3" t="n">
        <f aca="false">IF(ISNUMBER(Raw_Data!B174),Raw_Data!B174,DATEVALUE(Raw_Data!B174))</f>
        <v>45753</v>
      </c>
      <c r="C174" s="2" t="str">
        <f aca="false">TRIM(UPPER(Raw_Data!C174))</f>
        <v>C34134</v>
      </c>
      <c r="D174" s="2" t="str">
        <f aca="false">PROPER(TRIM(Raw_Data!D174))</f>
        <v>Printer</v>
      </c>
      <c r="E174" s="2" t="n">
        <f aca="false">Raw_Data!E174</f>
        <v>1</v>
      </c>
      <c r="F174" s="4" t="n">
        <f aca="false">ROUND(Raw_Data!F174,2)</f>
        <v>254.12</v>
      </c>
      <c r="G174" s="2" t="str">
        <f aca="false">PROPER(TRIM(Raw_Data!G174))</f>
        <v>365 Main St</v>
      </c>
      <c r="H174" s="2" t="str">
        <f aca="false">PROPER(TRIM(Raw_Data!H174))</f>
        <v>Online</v>
      </c>
      <c r="I174" s="2" t="str">
        <f aca="false">PROPER(TRIM(Raw_Data!I174))</f>
        <v>Delivered</v>
      </c>
      <c r="J174" s="2" t="str">
        <f aca="false">TRIM(UPPER(Raw_Data!J174))</f>
        <v>TRK43074303</v>
      </c>
      <c r="K174" s="2" t="n">
        <f aca="false">Raw_Data!K174</f>
        <v>1</v>
      </c>
      <c r="L174" s="2" t="str">
        <f aca="false">IF(TRIM(Raw_Data!L174)="","No Coupon",TRIM(UPPER(Raw_Data!L174)))</f>
        <v>WINTER15</v>
      </c>
      <c r="M174" s="2" t="str">
        <f aca="false">PROPER(TRIM(Raw_Data!M174))</f>
        <v>Email</v>
      </c>
      <c r="N174" s="4" t="n">
        <f aca="false">ROUND(E174*F174,2)</f>
        <v>254.12</v>
      </c>
      <c r="O174" s="2" t="str">
        <f aca="false">IF(COUNTIF($A$2:$A$1201,A174)&gt;1,"DUPLICATE","Unique")</f>
        <v>Unique</v>
      </c>
      <c r="P174" s="2" t="str">
        <f aca="false">IF(L174="","MISSING","OK")</f>
        <v>OK</v>
      </c>
      <c r="Q174" s="2" t="str">
        <f aca="false">IF(ISNUMBER(B174),"OK","BAD DATE")</f>
        <v>OK</v>
      </c>
      <c r="R174" s="2" t="str">
        <f aca="false">IF(ROUND(F174,2)=F174,"OK","FIX")</f>
        <v>OK</v>
      </c>
    </row>
    <row r="175" customFormat="false" ht="15" hidden="false" customHeight="false" outlineLevel="0" collapsed="false">
      <c r="A175" s="2" t="str">
        <f aca="false">TRIM(UPPER(Raw_Data!A175))</f>
        <v>ORD200173</v>
      </c>
      <c r="B175" s="3" t="n">
        <f aca="false">IF(ISNUMBER(Raw_Data!B175),Raw_Data!B175,DATEVALUE(Raw_Data!B175))</f>
        <v>45375</v>
      </c>
      <c r="C175" s="2" t="str">
        <f aca="false">TRIM(UPPER(Raw_Data!C175))</f>
        <v>C95901</v>
      </c>
      <c r="D175" s="2" t="str">
        <f aca="false">PROPER(TRIM(Raw_Data!D175))</f>
        <v>Phone</v>
      </c>
      <c r="E175" s="2" t="n">
        <f aca="false">Raw_Data!E175</f>
        <v>3</v>
      </c>
      <c r="F175" s="4" t="n">
        <f aca="false">ROUND(Raw_Data!F175,2)</f>
        <v>664.46</v>
      </c>
      <c r="G175" s="2" t="str">
        <f aca="false">PROPER(TRIM(Raw_Data!G175))</f>
        <v>806 Main St</v>
      </c>
      <c r="H175" s="2" t="str">
        <f aca="false">PROPER(TRIM(Raw_Data!H175))</f>
        <v>Online</v>
      </c>
      <c r="I175" s="2" t="str">
        <f aca="false">PROPER(TRIM(Raw_Data!I175))</f>
        <v>Delivered</v>
      </c>
      <c r="J175" s="2" t="str">
        <f aca="false">TRIM(UPPER(Raw_Data!J175))</f>
        <v>TRK56989066</v>
      </c>
      <c r="K175" s="2" t="n">
        <f aca="false">Raw_Data!K175</f>
        <v>4</v>
      </c>
      <c r="L175" s="2" t="str">
        <f aca="false">IF(TRIM(Raw_Data!L175)="","No Coupon",TRIM(UPPER(Raw_Data!L175)))</f>
        <v>FREESHIP</v>
      </c>
      <c r="M175" s="2" t="str">
        <f aca="false">PROPER(TRIM(Raw_Data!M175))</f>
        <v>Google</v>
      </c>
      <c r="N175" s="4" t="n">
        <f aca="false">ROUND(E175*F175,2)</f>
        <v>1993.38</v>
      </c>
      <c r="O175" s="2" t="str">
        <f aca="false">IF(COUNTIF($A$2:$A$1201,A175)&gt;1,"DUPLICATE","Unique")</f>
        <v>Unique</v>
      </c>
      <c r="P175" s="2" t="str">
        <f aca="false">IF(L175="","MISSING","OK")</f>
        <v>OK</v>
      </c>
      <c r="Q175" s="2" t="str">
        <f aca="false">IF(ISNUMBER(B175),"OK","BAD DATE")</f>
        <v>OK</v>
      </c>
      <c r="R175" s="2" t="str">
        <f aca="false">IF(ROUND(F175,2)=F175,"OK","FIX")</f>
        <v>OK</v>
      </c>
    </row>
    <row r="176" customFormat="false" ht="15" hidden="false" customHeight="false" outlineLevel="0" collapsed="false">
      <c r="A176" s="2" t="str">
        <f aca="false">TRIM(UPPER(Raw_Data!A176))</f>
        <v>ORD200174</v>
      </c>
      <c r="B176" s="3" t="n">
        <f aca="false">IF(ISNUMBER(Raw_Data!B176),Raw_Data!B176,DATEVALUE(Raw_Data!B176))</f>
        <v>45398</v>
      </c>
      <c r="C176" s="2" t="str">
        <f aca="false">TRIM(UPPER(Raw_Data!C176))</f>
        <v>C51145</v>
      </c>
      <c r="D176" s="2" t="str">
        <f aca="false">PROPER(TRIM(Raw_Data!D176))</f>
        <v>Printer</v>
      </c>
      <c r="E176" s="2" t="n">
        <f aca="false">Raw_Data!E176</f>
        <v>4</v>
      </c>
      <c r="F176" s="4" t="n">
        <f aca="false">ROUND(Raw_Data!F176,2)</f>
        <v>600.81</v>
      </c>
      <c r="G176" s="2" t="str">
        <f aca="false">PROPER(TRIM(Raw_Data!G176))</f>
        <v>790 Main St</v>
      </c>
      <c r="H176" s="2" t="str">
        <f aca="false">PROPER(TRIM(Raw_Data!H176))</f>
        <v>Debit Card</v>
      </c>
      <c r="I176" s="2" t="str">
        <f aca="false">PROPER(TRIM(Raw_Data!I176))</f>
        <v>Delivered</v>
      </c>
      <c r="J176" s="2" t="str">
        <f aca="false">TRIM(UPPER(Raw_Data!J176))</f>
        <v>TRK59154274</v>
      </c>
      <c r="K176" s="2" t="n">
        <f aca="false">Raw_Data!K176</f>
        <v>9</v>
      </c>
      <c r="L176" s="2" t="str">
        <f aca="false">IF(TRIM(Raw_Data!L176)="","No Coupon",TRIM(UPPER(Raw_Data!L176)))</f>
        <v>SAVE10</v>
      </c>
      <c r="M176" s="2" t="str">
        <f aca="false">PROPER(TRIM(Raw_Data!M176))</f>
        <v>Email</v>
      </c>
      <c r="N176" s="4" t="n">
        <f aca="false">ROUND(E176*F176,2)</f>
        <v>2403.24</v>
      </c>
      <c r="O176" s="2" t="str">
        <f aca="false">IF(COUNTIF($A$2:$A$1201,A176)&gt;1,"DUPLICATE","Unique")</f>
        <v>Unique</v>
      </c>
      <c r="P176" s="2" t="str">
        <f aca="false">IF(L176="","MISSING","OK")</f>
        <v>OK</v>
      </c>
      <c r="Q176" s="2" t="str">
        <f aca="false">IF(ISNUMBER(B176),"OK","BAD DATE")</f>
        <v>OK</v>
      </c>
      <c r="R176" s="2" t="str">
        <f aca="false">IF(ROUND(F176,2)=F176,"OK","FIX")</f>
        <v>OK</v>
      </c>
    </row>
    <row r="177" customFormat="false" ht="15" hidden="false" customHeight="false" outlineLevel="0" collapsed="false">
      <c r="A177" s="2" t="str">
        <f aca="false">TRIM(UPPER(Raw_Data!A177))</f>
        <v>ORD200175</v>
      </c>
      <c r="B177" s="3" t="n">
        <f aca="false">IF(ISNUMBER(Raw_Data!B177),Raw_Data!B177,DATEVALUE(Raw_Data!B177))</f>
        <v>45696</v>
      </c>
      <c r="C177" s="2" t="str">
        <f aca="false">TRIM(UPPER(Raw_Data!C177))</f>
        <v>C78170</v>
      </c>
      <c r="D177" s="2" t="str">
        <f aca="false">PROPER(TRIM(Raw_Data!D177))</f>
        <v>Chair</v>
      </c>
      <c r="E177" s="2" t="n">
        <f aca="false">Raw_Data!E177</f>
        <v>5</v>
      </c>
      <c r="F177" s="4" t="n">
        <f aca="false">ROUND(Raw_Data!F177,2)</f>
        <v>68.34</v>
      </c>
      <c r="G177" s="2" t="str">
        <f aca="false">PROPER(TRIM(Raw_Data!G177))</f>
        <v>332 Main St</v>
      </c>
      <c r="H177" s="2" t="str">
        <f aca="false">PROPER(TRIM(Raw_Data!H177))</f>
        <v>Debit Card</v>
      </c>
      <c r="I177" s="2" t="str">
        <f aca="false">PROPER(TRIM(Raw_Data!I177))</f>
        <v>Pending</v>
      </c>
      <c r="J177" s="2" t="str">
        <f aca="false">TRIM(UPPER(Raw_Data!J177))</f>
        <v>TRK71410605</v>
      </c>
      <c r="K177" s="2" t="n">
        <f aca="false">Raw_Data!K177</f>
        <v>6</v>
      </c>
      <c r="L177" s="2" t="str">
        <f aca="false">IF(TRIM(Raw_Data!L177)="","No Coupon",TRIM(UPPER(Raw_Data!L177)))</f>
        <v>WINTER15</v>
      </c>
      <c r="M177" s="2" t="str">
        <f aca="false">PROPER(TRIM(Raw_Data!M177))</f>
        <v>Referral</v>
      </c>
      <c r="N177" s="4" t="n">
        <f aca="false">ROUND(E177*F177,2)</f>
        <v>341.7</v>
      </c>
      <c r="O177" s="2" t="str">
        <f aca="false">IF(COUNTIF($A$2:$A$1201,A177)&gt;1,"DUPLICATE","Unique")</f>
        <v>Unique</v>
      </c>
      <c r="P177" s="2" t="str">
        <f aca="false">IF(L177="","MISSING","OK")</f>
        <v>OK</v>
      </c>
      <c r="Q177" s="2" t="str">
        <f aca="false">IF(ISNUMBER(B177),"OK","BAD DATE")</f>
        <v>OK</v>
      </c>
      <c r="R177" s="2" t="str">
        <f aca="false">IF(ROUND(F177,2)=F177,"OK","FIX")</f>
        <v>OK</v>
      </c>
    </row>
    <row r="178" customFormat="false" ht="15" hidden="false" customHeight="false" outlineLevel="0" collapsed="false">
      <c r="A178" s="2" t="str">
        <f aca="false">TRIM(UPPER(Raw_Data!A178))</f>
        <v>ORD200176</v>
      </c>
      <c r="B178" s="3" t="n">
        <f aca="false">IF(ISNUMBER(Raw_Data!B178),Raw_Data!B178,DATEVALUE(Raw_Data!B178))</f>
        <v>45836</v>
      </c>
      <c r="C178" s="2" t="str">
        <f aca="false">TRIM(UPPER(Raw_Data!C178))</f>
        <v>C80151</v>
      </c>
      <c r="D178" s="2" t="str">
        <f aca="false">PROPER(TRIM(Raw_Data!D178))</f>
        <v>Tablet</v>
      </c>
      <c r="E178" s="2" t="n">
        <f aca="false">Raw_Data!E178</f>
        <v>4</v>
      </c>
      <c r="F178" s="4" t="n">
        <f aca="false">ROUND(Raw_Data!F178,2)</f>
        <v>430.83</v>
      </c>
      <c r="G178" s="2" t="str">
        <f aca="false">PROPER(TRIM(Raw_Data!G178))</f>
        <v>553 Main St</v>
      </c>
      <c r="H178" s="2" t="str">
        <f aca="false">PROPER(TRIM(Raw_Data!H178))</f>
        <v>Gift Card</v>
      </c>
      <c r="I178" s="2" t="str">
        <f aca="false">PROPER(TRIM(Raw_Data!I178))</f>
        <v>Pending</v>
      </c>
      <c r="J178" s="2" t="str">
        <f aca="false">TRIM(UPPER(Raw_Data!J178))</f>
        <v>TRK88251529</v>
      </c>
      <c r="K178" s="2" t="n">
        <f aca="false">Raw_Data!K178</f>
        <v>8</v>
      </c>
      <c r="L178" s="2" t="str">
        <f aca="false">IF(TRIM(Raw_Data!L178)="","No Coupon",TRIM(UPPER(Raw_Data!L178)))</f>
        <v>WINTER15</v>
      </c>
      <c r="M178" s="2" t="str">
        <f aca="false">PROPER(TRIM(Raw_Data!M178))</f>
        <v>Referral</v>
      </c>
      <c r="N178" s="4" t="n">
        <f aca="false">ROUND(E178*F178,2)</f>
        <v>1723.32</v>
      </c>
      <c r="O178" s="2" t="str">
        <f aca="false">IF(COUNTIF($A$2:$A$1201,A178)&gt;1,"DUPLICATE","Unique")</f>
        <v>Unique</v>
      </c>
      <c r="P178" s="2" t="str">
        <f aca="false">IF(L178="","MISSING","OK")</f>
        <v>OK</v>
      </c>
      <c r="Q178" s="2" t="str">
        <f aca="false">IF(ISNUMBER(B178),"OK","BAD DATE")</f>
        <v>OK</v>
      </c>
      <c r="R178" s="2" t="str">
        <f aca="false">IF(ROUND(F178,2)=F178,"OK","FIX")</f>
        <v>OK</v>
      </c>
    </row>
    <row r="179" customFormat="false" ht="15" hidden="false" customHeight="false" outlineLevel="0" collapsed="false">
      <c r="A179" s="2" t="str">
        <f aca="false">TRIM(UPPER(Raw_Data!A179))</f>
        <v>ORD200177</v>
      </c>
      <c r="B179" s="3" t="n">
        <f aca="false">IF(ISNUMBER(Raw_Data!B179),Raw_Data!B179,DATEVALUE(Raw_Data!B179))</f>
        <v>45143</v>
      </c>
      <c r="C179" s="2" t="str">
        <f aca="false">TRIM(UPPER(Raw_Data!C179))</f>
        <v>C55632</v>
      </c>
      <c r="D179" s="2" t="str">
        <f aca="false">PROPER(TRIM(Raw_Data!D179))</f>
        <v>Chair</v>
      </c>
      <c r="E179" s="2" t="n">
        <f aca="false">Raw_Data!E179</f>
        <v>5</v>
      </c>
      <c r="F179" s="4" t="n">
        <f aca="false">ROUND(Raw_Data!F179,2)</f>
        <v>431.69</v>
      </c>
      <c r="G179" s="2" t="str">
        <f aca="false">PROPER(TRIM(Raw_Data!G179))</f>
        <v>354 Main St</v>
      </c>
      <c r="H179" s="2" t="str">
        <f aca="false">PROPER(TRIM(Raw_Data!H179))</f>
        <v>Credit Card</v>
      </c>
      <c r="I179" s="2" t="str">
        <f aca="false">PROPER(TRIM(Raw_Data!I179))</f>
        <v>Pending</v>
      </c>
      <c r="J179" s="2" t="str">
        <f aca="false">TRIM(UPPER(Raw_Data!J179))</f>
        <v>TRK13003066</v>
      </c>
      <c r="K179" s="2" t="n">
        <f aca="false">Raw_Data!K179</f>
        <v>10</v>
      </c>
      <c r="L179" s="2" t="str">
        <f aca="false">IF(TRIM(Raw_Data!L179)="","No Coupon",TRIM(UPPER(Raw_Data!L179)))</f>
        <v>No Coupon</v>
      </c>
      <c r="M179" s="2" t="str">
        <f aca="false">PROPER(TRIM(Raw_Data!M179))</f>
        <v>Facebook</v>
      </c>
      <c r="N179" s="4" t="n">
        <f aca="false">ROUND(E179*F179,2)</f>
        <v>2158.45</v>
      </c>
      <c r="O179" s="2" t="str">
        <f aca="false">IF(COUNTIF($A$2:$A$1201,A179)&gt;1,"DUPLICATE","Unique")</f>
        <v>Unique</v>
      </c>
      <c r="P179" s="2" t="str">
        <f aca="false">IF(L179="","MISSING","OK")</f>
        <v>OK</v>
      </c>
      <c r="Q179" s="2" t="str">
        <f aca="false">IF(ISNUMBER(B179),"OK","BAD DATE")</f>
        <v>OK</v>
      </c>
      <c r="R179" s="2" t="str">
        <f aca="false">IF(ROUND(F179,2)=F179,"OK","FIX")</f>
        <v>OK</v>
      </c>
    </row>
    <row r="180" customFormat="false" ht="15" hidden="false" customHeight="false" outlineLevel="0" collapsed="false">
      <c r="A180" s="2" t="str">
        <f aca="false">TRIM(UPPER(Raw_Data!A180))</f>
        <v>ORD200178</v>
      </c>
      <c r="B180" s="3" t="n">
        <f aca="false">IF(ISNUMBER(Raw_Data!B180),Raw_Data!B180,DATEVALUE(Raw_Data!B180))</f>
        <v>45393</v>
      </c>
      <c r="C180" s="2" t="str">
        <f aca="false">TRIM(UPPER(Raw_Data!C180))</f>
        <v>C53070</v>
      </c>
      <c r="D180" s="2" t="str">
        <f aca="false">PROPER(TRIM(Raw_Data!D180))</f>
        <v>Chair</v>
      </c>
      <c r="E180" s="2" t="n">
        <f aca="false">Raw_Data!E180</f>
        <v>4</v>
      </c>
      <c r="F180" s="4" t="n">
        <f aca="false">ROUND(Raw_Data!F180,2)</f>
        <v>512.06</v>
      </c>
      <c r="G180" s="2" t="str">
        <f aca="false">PROPER(TRIM(Raw_Data!G180))</f>
        <v>283 Main St</v>
      </c>
      <c r="H180" s="2" t="str">
        <f aca="false">PROPER(TRIM(Raw_Data!H180))</f>
        <v>Online</v>
      </c>
      <c r="I180" s="2" t="str">
        <f aca="false">PROPER(TRIM(Raw_Data!I180))</f>
        <v>Delivered</v>
      </c>
      <c r="J180" s="2" t="str">
        <f aca="false">TRIM(UPPER(Raw_Data!J180))</f>
        <v>TRK49791755</v>
      </c>
      <c r="K180" s="2" t="n">
        <f aca="false">Raw_Data!K180</f>
        <v>5</v>
      </c>
      <c r="L180" s="2" t="str">
        <f aca="false">IF(TRIM(Raw_Data!L180)="","No Coupon",TRIM(UPPER(Raw_Data!L180)))</f>
        <v>SAVE10</v>
      </c>
      <c r="M180" s="2" t="str">
        <f aca="false">PROPER(TRIM(Raw_Data!M180))</f>
        <v>Google</v>
      </c>
      <c r="N180" s="4" t="n">
        <f aca="false">ROUND(E180*F180,2)</f>
        <v>2048.24</v>
      </c>
      <c r="O180" s="2" t="str">
        <f aca="false">IF(COUNTIF($A$2:$A$1201,A180)&gt;1,"DUPLICATE","Unique")</f>
        <v>Unique</v>
      </c>
      <c r="P180" s="2" t="str">
        <f aca="false">IF(L180="","MISSING","OK")</f>
        <v>OK</v>
      </c>
      <c r="Q180" s="2" t="str">
        <f aca="false">IF(ISNUMBER(B180),"OK","BAD DATE")</f>
        <v>OK</v>
      </c>
      <c r="R180" s="2" t="str">
        <f aca="false">IF(ROUND(F180,2)=F180,"OK","FIX")</f>
        <v>OK</v>
      </c>
    </row>
    <row r="181" customFormat="false" ht="15" hidden="false" customHeight="false" outlineLevel="0" collapsed="false">
      <c r="A181" s="2" t="str">
        <f aca="false">TRIM(UPPER(Raw_Data!A181))</f>
        <v>ORD200179</v>
      </c>
      <c r="B181" s="3" t="n">
        <f aca="false">IF(ISNUMBER(Raw_Data!B181),Raw_Data!B181,DATEVALUE(Raw_Data!B181))</f>
        <v>45620</v>
      </c>
      <c r="C181" s="2" t="str">
        <f aca="false">TRIM(UPPER(Raw_Data!C181))</f>
        <v>C27401</v>
      </c>
      <c r="D181" s="2" t="str">
        <f aca="false">PROPER(TRIM(Raw_Data!D181))</f>
        <v>Laptop</v>
      </c>
      <c r="E181" s="2" t="n">
        <f aca="false">Raw_Data!E181</f>
        <v>3</v>
      </c>
      <c r="F181" s="4" t="n">
        <f aca="false">ROUND(Raw_Data!F181,2)</f>
        <v>539.91</v>
      </c>
      <c r="G181" s="2" t="str">
        <f aca="false">PROPER(TRIM(Raw_Data!G181))</f>
        <v>500 Main St</v>
      </c>
      <c r="H181" s="2" t="str">
        <f aca="false">PROPER(TRIM(Raw_Data!H181))</f>
        <v>Credit Card</v>
      </c>
      <c r="I181" s="2" t="str">
        <f aca="false">PROPER(TRIM(Raw_Data!I181))</f>
        <v>Delivered</v>
      </c>
      <c r="J181" s="2" t="str">
        <f aca="false">TRIM(UPPER(Raw_Data!J181))</f>
        <v>TRK14332053</v>
      </c>
      <c r="K181" s="2" t="n">
        <f aca="false">Raw_Data!K181</f>
        <v>8</v>
      </c>
      <c r="L181" s="2" t="str">
        <f aca="false">IF(TRIM(Raw_Data!L181)="","No Coupon",TRIM(UPPER(Raw_Data!L181)))</f>
        <v>No Coupon</v>
      </c>
      <c r="M181" s="2" t="str">
        <f aca="false">PROPER(TRIM(Raw_Data!M181))</f>
        <v>Email</v>
      </c>
      <c r="N181" s="4" t="n">
        <f aca="false">ROUND(E181*F181,2)</f>
        <v>1619.73</v>
      </c>
      <c r="O181" s="2" t="str">
        <f aca="false">IF(COUNTIF($A$2:$A$1201,A181)&gt;1,"DUPLICATE","Unique")</f>
        <v>Unique</v>
      </c>
      <c r="P181" s="2" t="str">
        <f aca="false">IF(L181="","MISSING","OK")</f>
        <v>OK</v>
      </c>
      <c r="Q181" s="2" t="str">
        <f aca="false">IF(ISNUMBER(B181),"OK","BAD DATE")</f>
        <v>OK</v>
      </c>
      <c r="R181" s="2" t="str">
        <f aca="false">IF(ROUND(F181,2)=F181,"OK","FIX")</f>
        <v>OK</v>
      </c>
    </row>
    <row r="182" customFormat="false" ht="15" hidden="false" customHeight="false" outlineLevel="0" collapsed="false">
      <c r="A182" s="2" t="str">
        <f aca="false">TRIM(UPPER(Raw_Data!A182))</f>
        <v>ORD200180</v>
      </c>
      <c r="B182" s="3" t="n">
        <f aca="false">IF(ISNUMBER(Raw_Data!B182),Raw_Data!B182,DATEVALUE(Raw_Data!B182))</f>
        <v>45003</v>
      </c>
      <c r="C182" s="2" t="str">
        <f aca="false">TRIM(UPPER(Raw_Data!C182))</f>
        <v>C87216</v>
      </c>
      <c r="D182" s="2" t="str">
        <f aca="false">PROPER(TRIM(Raw_Data!D182))</f>
        <v>Tablet</v>
      </c>
      <c r="E182" s="2" t="n">
        <f aca="false">Raw_Data!E182</f>
        <v>5</v>
      </c>
      <c r="F182" s="4" t="n">
        <f aca="false">ROUND(Raw_Data!F182,2)</f>
        <v>316.07</v>
      </c>
      <c r="G182" s="2" t="str">
        <f aca="false">PROPER(TRIM(Raw_Data!G182))</f>
        <v>970 Main St</v>
      </c>
      <c r="H182" s="2" t="str">
        <f aca="false">PROPER(TRIM(Raw_Data!H182))</f>
        <v>Cash</v>
      </c>
      <c r="I182" s="2" t="str">
        <f aca="false">PROPER(TRIM(Raw_Data!I182))</f>
        <v>Returned</v>
      </c>
      <c r="J182" s="2" t="str">
        <f aca="false">TRIM(UPPER(Raw_Data!J182))</f>
        <v>TRK18713727</v>
      </c>
      <c r="K182" s="2" t="n">
        <f aca="false">Raw_Data!K182</f>
        <v>10</v>
      </c>
      <c r="L182" s="2" t="str">
        <f aca="false">IF(TRIM(Raw_Data!L182)="","No Coupon",TRIM(UPPER(Raw_Data!L182)))</f>
        <v>No Coupon</v>
      </c>
      <c r="M182" s="2" t="str">
        <f aca="false">PROPER(TRIM(Raw_Data!M182))</f>
        <v>Google</v>
      </c>
      <c r="N182" s="4" t="n">
        <f aca="false">ROUND(E182*F182,2)</f>
        <v>1580.35</v>
      </c>
      <c r="O182" s="2" t="str">
        <f aca="false">IF(COUNTIF($A$2:$A$1201,A182)&gt;1,"DUPLICATE","Unique")</f>
        <v>Unique</v>
      </c>
      <c r="P182" s="2" t="str">
        <f aca="false">IF(L182="","MISSING","OK")</f>
        <v>OK</v>
      </c>
      <c r="Q182" s="2" t="str">
        <f aca="false">IF(ISNUMBER(B182),"OK","BAD DATE")</f>
        <v>OK</v>
      </c>
      <c r="R182" s="2" t="str">
        <f aca="false">IF(ROUND(F182,2)=F182,"OK","FIX")</f>
        <v>OK</v>
      </c>
    </row>
    <row r="183" customFormat="false" ht="15" hidden="false" customHeight="false" outlineLevel="0" collapsed="false">
      <c r="A183" s="2" t="str">
        <f aca="false">TRIM(UPPER(Raw_Data!A183))</f>
        <v>ORD200181</v>
      </c>
      <c r="B183" s="3" t="n">
        <f aca="false">IF(ISNUMBER(Raw_Data!B183),Raw_Data!B183,DATEVALUE(Raw_Data!B183))</f>
        <v>45535</v>
      </c>
      <c r="C183" s="2" t="str">
        <f aca="false">TRIM(UPPER(Raw_Data!C183))</f>
        <v>C38966</v>
      </c>
      <c r="D183" s="2" t="str">
        <f aca="false">PROPER(TRIM(Raw_Data!D183))</f>
        <v>Printer</v>
      </c>
      <c r="E183" s="2" t="n">
        <f aca="false">Raw_Data!E183</f>
        <v>5</v>
      </c>
      <c r="F183" s="4" t="n">
        <f aca="false">ROUND(Raw_Data!F183,2)</f>
        <v>404.39</v>
      </c>
      <c r="G183" s="2" t="str">
        <f aca="false">PROPER(TRIM(Raw_Data!G183))</f>
        <v>247 Main St</v>
      </c>
      <c r="H183" s="2" t="str">
        <f aca="false">PROPER(TRIM(Raw_Data!H183))</f>
        <v>Online</v>
      </c>
      <c r="I183" s="2" t="str">
        <f aca="false">PROPER(TRIM(Raw_Data!I183))</f>
        <v>Shipped</v>
      </c>
      <c r="J183" s="2" t="str">
        <f aca="false">TRIM(UPPER(Raw_Data!J183))</f>
        <v>TRK17205146</v>
      </c>
      <c r="K183" s="2" t="n">
        <f aca="false">Raw_Data!K183</f>
        <v>10</v>
      </c>
      <c r="L183" s="2" t="str">
        <f aca="false">IF(TRIM(Raw_Data!L183)="","No Coupon",TRIM(UPPER(Raw_Data!L183)))</f>
        <v>No Coupon</v>
      </c>
      <c r="M183" s="2" t="str">
        <f aca="false">PROPER(TRIM(Raw_Data!M183))</f>
        <v>Referral</v>
      </c>
      <c r="N183" s="4" t="n">
        <f aca="false">ROUND(E183*F183,2)</f>
        <v>2021.95</v>
      </c>
      <c r="O183" s="2" t="str">
        <f aca="false">IF(COUNTIF($A$2:$A$1201,A183)&gt;1,"DUPLICATE","Unique")</f>
        <v>Unique</v>
      </c>
      <c r="P183" s="2" t="str">
        <f aca="false">IF(L183="","MISSING","OK")</f>
        <v>OK</v>
      </c>
      <c r="Q183" s="2" t="str">
        <f aca="false">IF(ISNUMBER(B183),"OK","BAD DATE")</f>
        <v>OK</v>
      </c>
      <c r="R183" s="2" t="str">
        <f aca="false">IF(ROUND(F183,2)=F183,"OK","FIX")</f>
        <v>OK</v>
      </c>
    </row>
    <row r="184" customFormat="false" ht="15" hidden="false" customHeight="false" outlineLevel="0" collapsed="false">
      <c r="A184" s="2" t="str">
        <f aca="false">TRIM(UPPER(Raw_Data!A184))</f>
        <v>ORD200182</v>
      </c>
      <c r="B184" s="3" t="n">
        <f aca="false">IF(ISNUMBER(Raw_Data!B184),Raw_Data!B184,DATEVALUE(Raw_Data!B184))</f>
        <v>45735</v>
      </c>
      <c r="C184" s="2" t="str">
        <f aca="false">TRIM(UPPER(Raw_Data!C184))</f>
        <v>C16612</v>
      </c>
      <c r="D184" s="2" t="str">
        <f aca="false">PROPER(TRIM(Raw_Data!D184))</f>
        <v>Desk</v>
      </c>
      <c r="E184" s="2" t="n">
        <f aca="false">Raw_Data!E184</f>
        <v>1</v>
      </c>
      <c r="F184" s="4" t="n">
        <f aca="false">ROUND(Raw_Data!F184,2)</f>
        <v>600.54</v>
      </c>
      <c r="G184" s="2" t="str">
        <f aca="false">PROPER(TRIM(Raw_Data!G184))</f>
        <v>596 Main St</v>
      </c>
      <c r="H184" s="2" t="str">
        <f aca="false">PROPER(TRIM(Raw_Data!H184))</f>
        <v>Debit Card</v>
      </c>
      <c r="I184" s="2" t="str">
        <f aca="false">PROPER(TRIM(Raw_Data!I184))</f>
        <v>Pending</v>
      </c>
      <c r="J184" s="2" t="str">
        <f aca="false">TRIM(UPPER(Raw_Data!J184))</f>
        <v>TRK96188223</v>
      </c>
      <c r="K184" s="2" t="n">
        <f aca="false">Raw_Data!K184</f>
        <v>4</v>
      </c>
      <c r="L184" s="2" t="str">
        <f aca="false">IF(TRIM(Raw_Data!L184)="","No Coupon",TRIM(UPPER(Raw_Data!L184)))</f>
        <v>WINTER15</v>
      </c>
      <c r="M184" s="2" t="str">
        <f aca="false">PROPER(TRIM(Raw_Data!M184))</f>
        <v>Google</v>
      </c>
      <c r="N184" s="4" t="n">
        <f aca="false">ROUND(E184*F184,2)</f>
        <v>600.54</v>
      </c>
      <c r="O184" s="2" t="str">
        <f aca="false">IF(COUNTIF($A$2:$A$1201,A184)&gt;1,"DUPLICATE","Unique")</f>
        <v>Unique</v>
      </c>
      <c r="P184" s="2" t="str">
        <f aca="false">IF(L184="","MISSING","OK")</f>
        <v>OK</v>
      </c>
      <c r="Q184" s="2" t="str">
        <f aca="false">IF(ISNUMBER(B184),"OK","BAD DATE")</f>
        <v>OK</v>
      </c>
      <c r="R184" s="2" t="str">
        <f aca="false">IF(ROUND(F184,2)=F184,"OK","FIX")</f>
        <v>OK</v>
      </c>
    </row>
    <row r="185" customFormat="false" ht="15" hidden="false" customHeight="false" outlineLevel="0" collapsed="false">
      <c r="A185" s="2" t="str">
        <f aca="false">TRIM(UPPER(Raw_Data!A185))</f>
        <v>ORD200183</v>
      </c>
      <c r="B185" s="3" t="n">
        <f aca="false">IF(ISNUMBER(Raw_Data!B185),Raw_Data!B185,DATEVALUE(Raw_Data!B185))</f>
        <v>45400</v>
      </c>
      <c r="C185" s="2" t="str">
        <f aca="false">TRIM(UPPER(Raw_Data!C185))</f>
        <v>C39246</v>
      </c>
      <c r="D185" s="2" t="str">
        <f aca="false">PROPER(TRIM(Raw_Data!D185))</f>
        <v>Monitor</v>
      </c>
      <c r="E185" s="2" t="n">
        <f aca="false">Raw_Data!E185</f>
        <v>5</v>
      </c>
      <c r="F185" s="4" t="n">
        <f aca="false">ROUND(Raw_Data!F185,2)</f>
        <v>186.28</v>
      </c>
      <c r="G185" s="2" t="str">
        <f aca="false">PROPER(TRIM(Raw_Data!G185))</f>
        <v>258 Main St</v>
      </c>
      <c r="H185" s="2" t="str">
        <f aca="false">PROPER(TRIM(Raw_Data!H185))</f>
        <v>Debit Card</v>
      </c>
      <c r="I185" s="2" t="str">
        <f aca="false">PROPER(TRIM(Raw_Data!I185))</f>
        <v>Delivered</v>
      </c>
      <c r="J185" s="2" t="str">
        <f aca="false">TRIM(UPPER(Raw_Data!J185))</f>
        <v>TRK16658182</v>
      </c>
      <c r="K185" s="2" t="n">
        <f aca="false">Raw_Data!K185</f>
        <v>8</v>
      </c>
      <c r="L185" s="2" t="str">
        <f aca="false">IF(TRIM(Raw_Data!L185)="","No Coupon",TRIM(UPPER(Raw_Data!L185)))</f>
        <v>SAVE10</v>
      </c>
      <c r="M185" s="2" t="str">
        <f aca="false">PROPER(TRIM(Raw_Data!M185))</f>
        <v>Email</v>
      </c>
      <c r="N185" s="4" t="n">
        <f aca="false">ROUND(E185*F185,2)</f>
        <v>931.4</v>
      </c>
      <c r="O185" s="2" t="str">
        <f aca="false">IF(COUNTIF($A$2:$A$1201,A185)&gt;1,"DUPLICATE","Unique")</f>
        <v>Unique</v>
      </c>
      <c r="P185" s="2" t="str">
        <f aca="false">IF(L185="","MISSING","OK")</f>
        <v>OK</v>
      </c>
      <c r="Q185" s="2" t="str">
        <f aca="false">IF(ISNUMBER(B185),"OK","BAD DATE")</f>
        <v>OK</v>
      </c>
      <c r="R185" s="2" t="str">
        <f aca="false">IF(ROUND(F185,2)=F185,"OK","FIX")</f>
        <v>OK</v>
      </c>
    </row>
    <row r="186" customFormat="false" ht="15" hidden="false" customHeight="false" outlineLevel="0" collapsed="false">
      <c r="A186" s="2" t="str">
        <f aca="false">TRIM(UPPER(Raw_Data!A186))</f>
        <v>ORD200184</v>
      </c>
      <c r="B186" s="3" t="n">
        <f aca="false">IF(ISNUMBER(Raw_Data!B186),Raw_Data!B186,DATEVALUE(Raw_Data!B186))</f>
        <v>45386</v>
      </c>
      <c r="C186" s="2" t="str">
        <f aca="false">TRIM(UPPER(Raw_Data!C186))</f>
        <v>C65180</v>
      </c>
      <c r="D186" s="2" t="str">
        <f aca="false">PROPER(TRIM(Raw_Data!D186))</f>
        <v>Tablet</v>
      </c>
      <c r="E186" s="2" t="n">
        <f aca="false">Raw_Data!E186</f>
        <v>4</v>
      </c>
      <c r="F186" s="4" t="n">
        <f aca="false">ROUND(Raw_Data!F186,2)</f>
        <v>214.54</v>
      </c>
      <c r="G186" s="2" t="str">
        <f aca="false">PROPER(TRIM(Raw_Data!G186))</f>
        <v>231 Main St</v>
      </c>
      <c r="H186" s="2" t="str">
        <f aca="false">PROPER(TRIM(Raw_Data!H186))</f>
        <v>Gift Card</v>
      </c>
      <c r="I186" s="2" t="str">
        <f aca="false">PROPER(TRIM(Raw_Data!I186))</f>
        <v>Cancelled</v>
      </c>
      <c r="J186" s="2" t="str">
        <f aca="false">TRIM(UPPER(Raw_Data!J186))</f>
        <v>TRK39255469</v>
      </c>
      <c r="K186" s="2" t="n">
        <f aca="false">Raw_Data!K186</f>
        <v>7</v>
      </c>
      <c r="L186" s="2" t="str">
        <f aca="false">IF(TRIM(Raw_Data!L186)="","No Coupon",TRIM(UPPER(Raw_Data!L186)))</f>
        <v>No Coupon</v>
      </c>
      <c r="M186" s="2" t="str">
        <f aca="false">PROPER(TRIM(Raw_Data!M186))</f>
        <v>Referral</v>
      </c>
      <c r="N186" s="4" t="n">
        <f aca="false">ROUND(E186*F186,2)</f>
        <v>858.16</v>
      </c>
      <c r="O186" s="2" t="str">
        <f aca="false">IF(COUNTIF($A$2:$A$1201,A186)&gt;1,"DUPLICATE","Unique")</f>
        <v>Unique</v>
      </c>
      <c r="P186" s="2" t="str">
        <f aca="false">IF(L186="","MISSING","OK")</f>
        <v>OK</v>
      </c>
      <c r="Q186" s="2" t="str">
        <f aca="false">IF(ISNUMBER(B186),"OK","BAD DATE")</f>
        <v>OK</v>
      </c>
      <c r="R186" s="2" t="str">
        <f aca="false">IF(ROUND(F186,2)=F186,"OK","FIX")</f>
        <v>OK</v>
      </c>
    </row>
    <row r="187" customFormat="false" ht="15" hidden="false" customHeight="false" outlineLevel="0" collapsed="false">
      <c r="A187" s="2" t="str">
        <f aca="false">TRIM(UPPER(Raw_Data!A187))</f>
        <v>ORD200185</v>
      </c>
      <c r="B187" s="3" t="n">
        <f aca="false">IF(ISNUMBER(Raw_Data!B187),Raw_Data!B187,DATEVALUE(Raw_Data!B187))</f>
        <v>45690</v>
      </c>
      <c r="C187" s="2" t="str">
        <f aca="false">TRIM(UPPER(Raw_Data!C187))</f>
        <v>C46877</v>
      </c>
      <c r="D187" s="2" t="str">
        <f aca="false">PROPER(TRIM(Raw_Data!D187))</f>
        <v>Laptop</v>
      </c>
      <c r="E187" s="2" t="n">
        <f aca="false">Raw_Data!E187</f>
        <v>1</v>
      </c>
      <c r="F187" s="4" t="n">
        <f aca="false">ROUND(Raw_Data!F187,2)</f>
        <v>210.7</v>
      </c>
      <c r="G187" s="2" t="str">
        <f aca="false">PROPER(TRIM(Raw_Data!G187))</f>
        <v>572 Main St</v>
      </c>
      <c r="H187" s="2" t="str">
        <f aca="false">PROPER(TRIM(Raw_Data!H187))</f>
        <v>Online</v>
      </c>
      <c r="I187" s="2" t="str">
        <f aca="false">PROPER(TRIM(Raw_Data!I187))</f>
        <v>Shipped</v>
      </c>
      <c r="J187" s="2" t="str">
        <f aca="false">TRIM(UPPER(Raw_Data!J187))</f>
        <v>TRK96935978</v>
      </c>
      <c r="K187" s="2" t="n">
        <f aca="false">Raw_Data!K187</f>
        <v>2</v>
      </c>
      <c r="L187" s="2" t="str">
        <f aca="false">IF(TRIM(Raw_Data!L187)="","No Coupon",TRIM(UPPER(Raw_Data!L187)))</f>
        <v>WINTER15</v>
      </c>
      <c r="M187" s="2" t="str">
        <f aca="false">PROPER(TRIM(Raw_Data!M187))</f>
        <v>Referral</v>
      </c>
      <c r="N187" s="4" t="n">
        <f aca="false">ROUND(E187*F187,2)</f>
        <v>210.7</v>
      </c>
      <c r="O187" s="2" t="str">
        <f aca="false">IF(COUNTIF($A$2:$A$1201,A187)&gt;1,"DUPLICATE","Unique")</f>
        <v>Unique</v>
      </c>
      <c r="P187" s="2" t="str">
        <f aca="false">IF(L187="","MISSING","OK")</f>
        <v>OK</v>
      </c>
      <c r="Q187" s="2" t="str">
        <f aca="false">IF(ISNUMBER(B187),"OK","BAD DATE")</f>
        <v>OK</v>
      </c>
      <c r="R187" s="2" t="str">
        <f aca="false">IF(ROUND(F187,2)=F187,"OK","FIX")</f>
        <v>OK</v>
      </c>
    </row>
    <row r="188" customFormat="false" ht="15" hidden="false" customHeight="false" outlineLevel="0" collapsed="false">
      <c r="A188" s="2" t="str">
        <f aca="false">TRIM(UPPER(Raw_Data!A188))</f>
        <v>ORD200186</v>
      </c>
      <c r="B188" s="3" t="n">
        <f aca="false">IF(ISNUMBER(Raw_Data!B188),Raw_Data!B188,DATEVALUE(Raw_Data!B188))</f>
        <v>45267</v>
      </c>
      <c r="C188" s="2" t="str">
        <f aca="false">TRIM(UPPER(Raw_Data!C188))</f>
        <v>C30334</v>
      </c>
      <c r="D188" s="2" t="str">
        <f aca="false">PROPER(TRIM(Raw_Data!D188))</f>
        <v>Phone</v>
      </c>
      <c r="E188" s="2" t="n">
        <f aca="false">Raw_Data!E188</f>
        <v>2</v>
      </c>
      <c r="F188" s="4" t="n">
        <f aca="false">ROUND(Raw_Data!F188,2)</f>
        <v>133.55</v>
      </c>
      <c r="G188" s="2" t="str">
        <f aca="false">PROPER(TRIM(Raw_Data!G188))</f>
        <v>322 Main St</v>
      </c>
      <c r="H188" s="2" t="str">
        <f aca="false">PROPER(TRIM(Raw_Data!H188))</f>
        <v>Cash</v>
      </c>
      <c r="I188" s="2" t="str">
        <f aca="false">PROPER(TRIM(Raw_Data!I188))</f>
        <v>Pending</v>
      </c>
      <c r="J188" s="2" t="str">
        <f aca="false">TRIM(UPPER(Raw_Data!J188))</f>
        <v>TRK66388885</v>
      </c>
      <c r="K188" s="2" t="n">
        <f aca="false">Raw_Data!K188</f>
        <v>7</v>
      </c>
      <c r="L188" s="2" t="str">
        <f aca="false">IF(TRIM(Raw_Data!L188)="","No Coupon",TRIM(UPPER(Raw_Data!L188)))</f>
        <v>FREESHIP</v>
      </c>
      <c r="M188" s="2" t="str">
        <f aca="false">PROPER(TRIM(Raw_Data!M188))</f>
        <v>Facebook</v>
      </c>
      <c r="N188" s="4" t="n">
        <f aca="false">ROUND(E188*F188,2)</f>
        <v>267.1</v>
      </c>
      <c r="O188" s="2" t="str">
        <f aca="false">IF(COUNTIF($A$2:$A$1201,A188)&gt;1,"DUPLICATE","Unique")</f>
        <v>Unique</v>
      </c>
      <c r="P188" s="2" t="str">
        <f aca="false">IF(L188="","MISSING","OK")</f>
        <v>OK</v>
      </c>
      <c r="Q188" s="2" t="str">
        <f aca="false">IF(ISNUMBER(B188),"OK","BAD DATE")</f>
        <v>OK</v>
      </c>
      <c r="R188" s="2" t="str">
        <f aca="false">IF(ROUND(F188,2)=F188,"OK","FIX")</f>
        <v>OK</v>
      </c>
    </row>
    <row r="189" customFormat="false" ht="15" hidden="false" customHeight="false" outlineLevel="0" collapsed="false">
      <c r="A189" s="2" t="str">
        <f aca="false">TRIM(UPPER(Raw_Data!A189))</f>
        <v>ORD200187</v>
      </c>
      <c r="B189" s="3" t="n">
        <f aca="false">IF(ISNUMBER(Raw_Data!B189),Raw_Data!B189,DATEVALUE(Raw_Data!B189))</f>
        <v>44965</v>
      </c>
      <c r="C189" s="2" t="str">
        <f aca="false">TRIM(UPPER(Raw_Data!C189))</f>
        <v>C21227</v>
      </c>
      <c r="D189" s="2" t="str">
        <f aca="false">PROPER(TRIM(Raw_Data!D189))</f>
        <v>Chair</v>
      </c>
      <c r="E189" s="2" t="n">
        <f aca="false">Raw_Data!E189</f>
        <v>1</v>
      </c>
      <c r="F189" s="4" t="n">
        <f aca="false">ROUND(Raw_Data!F189,2)</f>
        <v>590.87</v>
      </c>
      <c r="G189" s="2" t="str">
        <f aca="false">PROPER(TRIM(Raw_Data!G189))</f>
        <v>689 Main St</v>
      </c>
      <c r="H189" s="2" t="str">
        <f aca="false">PROPER(TRIM(Raw_Data!H189))</f>
        <v>Gift Card</v>
      </c>
      <c r="I189" s="2" t="str">
        <f aca="false">PROPER(TRIM(Raw_Data!I189))</f>
        <v>Returned</v>
      </c>
      <c r="J189" s="2" t="str">
        <f aca="false">TRIM(UPPER(Raw_Data!J189))</f>
        <v>TRK79129657</v>
      </c>
      <c r="K189" s="2" t="n">
        <f aca="false">Raw_Data!K189</f>
        <v>6</v>
      </c>
      <c r="L189" s="2" t="str">
        <f aca="false">IF(TRIM(Raw_Data!L189)="","No Coupon",TRIM(UPPER(Raw_Data!L189)))</f>
        <v>FREESHIP</v>
      </c>
      <c r="M189" s="2" t="str">
        <f aca="false">PROPER(TRIM(Raw_Data!M189))</f>
        <v>Referral</v>
      </c>
      <c r="N189" s="4" t="n">
        <f aca="false">ROUND(E189*F189,2)</f>
        <v>590.87</v>
      </c>
      <c r="O189" s="2" t="str">
        <f aca="false">IF(COUNTIF($A$2:$A$1201,A189)&gt;1,"DUPLICATE","Unique")</f>
        <v>Unique</v>
      </c>
      <c r="P189" s="2" t="str">
        <f aca="false">IF(L189="","MISSING","OK")</f>
        <v>OK</v>
      </c>
      <c r="Q189" s="2" t="str">
        <f aca="false">IF(ISNUMBER(B189),"OK","BAD DATE")</f>
        <v>OK</v>
      </c>
      <c r="R189" s="2" t="str">
        <f aca="false">IF(ROUND(F189,2)=F189,"OK","FIX")</f>
        <v>OK</v>
      </c>
    </row>
    <row r="190" customFormat="false" ht="15" hidden="false" customHeight="false" outlineLevel="0" collapsed="false">
      <c r="A190" s="2" t="str">
        <f aca="false">TRIM(UPPER(Raw_Data!A190))</f>
        <v>ORD200188</v>
      </c>
      <c r="B190" s="3" t="n">
        <f aca="false">IF(ISNUMBER(Raw_Data!B190),Raw_Data!B190,DATEVALUE(Raw_Data!B190))</f>
        <v>45731</v>
      </c>
      <c r="C190" s="2" t="str">
        <f aca="false">TRIM(UPPER(Raw_Data!C190))</f>
        <v>C97715</v>
      </c>
      <c r="D190" s="2" t="str">
        <f aca="false">PROPER(TRIM(Raw_Data!D190))</f>
        <v>Chair</v>
      </c>
      <c r="E190" s="2" t="n">
        <f aca="false">Raw_Data!E190</f>
        <v>2</v>
      </c>
      <c r="F190" s="4" t="n">
        <f aca="false">ROUND(Raw_Data!F190,2)</f>
        <v>363.91</v>
      </c>
      <c r="G190" s="2" t="str">
        <f aca="false">PROPER(TRIM(Raw_Data!G190))</f>
        <v>927 Main St</v>
      </c>
      <c r="H190" s="2" t="str">
        <f aca="false">PROPER(TRIM(Raw_Data!H190))</f>
        <v>Gift Card</v>
      </c>
      <c r="I190" s="2" t="str">
        <f aca="false">PROPER(TRIM(Raw_Data!I190))</f>
        <v>Shipped</v>
      </c>
      <c r="J190" s="2" t="str">
        <f aca="false">TRIM(UPPER(Raw_Data!J190))</f>
        <v>TRK19515949</v>
      </c>
      <c r="K190" s="2" t="n">
        <f aca="false">Raw_Data!K190</f>
        <v>2</v>
      </c>
      <c r="L190" s="2" t="str">
        <f aca="false">IF(TRIM(Raw_Data!L190)="","No Coupon",TRIM(UPPER(Raw_Data!L190)))</f>
        <v>FREESHIP</v>
      </c>
      <c r="M190" s="2" t="str">
        <f aca="false">PROPER(TRIM(Raw_Data!M190))</f>
        <v>Referral</v>
      </c>
      <c r="N190" s="4" t="n">
        <f aca="false">ROUND(E190*F190,2)</f>
        <v>727.82</v>
      </c>
      <c r="O190" s="2" t="str">
        <f aca="false">IF(COUNTIF($A$2:$A$1201,A190)&gt;1,"DUPLICATE","Unique")</f>
        <v>Unique</v>
      </c>
      <c r="P190" s="2" t="str">
        <f aca="false">IF(L190="","MISSING","OK")</f>
        <v>OK</v>
      </c>
      <c r="Q190" s="2" t="str">
        <f aca="false">IF(ISNUMBER(B190),"OK","BAD DATE")</f>
        <v>OK</v>
      </c>
      <c r="R190" s="2" t="str">
        <f aca="false">IF(ROUND(F190,2)=F190,"OK","FIX")</f>
        <v>OK</v>
      </c>
    </row>
    <row r="191" customFormat="false" ht="15" hidden="false" customHeight="false" outlineLevel="0" collapsed="false">
      <c r="A191" s="2" t="str">
        <f aca="false">TRIM(UPPER(Raw_Data!A191))</f>
        <v>ORD200189</v>
      </c>
      <c r="B191" s="3" t="n">
        <f aca="false">IF(ISNUMBER(Raw_Data!B191),Raw_Data!B191,DATEVALUE(Raw_Data!B191))</f>
        <v>45112</v>
      </c>
      <c r="C191" s="2" t="str">
        <f aca="false">TRIM(UPPER(Raw_Data!C191))</f>
        <v>C48939</v>
      </c>
      <c r="D191" s="2" t="str">
        <f aca="false">PROPER(TRIM(Raw_Data!D191))</f>
        <v>Printer</v>
      </c>
      <c r="E191" s="2" t="n">
        <f aca="false">Raw_Data!E191</f>
        <v>5</v>
      </c>
      <c r="F191" s="4" t="n">
        <f aca="false">ROUND(Raw_Data!F191,2)</f>
        <v>429.45</v>
      </c>
      <c r="G191" s="2" t="str">
        <f aca="false">PROPER(TRIM(Raw_Data!G191))</f>
        <v>597 Main St</v>
      </c>
      <c r="H191" s="2" t="str">
        <f aca="false">PROPER(TRIM(Raw_Data!H191))</f>
        <v>Gift Card</v>
      </c>
      <c r="I191" s="2" t="str">
        <f aca="false">PROPER(TRIM(Raw_Data!I191))</f>
        <v>Cancelled</v>
      </c>
      <c r="J191" s="2" t="str">
        <f aca="false">TRIM(UPPER(Raw_Data!J191))</f>
        <v>TRK62786764</v>
      </c>
      <c r="K191" s="2" t="n">
        <f aca="false">Raw_Data!K191</f>
        <v>5</v>
      </c>
      <c r="L191" s="2" t="str">
        <f aca="false">IF(TRIM(Raw_Data!L191)="","No Coupon",TRIM(UPPER(Raw_Data!L191)))</f>
        <v>WINTER15</v>
      </c>
      <c r="M191" s="2" t="str">
        <f aca="false">PROPER(TRIM(Raw_Data!M191))</f>
        <v>Email</v>
      </c>
      <c r="N191" s="4" t="n">
        <f aca="false">ROUND(E191*F191,2)</f>
        <v>2147.25</v>
      </c>
      <c r="O191" s="2" t="str">
        <f aca="false">IF(COUNTIF($A$2:$A$1201,A191)&gt;1,"DUPLICATE","Unique")</f>
        <v>Unique</v>
      </c>
      <c r="P191" s="2" t="str">
        <f aca="false">IF(L191="","MISSING","OK")</f>
        <v>OK</v>
      </c>
      <c r="Q191" s="2" t="str">
        <f aca="false">IF(ISNUMBER(B191),"OK","BAD DATE")</f>
        <v>OK</v>
      </c>
      <c r="R191" s="2" t="str">
        <f aca="false">IF(ROUND(F191,2)=F191,"OK","FIX")</f>
        <v>OK</v>
      </c>
    </row>
    <row r="192" customFormat="false" ht="15" hidden="false" customHeight="false" outlineLevel="0" collapsed="false">
      <c r="A192" s="2" t="str">
        <f aca="false">TRIM(UPPER(Raw_Data!A192))</f>
        <v>ORD200190</v>
      </c>
      <c r="B192" s="3" t="n">
        <f aca="false">IF(ISNUMBER(Raw_Data!B192),Raw_Data!B192,DATEVALUE(Raw_Data!B192))</f>
        <v>45535</v>
      </c>
      <c r="C192" s="2" t="str">
        <f aca="false">TRIM(UPPER(Raw_Data!C192))</f>
        <v>C35483</v>
      </c>
      <c r="D192" s="2" t="str">
        <f aca="false">PROPER(TRIM(Raw_Data!D192))</f>
        <v>Printer</v>
      </c>
      <c r="E192" s="2" t="n">
        <f aca="false">Raw_Data!E192</f>
        <v>3</v>
      </c>
      <c r="F192" s="4" t="n">
        <f aca="false">ROUND(Raw_Data!F192,2)</f>
        <v>223.7</v>
      </c>
      <c r="G192" s="2" t="str">
        <f aca="false">PROPER(TRIM(Raw_Data!G192))</f>
        <v>725 Main St</v>
      </c>
      <c r="H192" s="2" t="str">
        <f aca="false">PROPER(TRIM(Raw_Data!H192))</f>
        <v>Cash</v>
      </c>
      <c r="I192" s="2" t="str">
        <f aca="false">PROPER(TRIM(Raw_Data!I192))</f>
        <v>Returned</v>
      </c>
      <c r="J192" s="2" t="str">
        <f aca="false">TRIM(UPPER(Raw_Data!J192))</f>
        <v>TRK79638203</v>
      </c>
      <c r="K192" s="2" t="n">
        <f aca="false">Raw_Data!K192</f>
        <v>3</v>
      </c>
      <c r="L192" s="2" t="str">
        <f aca="false">IF(TRIM(Raw_Data!L192)="","No Coupon",TRIM(UPPER(Raw_Data!L192)))</f>
        <v>SAVE10</v>
      </c>
      <c r="M192" s="2" t="str">
        <f aca="false">PROPER(TRIM(Raw_Data!M192))</f>
        <v>Email</v>
      </c>
      <c r="N192" s="4" t="n">
        <f aca="false">ROUND(E192*F192,2)</f>
        <v>671.1</v>
      </c>
      <c r="O192" s="2" t="str">
        <f aca="false">IF(COUNTIF($A$2:$A$1201,A192)&gt;1,"DUPLICATE","Unique")</f>
        <v>Unique</v>
      </c>
      <c r="P192" s="2" t="str">
        <f aca="false">IF(L192="","MISSING","OK")</f>
        <v>OK</v>
      </c>
      <c r="Q192" s="2" t="str">
        <f aca="false">IF(ISNUMBER(B192),"OK","BAD DATE")</f>
        <v>OK</v>
      </c>
      <c r="R192" s="2" t="str">
        <f aca="false">IF(ROUND(F192,2)=F192,"OK","FIX")</f>
        <v>OK</v>
      </c>
    </row>
    <row r="193" customFormat="false" ht="15" hidden="false" customHeight="false" outlineLevel="0" collapsed="false">
      <c r="A193" s="2" t="str">
        <f aca="false">TRIM(UPPER(Raw_Data!A193))</f>
        <v>ORD200191</v>
      </c>
      <c r="B193" s="3" t="n">
        <f aca="false">IF(ISNUMBER(Raw_Data!B193),Raw_Data!B193,DATEVALUE(Raw_Data!B193))</f>
        <v>45724</v>
      </c>
      <c r="C193" s="2" t="str">
        <f aca="false">TRIM(UPPER(Raw_Data!C193))</f>
        <v>C51494</v>
      </c>
      <c r="D193" s="2" t="str">
        <f aca="false">PROPER(TRIM(Raw_Data!D193))</f>
        <v>Laptop</v>
      </c>
      <c r="E193" s="2" t="n">
        <f aca="false">Raw_Data!E193</f>
        <v>2</v>
      </c>
      <c r="F193" s="4" t="n">
        <f aca="false">ROUND(Raw_Data!F193,2)</f>
        <v>488.87</v>
      </c>
      <c r="G193" s="2" t="str">
        <f aca="false">PROPER(TRIM(Raw_Data!G193))</f>
        <v>505 Main St</v>
      </c>
      <c r="H193" s="2" t="str">
        <f aca="false">PROPER(TRIM(Raw_Data!H193))</f>
        <v>Online</v>
      </c>
      <c r="I193" s="2" t="str">
        <f aca="false">PROPER(TRIM(Raw_Data!I193))</f>
        <v>Cancelled</v>
      </c>
      <c r="J193" s="2" t="str">
        <f aca="false">TRIM(UPPER(Raw_Data!J193))</f>
        <v>TRK58520306</v>
      </c>
      <c r="K193" s="2" t="n">
        <f aca="false">Raw_Data!K193</f>
        <v>4</v>
      </c>
      <c r="L193" s="2" t="str">
        <f aca="false">IF(TRIM(Raw_Data!L193)="","No Coupon",TRIM(UPPER(Raw_Data!L193)))</f>
        <v>FREESHIP</v>
      </c>
      <c r="M193" s="2" t="str">
        <f aca="false">PROPER(TRIM(Raw_Data!M193))</f>
        <v>Google</v>
      </c>
      <c r="N193" s="4" t="n">
        <f aca="false">ROUND(E193*F193,2)</f>
        <v>977.74</v>
      </c>
      <c r="O193" s="2" t="str">
        <f aca="false">IF(COUNTIF($A$2:$A$1201,A193)&gt;1,"DUPLICATE","Unique")</f>
        <v>Unique</v>
      </c>
      <c r="P193" s="2" t="str">
        <f aca="false">IF(L193="","MISSING","OK")</f>
        <v>OK</v>
      </c>
      <c r="Q193" s="2" t="str">
        <f aca="false">IF(ISNUMBER(B193),"OK","BAD DATE")</f>
        <v>OK</v>
      </c>
      <c r="R193" s="2" t="str">
        <f aca="false">IF(ROUND(F193,2)=F193,"OK","FIX")</f>
        <v>OK</v>
      </c>
    </row>
    <row r="194" customFormat="false" ht="15" hidden="false" customHeight="false" outlineLevel="0" collapsed="false">
      <c r="A194" s="2" t="str">
        <f aca="false">TRIM(UPPER(Raw_Data!A194))</f>
        <v>ORD200192</v>
      </c>
      <c r="B194" s="3" t="n">
        <f aca="false">IF(ISNUMBER(Raw_Data!B194),Raw_Data!B194,DATEVALUE(Raw_Data!B194))</f>
        <v>45149</v>
      </c>
      <c r="C194" s="2" t="str">
        <f aca="false">TRIM(UPPER(Raw_Data!C194))</f>
        <v>C58410</v>
      </c>
      <c r="D194" s="2" t="str">
        <f aca="false">PROPER(TRIM(Raw_Data!D194))</f>
        <v>Desk</v>
      </c>
      <c r="E194" s="2" t="n">
        <f aca="false">Raw_Data!E194</f>
        <v>1</v>
      </c>
      <c r="F194" s="4" t="n">
        <f aca="false">ROUND(Raw_Data!F194,2)</f>
        <v>645.46</v>
      </c>
      <c r="G194" s="2" t="str">
        <f aca="false">PROPER(TRIM(Raw_Data!G194))</f>
        <v>151 Main St</v>
      </c>
      <c r="H194" s="2" t="str">
        <f aca="false">PROPER(TRIM(Raw_Data!H194))</f>
        <v>Gift Card</v>
      </c>
      <c r="I194" s="2" t="str">
        <f aca="false">PROPER(TRIM(Raw_Data!I194))</f>
        <v>Cancelled</v>
      </c>
      <c r="J194" s="2" t="str">
        <f aca="false">TRIM(UPPER(Raw_Data!J194))</f>
        <v>TRK19749672</v>
      </c>
      <c r="K194" s="2" t="n">
        <f aca="false">Raw_Data!K194</f>
        <v>5</v>
      </c>
      <c r="L194" s="2" t="str">
        <f aca="false">IF(TRIM(Raw_Data!L194)="","No Coupon",TRIM(UPPER(Raw_Data!L194)))</f>
        <v>SAVE10</v>
      </c>
      <c r="M194" s="2" t="str">
        <f aca="false">PROPER(TRIM(Raw_Data!M194))</f>
        <v>Google</v>
      </c>
      <c r="N194" s="4" t="n">
        <f aca="false">ROUND(E194*F194,2)</f>
        <v>645.46</v>
      </c>
      <c r="O194" s="2" t="str">
        <f aca="false">IF(COUNTIF($A$2:$A$1201,A194)&gt;1,"DUPLICATE","Unique")</f>
        <v>Unique</v>
      </c>
      <c r="P194" s="2" t="str">
        <f aca="false">IF(L194="","MISSING","OK")</f>
        <v>OK</v>
      </c>
      <c r="Q194" s="2" t="str">
        <f aca="false">IF(ISNUMBER(B194),"OK","BAD DATE")</f>
        <v>OK</v>
      </c>
      <c r="R194" s="2" t="str">
        <f aca="false">IF(ROUND(F194,2)=F194,"OK","FIX")</f>
        <v>OK</v>
      </c>
    </row>
    <row r="195" customFormat="false" ht="15" hidden="false" customHeight="false" outlineLevel="0" collapsed="false">
      <c r="A195" s="2" t="str">
        <f aca="false">TRIM(UPPER(Raw_Data!A195))</f>
        <v>ORD200193</v>
      </c>
      <c r="B195" s="3" t="n">
        <f aca="false">IF(ISNUMBER(Raw_Data!B195),Raw_Data!B195,DATEVALUE(Raw_Data!B195))</f>
        <v>45128</v>
      </c>
      <c r="C195" s="2" t="str">
        <f aca="false">TRIM(UPPER(Raw_Data!C195))</f>
        <v>C11644</v>
      </c>
      <c r="D195" s="2" t="str">
        <f aca="false">PROPER(TRIM(Raw_Data!D195))</f>
        <v>Printer</v>
      </c>
      <c r="E195" s="2" t="n">
        <f aca="false">Raw_Data!E195</f>
        <v>1</v>
      </c>
      <c r="F195" s="4" t="n">
        <f aca="false">ROUND(Raw_Data!F195,2)</f>
        <v>46.66</v>
      </c>
      <c r="G195" s="2" t="str">
        <f aca="false">PROPER(TRIM(Raw_Data!G195))</f>
        <v>429 Main St</v>
      </c>
      <c r="H195" s="2" t="str">
        <f aca="false">PROPER(TRIM(Raw_Data!H195))</f>
        <v>Cash</v>
      </c>
      <c r="I195" s="2" t="str">
        <f aca="false">PROPER(TRIM(Raw_Data!I195))</f>
        <v>Cancelled</v>
      </c>
      <c r="J195" s="2" t="str">
        <f aca="false">TRIM(UPPER(Raw_Data!J195))</f>
        <v>TRK81320339</v>
      </c>
      <c r="K195" s="2" t="n">
        <f aca="false">Raw_Data!K195</f>
        <v>6</v>
      </c>
      <c r="L195" s="2" t="str">
        <f aca="false">IF(TRIM(Raw_Data!L195)="","No Coupon",TRIM(UPPER(Raw_Data!L195)))</f>
        <v>No Coupon</v>
      </c>
      <c r="M195" s="2" t="str">
        <f aca="false">PROPER(TRIM(Raw_Data!M195))</f>
        <v>Google</v>
      </c>
      <c r="N195" s="4" t="n">
        <f aca="false">ROUND(E195*F195,2)</f>
        <v>46.66</v>
      </c>
      <c r="O195" s="2" t="str">
        <f aca="false">IF(COUNTIF($A$2:$A$1201,A195)&gt;1,"DUPLICATE","Unique")</f>
        <v>Unique</v>
      </c>
      <c r="P195" s="2" t="str">
        <f aca="false">IF(L195="","MISSING","OK")</f>
        <v>OK</v>
      </c>
      <c r="Q195" s="2" t="str">
        <f aca="false">IF(ISNUMBER(B195),"OK","BAD DATE")</f>
        <v>OK</v>
      </c>
      <c r="R195" s="2" t="str">
        <f aca="false">IF(ROUND(F195,2)=F195,"OK","FIX")</f>
        <v>OK</v>
      </c>
    </row>
    <row r="196" customFormat="false" ht="15" hidden="false" customHeight="false" outlineLevel="0" collapsed="false">
      <c r="A196" s="2" t="str">
        <f aca="false">TRIM(UPPER(Raw_Data!A196))</f>
        <v>ORD200194</v>
      </c>
      <c r="B196" s="3" t="n">
        <f aca="false">IF(ISNUMBER(Raw_Data!B196),Raw_Data!B196,DATEVALUE(Raw_Data!B196))</f>
        <v>45451</v>
      </c>
      <c r="C196" s="2" t="str">
        <f aca="false">TRIM(UPPER(Raw_Data!C196))</f>
        <v>C53501</v>
      </c>
      <c r="D196" s="2" t="str">
        <f aca="false">PROPER(TRIM(Raw_Data!D196))</f>
        <v>Monitor</v>
      </c>
      <c r="E196" s="2" t="n">
        <f aca="false">Raw_Data!E196</f>
        <v>1</v>
      </c>
      <c r="F196" s="4" t="n">
        <f aca="false">ROUND(Raw_Data!F196,2)</f>
        <v>249.57</v>
      </c>
      <c r="G196" s="2" t="str">
        <f aca="false">PROPER(TRIM(Raw_Data!G196))</f>
        <v>899 Main St</v>
      </c>
      <c r="H196" s="2" t="str">
        <f aca="false">PROPER(TRIM(Raw_Data!H196))</f>
        <v>Cash</v>
      </c>
      <c r="I196" s="2" t="str">
        <f aca="false">PROPER(TRIM(Raw_Data!I196))</f>
        <v>Shipped</v>
      </c>
      <c r="J196" s="2" t="str">
        <f aca="false">TRIM(UPPER(Raw_Data!J196))</f>
        <v>TRK90144892</v>
      </c>
      <c r="K196" s="2" t="n">
        <f aca="false">Raw_Data!K196</f>
        <v>3</v>
      </c>
      <c r="L196" s="2" t="str">
        <f aca="false">IF(TRIM(Raw_Data!L196)="","No Coupon",TRIM(UPPER(Raw_Data!L196)))</f>
        <v>FREESHIP</v>
      </c>
      <c r="M196" s="2" t="str">
        <f aca="false">PROPER(TRIM(Raw_Data!M196))</f>
        <v>Google</v>
      </c>
      <c r="N196" s="4" t="n">
        <f aca="false">ROUND(E196*F196,2)</f>
        <v>249.57</v>
      </c>
      <c r="O196" s="2" t="str">
        <f aca="false">IF(COUNTIF($A$2:$A$1201,A196)&gt;1,"DUPLICATE","Unique")</f>
        <v>Unique</v>
      </c>
      <c r="P196" s="2" t="str">
        <f aca="false">IF(L196="","MISSING","OK")</f>
        <v>OK</v>
      </c>
      <c r="Q196" s="2" t="str">
        <f aca="false">IF(ISNUMBER(B196),"OK","BAD DATE")</f>
        <v>OK</v>
      </c>
      <c r="R196" s="2" t="str">
        <f aca="false">IF(ROUND(F196,2)=F196,"OK","FIX")</f>
        <v>OK</v>
      </c>
    </row>
    <row r="197" customFormat="false" ht="15" hidden="false" customHeight="false" outlineLevel="0" collapsed="false">
      <c r="A197" s="2" t="str">
        <f aca="false">TRIM(UPPER(Raw_Data!A197))</f>
        <v>ORD200195</v>
      </c>
      <c r="B197" s="3" t="n">
        <f aca="false">IF(ISNUMBER(Raw_Data!B197),Raw_Data!B197,DATEVALUE(Raw_Data!B197))</f>
        <v>45404</v>
      </c>
      <c r="C197" s="2" t="str">
        <f aca="false">TRIM(UPPER(Raw_Data!C197))</f>
        <v>C63619</v>
      </c>
      <c r="D197" s="2" t="str">
        <f aca="false">PROPER(TRIM(Raw_Data!D197))</f>
        <v>Chair</v>
      </c>
      <c r="E197" s="2" t="n">
        <f aca="false">Raw_Data!E197</f>
        <v>3</v>
      </c>
      <c r="F197" s="4" t="n">
        <f aca="false">ROUND(Raw_Data!F197,2)</f>
        <v>619.21</v>
      </c>
      <c r="G197" s="2" t="str">
        <f aca="false">PROPER(TRIM(Raw_Data!G197))</f>
        <v>801 Main St</v>
      </c>
      <c r="H197" s="2" t="str">
        <f aca="false">PROPER(TRIM(Raw_Data!H197))</f>
        <v>Debit Card</v>
      </c>
      <c r="I197" s="2" t="str">
        <f aca="false">PROPER(TRIM(Raw_Data!I197))</f>
        <v>Cancelled</v>
      </c>
      <c r="J197" s="2" t="str">
        <f aca="false">TRIM(UPPER(Raw_Data!J197))</f>
        <v>TRK65385674</v>
      </c>
      <c r="K197" s="2" t="n">
        <f aca="false">Raw_Data!K197</f>
        <v>6</v>
      </c>
      <c r="L197" s="2" t="str">
        <f aca="false">IF(TRIM(Raw_Data!L197)="","No Coupon",TRIM(UPPER(Raw_Data!L197)))</f>
        <v>No Coupon</v>
      </c>
      <c r="M197" s="2" t="str">
        <f aca="false">PROPER(TRIM(Raw_Data!M197))</f>
        <v>Email</v>
      </c>
      <c r="N197" s="4" t="n">
        <f aca="false">ROUND(E197*F197,2)</f>
        <v>1857.63</v>
      </c>
      <c r="O197" s="2" t="str">
        <f aca="false">IF(COUNTIF($A$2:$A$1201,A197)&gt;1,"DUPLICATE","Unique")</f>
        <v>Unique</v>
      </c>
      <c r="P197" s="2" t="str">
        <f aca="false">IF(L197="","MISSING","OK")</f>
        <v>OK</v>
      </c>
      <c r="Q197" s="2" t="str">
        <f aca="false">IF(ISNUMBER(B197),"OK","BAD DATE")</f>
        <v>OK</v>
      </c>
      <c r="R197" s="2" t="str">
        <f aca="false">IF(ROUND(F197,2)=F197,"OK","FIX")</f>
        <v>OK</v>
      </c>
    </row>
    <row r="198" customFormat="false" ht="15" hidden="false" customHeight="false" outlineLevel="0" collapsed="false">
      <c r="A198" s="2" t="str">
        <f aca="false">TRIM(UPPER(Raw_Data!A198))</f>
        <v>ORD200196</v>
      </c>
      <c r="B198" s="3" t="n">
        <f aca="false">IF(ISNUMBER(Raw_Data!B198),Raw_Data!B198,DATEVALUE(Raw_Data!B198))</f>
        <v>45681</v>
      </c>
      <c r="C198" s="2" t="str">
        <f aca="false">TRIM(UPPER(Raw_Data!C198))</f>
        <v>C40882</v>
      </c>
      <c r="D198" s="2" t="str">
        <f aca="false">PROPER(TRIM(Raw_Data!D198))</f>
        <v>Desk</v>
      </c>
      <c r="E198" s="2" t="n">
        <f aca="false">Raw_Data!E198</f>
        <v>4</v>
      </c>
      <c r="F198" s="4" t="n">
        <f aca="false">ROUND(Raw_Data!F198,2)</f>
        <v>217.13</v>
      </c>
      <c r="G198" s="2" t="str">
        <f aca="false">PROPER(TRIM(Raw_Data!G198))</f>
        <v>719 Main St</v>
      </c>
      <c r="H198" s="2" t="str">
        <f aca="false">PROPER(TRIM(Raw_Data!H198))</f>
        <v>Cash</v>
      </c>
      <c r="I198" s="2" t="str">
        <f aca="false">PROPER(TRIM(Raw_Data!I198))</f>
        <v>Delivered</v>
      </c>
      <c r="J198" s="2" t="str">
        <f aca="false">TRIM(UPPER(Raw_Data!J198))</f>
        <v>TRK64165503</v>
      </c>
      <c r="K198" s="2" t="n">
        <f aca="false">Raw_Data!K198</f>
        <v>8</v>
      </c>
      <c r="L198" s="2" t="str">
        <f aca="false">IF(TRIM(Raw_Data!L198)="","No Coupon",TRIM(UPPER(Raw_Data!L198)))</f>
        <v>WINTER15</v>
      </c>
      <c r="M198" s="2" t="str">
        <f aca="false">PROPER(TRIM(Raw_Data!M198))</f>
        <v>Email</v>
      </c>
      <c r="N198" s="4" t="n">
        <f aca="false">ROUND(E198*F198,2)</f>
        <v>868.52</v>
      </c>
      <c r="O198" s="2" t="str">
        <f aca="false">IF(COUNTIF($A$2:$A$1201,A198)&gt;1,"DUPLICATE","Unique")</f>
        <v>Unique</v>
      </c>
      <c r="P198" s="2" t="str">
        <f aca="false">IF(L198="","MISSING","OK")</f>
        <v>OK</v>
      </c>
      <c r="Q198" s="2" t="str">
        <f aca="false">IF(ISNUMBER(B198),"OK","BAD DATE")</f>
        <v>OK</v>
      </c>
      <c r="R198" s="2" t="str">
        <f aca="false">IF(ROUND(F198,2)=F198,"OK","FIX")</f>
        <v>OK</v>
      </c>
    </row>
    <row r="199" customFormat="false" ht="15" hidden="false" customHeight="false" outlineLevel="0" collapsed="false">
      <c r="A199" s="2" t="str">
        <f aca="false">TRIM(UPPER(Raw_Data!A199))</f>
        <v>ORD200197</v>
      </c>
      <c r="B199" s="3" t="n">
        <f aca="false">IF(ISNUMBER(Raw_Data!B199),Raw_Data!B199,DATEVALUE(Raw_Data!B199))</f>
        <v>45165</v>
      </c>
      <c r="C199" s="2" t="str">
        <f aca="false">TRIM(UPPER(Raw_Data!C199))</f>
        <v>C80135</v>
      </c>
      <c r="D199" s="2" t="str">
        <f aca="false">PROPER(TRIM(Raw_Data!D199))</f>
        <v>Laptop</v>
      </c>
      <c r="E199" s="2" t="n">
        <f aca="false">Raw_Data!E199</f>
        <v>5</v>
      </c>
      <c r="F199" s="4" t="n">
        <f aca="false">ROUND(Raw_Data!F199,2)</f>
        <v>221.51</v>
      </c>
      <c r="G199" s="2" t="str">
        <f aca="false">PROPER(TRIM(Raw_Data!G199))</f>
        <v>723 Main St</v>
      </c>
      <c r="H199" s="2" t="str">
        <f aca="false">PROPER(TRIM(Raw_Data!H199))</f>
        <v>Cash</v>
      </c>
      <c r="I199" s="2" t="str">
        <f aca="false">PROPER(TRIM(Raw_Data!I199))</f>
        <v>Returned</v>
      </c>
      <c r="J199" s="2" t="str">
        <f aca="false">TRIM(UPPER(Raw_Data!J199))</f>
        <v>TRK95222269</v>
      </c>
      <c r="K199" s="2" t="n">
        <f aca="false">Raw_Data!K199</f>
        <v>5</v>
      </c>
      <c r="L199" s="2" t="str">
        <f aca="false">IF(TRIM(Raw_Data!L199)="","No Coupon",TRIM(UPPER(Raw_Data!L199)))</f>
        <v>WINTER15</v>
      </c>
      <c r="M199" s="2" t="str">
        <f aca="false">PROPER(TRIM(Raw_Data!M199))</f>
        <v>Referral</v>
      </c>
      <c r="N199" s="4" t="n">
        <f aca="false">ROUND(E199*F199,2)</f>
        <v>1107.55</v>
      </c>
      <c r="O199" s="2" t="str">
        <f aca="false">IF(COUNTIF($A$2:$A$1201,A199)&gt;1,"DUPLICATE","Unique")</f>
        <v>Unique</v>
      </c>
      <c r="P199" s="2" t="str">
        <f aca="false">IF(L199="","MISSING","OK")</f>
        <v>OK</v>
      </c>
      <c r="Q199" s="2" t="str">
        <f aca="false">IF(ISNUMBER(B199),"OK","BAD DATE")</f>
        <v>OK</v>
      </c>
      <c r="R199" s="2" t="str">
        <f aca="false">IF(ROUND(F199,2)=F199,"OK","FIX")</f>
        <v>OK</v>
      </c>
    </row>
    <row r="200" customFormat="false" ht="15" hidden="false" customHeight="false" outlineLevel="0" collapsed="false">
      <c r="A200" s="2" t="str">
        <f aca="false">TRIM(UPPER(Raw_Data!A200))</f>
        <v>ORD200198</v>
      </c>
      <c r="B200" s="3" t="n">
        <f aca="false">IF(ISNUMBER(Raw_Data!B200),Raw_Data!B200,DATEVALUE(Raw_Data!B200))</f>
        <v>45454</v>
      </c>
      <c r="C200" s="2" t="str">
        <f aca="false">TRIM(UPPER(Raw_Data!C200))</f>
        <v>C37594</v>
      </c>
      <c r="D200" s="2" t="str">
        <f aca="false">PROPER(TRIM(Raw_Data!D200))</f>
        <v>Laptop</v>
      </c>
      <c r="E200" s="2" t="n">
        <f aca="false">Raw_Data!E200</f>
        <v>4</v>
      </c>
      <c r="F200" s="4" t="n">
        <f aca="false">ROUND(Raw_Data!F200,2)</f>
        <v>340.3</v>
      </c>
      <c r="G200" s="2" t="str">
        <f aca="false">PROPER(TRIM(Raw_Data!G200))</f>
        <v>926 Main St</v>
      </c>
      <c r="H200" s="2" t="str">
        <f aca="false">PROPER(TRIM(Raw_Data!H200))</f>
        <v>Cash</v>
      </c>
      <c r="I200" s="2" t="str">
        <f aca="false">PROPER(TRIM(Raw_Data!I200))</f>
        <v>Cancelled</v>
      </c>
      <c r="J200" s="2" t="str">
        <f aca="false">TRIM(UPPER(Raw_Data!J200))</f>
        <v>TRK94405162</v>
      </c>
      <c r="K200" s="2" t="n">
        <f aca="false">Raw_Data!K200</f>
        <v>8</v>
      </c>
      <c r="L200" s="2" t="str">
        <f aca="false">IF(TRIM(Raw_Data!L200)="","No Coupon",TRIM(UPPER(Raw_Data!L200)))</f>
        <v>SAVE10</v>
      </c>
      <c r="M200" s="2" t="str">
        <f aca="false">PROPER(TRIM(Raw_Data!M200))</f>
        <v>Referral</v>
      </c>
      <c r="N200" s="4" t="n">
        <f aca="false">ROUND(E200*F200,2)</f>
        <v>1361.2</v>
      </c>
      <c r="O200" s="2" t="str">
        <f aca="false">IF(COUNTIF($A$2:$A$1201,A200)&gt;1,"DUPLICATE","Unique")</f>
        <v>Unique</v>
      </c>
      <c r="P200" s="2" t="str">
        <f aca="false">IF(L200="","MISSING","OK")</f>
        <v>OK</v>
      </c>
      <c r="Q200" s="2" t="str">
        <f aca="false">IF(ISNUMBER(B200),"OK","BAD DATE")</f>
        <v>OK</v>
      </c>
      <c r="R200" s="2" t="str">
        <f aca="false">IF(ROUND(F200,2)=F200,"OK","FIX")</f>
        <v>OK</v>
      </c>
    </row>
    <row r="201" customFormat="false" ht="15" hidden="false" customHeight="false" outlineLevel="0" collapsed="false">
      <c r="A201" s="2" t="str">
        <f aca="false">TRIM(UPPER(Raw_Data!A201))</f>
        <v>ORD200199</v>
      </c>
      <c r="B201" s="3" t="n">
        <f aca="false">IF(ISNUMBER(Raw_Data!B201),Raw_Data!B201,DATEVALUE(Raw_Data!B201))</f>
        <v>45680</v>
      </c>
      <c r="C201" s="2" t="str">
        <f aca="false">TRIM(UPPER(Raw_Data!C201))</f>
        <v>C87524</v>
      </c>
      <c r="D201" s="2" t="str">
        <f aca="false">PROPER(TRIM(Raw_Data!D201))</f>
        <v>Phone</v>
      </c>
      <c r="E201" s="2" t="n">
        <f aca="false">Raw_Data!E201</f>
        <v>1</v>
      </c>
      <c r="F201" s="4" t="n">
        <f aca="false">ROUND(Raw_Data!F201,2)</f>
        <v>625</v>
      </c>
      <c r="G201" s="2" t="str">
        <f aca="false">PROPER(TRIM(Raw_Data!G201))</f>
        <v>358 Main St</v>
      </c>
      <c r="H201" s="2" t="str">
        <f aca="false">PROPER(TRIM(Raw_Data!H201))</f>
        <v>Online</v>
      </c>
      <c r="I201" s="2" t="str">
        <f aca="false">PROPER(TRIM(Raw_Data!I201))</f>
        <v>Returned</v>
      </c>
      <c r="J201" s="2" t="str">
        <f aca="false">TRIM(UPPER(Raw_Data!J201))</f>
        <v>TRK21114341</v>
      </c>
      <c r="K201" s="2" t="n">
        <f aca="false">Raw_Data!K201</f>
        <v>5</v>
      </c>
      <c r="L201" s="2" t="str">
        <f aca="false">IF(TRIM(Raw_Data!L201)="","No Coupon",TRIM(UPPER(Raw_Data!L201)))</f>
        <v>WINTER15</v>
      </c>
      <c r="M201" s="2" t="str">
        <f aca="false">PROPER(TRIM(Raw_Data!M201))</f>
        <v>Google</v>
      </c>
      <c r="N201" s="4" t="n">
        <f aca="false">ROUND(E201*F201,2)</f>
        <v>625</v>
      </c>
      <c r="O201" s="2" t="str">
        <f aca="false">IF(COUNTIF($A$2:$A$1201,A201)&gt;1,"DUPLICATE","Unique")</f>
        <v>Unique</v>
      </c>
      <c r="P201" s="2" t="str">
        <f aca="false">IF(L201="","MISSING","OK")</f>
        <v>OK</v>
      </c>
      <c r="Q201" s="2" t="str">
        <f aca="false">IF(ISNUMBER(B201),"OK","BAD DATE")</f>
        <v>OK</v>
      </c>
      <c r="R201" s="2" t="str">
        <f aca="false">IF(ROUND(F201,2)=F201,"OK","FIX")</f>
        <v>OK</v>
      </c>
    </row>
    <row r="202" customFormat="false" ht="15" hidden="false" customHeight="false" outlineLevel="0" collapsed="false">
      <c r="A202" s="2" t="str">
        <f aca="false">TRIM(UPPER(Raw_Data!A202))</f>
        <v>ORD200200</v>
      </c>
      <c r="B202" s="3" t="n">
        <f aca="false">IF(ISNUMBER(Raw_Data!B202),Raw_Data!B202,DATEVALUE(Raw_Data!B202))</f>
        <v>45815</v>
      </c>
      <c r="C202" s="2" t="str">
        <f aca="false">TRIM(UPPER(Raw_Data!C202))</f>
        <v>C97681</v>
      </c>
      <c r="D202" s="2" t="str">
        <f aca="false">PROPER(TRIM(Raw_Data!D202))</f>
        <v>Tablet</v>
      </c>
      <c r="E202" s="2" t="n">
        <f aca="false">Raw_Data!E202</f>
        <v>5</v>
      </c>
      <c r="F202" s="4" t="n">
        <f aca="false">ROUND(Raw_Data!F202,2)</f>
        <v>433.26</v>
      </c>
      <c r="G202" s="2" t="str">
        <f aca="false">PROPER(TRIM(Raw_Data!G202))</f>
        <v>895 Main St</v>
      </c>
      <c r="H202" s="2" t="str">
        <f aca="false">PROPER(TRIM(Raw_Data!H202))</f>
        <v>Credit Card</v>
      </c>
      <c r="I202" s="2" t="str">
        <f aca="false">PROPER(TRIM(Raw_Data!I202))</f>
        <v>Delivered</v>
      </c>
      <c r="J202" s="2" t="str">
        <f aca="false">TRIM(UPPER(Raw_Data!J202))</f>
        <v>TRK37531040</v>
      </c>
      <c r="K202" s="2" t="n">
        <f aca="false">Raw_Data!K202</f>
        <v>9</v>
      </c>
      <c r="L202" s="2" t="str">
        <f aca="false">IF(TRIM(Raw_Data!L202)="","No Coupon",TRIM(UPPER(Raw_Data!L202)))</f>
        <v>SAVE10</v>
      </c>
      <c r="M202" s="2" t="str">
        <f aca="false">PROPER(TRIM(Raw_Data!M202))</f>
        <v>Google</v>
      </c>
      <c r="N202" s="4" t="n">
        <f aca="false">ROUND(E202*F202,2)</f>
        <v>2166.3</v>
      </c>
      <c r="O202" s="2" t="str">
        <f aca="false">IF(COUNTIF($A$2:$A$1201,A202)&gt;1,"DUPLICATE","Unique")</f>
        <v>Unique</v>
      </c>
      <c r="P202" s="2" t="str">
        <f aca="false">IF(L202="","MISSING","OK")</f>
        <v>OK</v>
      </c>
      <c r="Q202" s="2" t="str">
        <f aca="false">IF(ISNUMBER(B202),"OK","BAD DATE")</f>
        <v>OK</v>
      </c>
      <c r="R202" s="2" t="str">
        <f aca="false">IF(ROUND(F202,2)=F202,"OK","FIX")</f>
        <v>OK</v>
      </c>
    </row>
    <row r="203" customFormat="false" ht="15" hidden="false" customHeight="false" outlineLevel="0" collapsed="false">
      <c r="A203" s="2" t="str">
        <f aca="false">TRIM(UPPER(Raw_Data!A203))</f>
        <v>ORD200201</v>
      </c>
      <c r="B203" s="3" t="n">
        <f aca="false">IF(ISNUMBER(Raw_Data!B203),Raw_Data!B203,DATEVALUE(Raw_Data!B203))</f>
        <v>45095</v>
      </c>
      <c r="C203" s="2" t="str">
        <f aca="false">TRIM(UPPER(Raw_Data!C203))</f>
        <v>C10126</v>
      </c>
      <c r="D203" s="2" t="str">
        <f aca="false">PROPER(TRIM(Raw_Data!D203))</f>
        <v>Monitor</v>
      </c>
      <c r="E203" s="2" t="n">
        <f aca="false">Raw_Data!E203</f>
        <v>2</v>
      </c>
      <c r="F203" s="4" t="n">
        <f aca="false">ROUND(Raw_Data!F203,2)</f>
        <v>674.9</v>
      </c>
      <c r="G203" s="2" t="str">
        <f aca="false">PROPER(TRIM(Raw_Data!G203))</f>
        <v>146 Main St</v>
      </c>
      <c r="H203" s="2" t="str">
        <f aca="false">PROPER(TRIM(Raw_Data!H203))</f>
        <v>Online</v>
      </c>
      <c r="I203" s="2" t="str">
        <f aca="false">PROPER(TRIM(Raw_Data!I203))</f>
        <v>Shipped</v>
      </c>
      <c r="J203" s="2" t="str">
        <f aca="false">TRIM(UPPER(Raw_Data!J203))</f>
        <v>TRK75607531</v>
      </c>
      <c r="K203" s="2" t="n">
        <f aca="false">Raw_Data!K203</f>
        <v>4</v>
      </c>
      <c r="L203" s="2" t="str">
        <f aca="false">IF(TRIM(Raw_Data!L203)="","No Coupon",TRIM(UPPER(Raw_Data!L203)))</f>
        <v>SAVE10</v>
      </c>
      <c r="M203" s="2" t="str">
        <f aca="false">PROPER(TRIM(Raw_Data!M203))</f>
        <v>Facebook</v>
      </c>
      <c r="N203" s="4" t="n">
        <f aca="false">ROUND(E203*F203,2)</f>
        <v>1349.8</v>
      </c>
      <c r="O203" s="2" t="str">
        <f aca="false">IF(COUNTIF($A$2:$A$1201,A203)&gt;1,"DUPLICATE","Unique")</f>
        <v>Unique</v>
      </c>
      <c r="P203" s="2" t="str">
        <f aca="false">IF(L203="","MISSING","OK")</f>
        <v>OK</v>
      </c>
      <c r="Q203" s="2" t="str">
        <f aca="false">IF(ISNUMBER(B203),"OK","BAD DATE")</f>
        <v>OK</v>
      </c>
      <c r="R203" s="2" t="str">
        <f aca="false">IF(ROUND(F203,2)=F203,"OK","FIX")</f>
        <v>OK</v>
      </c>
    </row>
    <row r="204" customFormat="false" ht="15" hidden="false" customHeight="false" outlineLevel="0" collapsed="false">
      <c r="A204" s="2" t="str">
        <f aca="false">TRIM(UPPER(Raw_Data!A204))</f>
        <v>ORD200202</v>
      </c>
      <c r="B204" s="3" t="n">
        <f aca="false">IF(ISNUMBER(Raw_Data!B204),Raw_Data!B204,DATEVALUE(Raw_Data!B204))</f>
        <v>45694</v>
      </c>
      <c r="C204" s="2" t="str">
        <f aca="false">TRIM(UPPER(Raw_Data!C204))</f>
        <v>C36938</v>
      </c>
      <c r="D204" s="2" t="str">
        <f aca="false">PROPER(TRIM(Raw_Data!D204))</f>
        <v>Monitor</v>
      </c>
      <c r="E204" s="2" t="n">
        <f aca="false">Raw_Data!E204</f>
        <v>3</v>
      </c>
      <c r="F204" s="4" t="n">
        <f aca="false">ROUND(Raw_Data!F204,2)</f>
        <v>253.98</v>
      </c>
      <c r="G204" s="2" t="str">
        <f aca="false">PROPER(TRIM(Raw_Data!G204))</f>
        <v>636 Main St</v>
      </c>
      <c r="H204" s="2" t="str">
        <f aca="false">PROPER(TRIM(Raw_Data!H204))</f>
        <v>Credit Card</v>
      </c>
      <c r="I204" s="2" t="str">
        <f aca="false">PROPER(TRIM(Raw_Data!I204))</f>
        <v>Cancelled</v>
      </c>
      <c r="J204" s="2" t="str">
        <f aca="false">TRIM(UPPER(Raw_Data!J204))</f>
        <v>TRK52522904</v>
      </c>
      <c r="K204" s="2" t="n">
        <f aca="false">Raw_Data!K204</f>
        <v>3</v>
      </c>
      <c r="L204" s="2" t="str">
        <f aca="false">IF(TRIM(Raw_Data!L204)="","No Coupon",TRIM(UPPER(Raw_Data!L204)))</f>
        <v>FREESHIP</v>
      </c>
      <c r="M204" s="2" t="str">
        <f aca="false">PROPER(TRIM(Raw_Data!M204))</f>
        <v>Email</v>
      </c>
      <c r="N204" s="4" t="n">
        <f aca="false">ROUND(E204*F204,2)</f>
        <v>761.94</v>
      </c>
      <c r="O204" s="2" t="str">
        <f aca="false">IF(COUNTIF($A$2:$A$1201,A204)&gt;1,"DUPLICATE","Unique")</f>
        <v>Unique</v>
      </c>
      <c r="P204" s="2" t="str">
        <f aca="false">IF(L204="","MISSING","OK")</f>
        <v>OK</v>
      </c>
      <c r="Q204" s="2" t="str">
        <f aca="false">IF(ISNUMBER(B204),"OK","BAD DATE")</f>
        <v>OK</v>
      </c>
      <c r="R204" s="2" t="str">
        <f aca="false">IF(ROUND(F204,2)=F204,"OK","FIX")</f>
        <v>OK</v>
      </c>
    </row>
    <row r="205" customFormat="false" ht="15" hidden="false" customHeight="false" outlineLevel="0" collapsed="false">
      <c r="A205" s="2" t="str">
        <f aca="false">TRIM(UPPER(Raw_Data!A205))</f>
        <v>ORD200203</v>
      </c>
      <c r="B205" s="3" t="n">
        <f aca="false">IF(ISNUMBER(Raw_Data!B205),Raw_Data!B205,DATEVALUE(Raw_Data!B205))</f>
        <v>45678</v>
      </c>
      <c r="C205" s="2" t="str">
        <f aca="false">TRIM(UPPER(Raw_Data!C205))</f>
        <v>C99173</v>
      </c>
      <c r="D205" s="2" t="str">
        <f aca="false">PROPER(TRIM(Raw_Data!D205))</f>
        <v>Printer</v>
      </c>
      <c r="E205" s="2" t="n">
        <f aca="false">Raw_Data!E205</f>
        <v>3</v>
      </c>
      <c r="F205" s="4" t="n">
        <f aca="false">ROUND(Raw_Data!F205,2)</f>
        <v>356.84</v>
      </c>
      <c r="G205" s="2" t="str">
        <f aca="false">PROPER(TRIM(Raw_Data!G205))</f>
        <v>172 Main St</v>
      </c>
      <c r="H205" s="2" t="str">
        <f aca="false">PROPER(TRIM(Raw_Data!H205))</f>
        <v>Online</v>
      </c>
      <c r="I205" s="2" t="str">
        <f aca="false">PROPER(TRIM(Raw_Data!I205))</f>
        <v>Shipped</v>
      </c>
      <c r="J205" s="2" t="str">
        <f aca="false">TRIM(UPPER(Raw_Data!J205))</f>
        <v>TRK89849342</v>
      </c>
      <c r="K205" s="2" t="n">
        <f aca="false">Raw_Data!K205</f>
        <v>5</v>
      </c>
      <c r="L205" s="2" t="str">
        <f aca="false">IF(TRIM(Raw_Data!L205)="","No Coupon",TRIM(UPPER(Raw_Data!L205)))</f>
        <v>SAVE10</v>
      </c>
      <c r="M205" s="2" t="str">
        <f aca="false">PROPER(TRIM(Raw_Data!M205))</f>
        <v>Instagram</v>
      </c>
      <c r="N205" s="4" t="n">
        <f aca="false">ROUND(E205*F205,2)</f>
        <v>1070.52</v>
      </c>
      <c r="O205" s="2" t="str">
        <f aca="false">IF(COUNTIF($A$2:$A$1201,A205)&gt;1,"DUPLICATE","Unique")</f>
        <v>Unique</v>
      </c>
      <c r="P205" s="2" t="str">
        <f aca="false">IF(L205="","MISSING","OK")</f>
        <v>OK</v>
      </c>
      <c r="Q205" s="2" t="str">
        <f aca="false">IF(ISNUMBER(B205),"OK","BAD DATE")</f>
        <v>OK</v>
      </c>
      <c r="R205" s="2" t="str">
        <f aca="false">IF(ROUND(F205,2)=F205,"OK","FIX")</f>
        <v>OK</v>
      </c>
    </row>
    <row r="206" customFormat="false" ht="15" hidden="false" customHeight="false" outlineLevel="0" collapsed="false">
      <c r="A206" s="2" t="str">
        <f aca="false">TRIM(UPPER(Raw_Data!A206))</f>
        <v>ORD200204</v>
      </c>
      <c r="B206" s="3" t="n">
        <f aca="false">IF(ISNUMBER(Raw_Data!B206),Raw_Data!B206,DATEVALUE(Raw_Data!B206))</f>
        <v>45174</v>
      </c>
      <c r="C206" s="2" t="str">
        <f aca="false">TRIM(UPPER(Raw_Data!C206))</f>
        <v>C99775</v>
      </c>
      <c r="D206" s="2" t="str">
        <f aca="false">PROPER(TRIM(Raw_Data!D206))</f>
        <v>Laptop</v>
      </c>
      <c r="E206" s="2" t="n">
        <f aca="false">Raw_Data!E206</f>
        <v>4</v>
      </c>
      <c r="F206" s="4" t="n">
        <f aca="false">ROUND(Raw_Data!F206,2)</f>
        <v>413.71</v>
      </c>
      <c r="G206" s="2" t="str">
        <f aca="false">PROPER(TRIM(Raw_Data!G206))</f>
        <v>478 Main St</v>
      </c>
      <c r="H206" s="2" t="str">
        <f aca="false">PROPER(TRIM(Raw_Data!H206))</f>
        <v>Gift Card</v>
      </c>
      <c r="I206" s="2" t="str">
        <f aca="false">PROPER(TRIM(Raw_Data!I206))</f>
        <v>Cancelled</v>
      </c>
      <c r="J206" s="2" t="str">
        <f aca="false">TRIM(UPPER(Raw_Data!J206))</f>
        <v>TRK21638425</v>
      </c>
      <c r="K206" s="2" t="n">
        <f aca="false">Raw_Data!K206</f>
        <v>9</v>
      </c>
      <c r="L206" s="2" t="str">
        <f aca="false">IF(TRIM(Raw_Data!L206)="","No Coupon",TRIM(UPPER(Raw_Data!L206)))</f>
        <v>FREESHIP</v>
      </c>
      <c r="M206" s="2" t="str">
        <f aca="false">PROPER(TRIM(Raw_Data!M206))</f>
        <v>Facebook</v>
      </c>
      <c r="N206" s="4" t="n">
        <f aca="false">ROUND(E206*F206,2)</f>
        <v>1654.84</v>
      </c>
      <c r="O206" s="2" t="str">
        <f aca="false">IF(COUNTIF($A$2:$A$1201,A206)&gt;1,"DUPLICATE","Unique")</f>
        <v>Unique</v>
      </c>
      <c r="P206" s="2" t="str">
        <f aca="false">IF(L206="","MISSING","OK")</f>
        <v>OK</v>
      </c>
      <c r="Q206" s="2" t="str">
        <f aca="false">IF(ISNUMBER(B206),"OK","BAD DATE")</f>
        <v>OK</v>
      </c>
      <c r="R206" s="2" t="str">
        <f aca="false">IF(ROUND(F206,2)=F206,"OK","FIX")</f>
        <v>OK</v>
      </c>
    </row>
    <row r="207" customFormat="false" ht="15" hidden="false" customHeight="false" outlineLevel="0" collapsed="false">
      <c r="A207" s="2" t="str">
        <f aca="false">TRIM(UPPER(Raw_Data!A207))</f>
        <v>ORD200205</v>
      </c>
      <c r="B207" s="3" t="n">
        <f aca="false">IF(ISNUMBER(Raw_Data!B207),Raw_Data!B207,DATEVALUE(Raw_Data!B207))</f>
        <v>44989</v>
      </c>
      <c r="C207" s="2" t="str">
        <f aca="false">TRIM(UPPER(Raw_Data!C207))</f>
        <v>C19266</v>
      </c>
      <c r="D207" s="2" t="str">
        <f aca="false">PROPER(TRIM(Raw_Data!D207))</f>
        <v>Desk</v>
      </c>
      <c r="E207" s="2" t="n">
        <f aca="false">Raw_Data!E207</f>
        <v>3</v>
      </c>
      <c r="F207" s="4" t="n">
        <f aca="false">ROUND(Raw_Data!F207,2)</f>
        <v>147.39</v>
      </c>
      <c r="G207" s="2" t="str">
        <f aca="false">PROPER(TRIM(Raw_Data!G207))</f>
        <v>609 Main St</v>
      </c>
      <c r="H207" s="2" t="str">
        <f aca="false">PROPER(TRIM(Raw_Data!H207))</f>
        <v>Debit Card</v>
      </c>
      <c r="I207" s="2" t="str">
        <f aca="false">PROPER(TRIM(Raw_Data!I207))</f>
        <v>Returned</v>
      </c>
      <c r="J207" s="2" t="str">
        <f aca="false">TRIM(UPPER(Raw_Data!J207))</f>
        <v>TRK58357269</v>
      </c>
      <c r="K207" s="2" t="n">
        <f aca="false">Raw_Data!K207</f>
        <v>3</v>
      </c>
      <c r="L207" s="2" t="str">
        <f aca="false">IF(TRIM(Raw_Data!L207)="","No Coupon",TRIM(UPPER(Raw_Data!L207)))</f>
        <v>No Coupon</v>
      </c>
      <c r="M207" s="2" t="str">
        <f aca="false">PROPER(TRIM(Raw_Data!M207))</f>
        <v>Email</v>
      </c>
      <c r="N207" s="4" t="n">
        <f aca="false">ROUND(E207*F207,2)</f>
        <v>442.17</v>
      </c>
      <c r="O207" s="2" t="str">
        <f aca="false">IF(COUNTIF($A$2:$A$1201,A207)&gt;1,"DUPLICATE","Unique")</f>
        <v>Unique</v>
      </c>
      <c r="P207" s="2" t="str">
        <f aca="false">IF(L207="","MISSING","OK")</f>
        <v>OK</v>
      </c>
      <c r="Q207" s="2" t="str">
        <f aca="false">IF(ISNUMBER(B207),"OK","BAD DATE")</f>
        <v>OK</v>
      </c>
      <c r="R207" s="2" t="str">
        <f aca="false">IF(ROUND(F207,2)=F207,"OK","FIX")</f>
        <v>OK</v>
      </c>
    </row>
    <row r="208" customFormat="false" ht="15" hidden="false" customHeight="false" outlineLevel="0" collapsed="false">
      <c r="A208" s="2" t="str">
        <f aca="false">TRIM(UPPER(Raw_Data!A208))</f>
        <v>ORD200206</v>
      </c>
      <c r="B208" s="3" t="n">
        <f aca="false">IF(ISNUMBER(Raw_Data!B208),Raw_Data!B208,DATEVALUE(Raw_Data!B208))</f>
        <v>45398</v>
      </c>
      <c r="C208" s="2" t="str">
        <f aca="false">TRIM(UPPER(Raw_Data!C208))</f>
        <v>C31072</v>
      </c>
      <c r="D208" s="2" t="str">
        <f aca="false">PROPER(TRIM(Raw_Data!D208))</f>
        <v>Laptop</v>
      </c>
      <c r="E208" s="2" t="n">
        <f aca="false">Raw_Data!E208</f>
        <v>4</v>
      </c>
      <c r="F208" s="4" t="n">
        <f aca="false">ROUND(Raw_Data!F208,2)</f>
        <v>229.1</v>
      </c>
      <c r="G208" s="2" t="str">
        <f aca="false">PROPER(TRIM(Raw_Data!G208))</f>
        <v>729 Main St</v>
      </c>
      <c r="H208" s="2" t="str">
        <f aca="false">PROPER(TRIM(Raw_Data!H208))</f>
        <v>Gift Card</v>
      </c>
      <c r="I208" s="2" t="str">
        <f aca="false">PROPER(TRIM(Raw_Data!I208))</f>
        <v>Returned</v>
      </c>
      <c r="J208" s="2" t="str">
        <f aca="false">TRIM(UPPER(Raw_Data!J208))</f>
        <v>TRK77172975</v>
      </c>
      <c r="K208" s="2" t="n">
        <f aca="false">Raw_Data!K208</f>
        <v>8</v>
      </c>
      <c r="L208" s="2" t="str">
        <f aca="false">IF(TRIM(Raw_Data!L208)="","No Coupon",TRIM(UPPER(Raw_Data!L208)))</f>
        <v>WINTER15</v>
      </c>
      <c r="M208" s="2" t="str">
        <f aca="false">PROPER(TRIM(Raw_Data!M208))</f>
        <v>Email</v>
      </c>
      <c r="N208" s="4" t="n">
        <f aca="false">ROUND(E208*F208,2)</f>
        <v>916.4</v>
      </c>
      <c r="O208" s="2" t="str">
        <f aca="false">IF(COUNTIF($A$2:$A$1201,A208)&gt;1,"DUPLICATE","Unique")</f>
        <v>Unique</v>
      </c>
      <c r="P208" s="2" t="str">
        <f aca="false">IF(L208="","MISSING","OK")</f>
        <v>OK</v>
      </c>
      <c r="Q208" s="2" t="str">
        <f aca="false">IF(ISNUMBER(B208),"OK","BAD DATE")</f>
        <v>OK</v>
      </c>
      <c r="R208" s="2" t="str">
        <f aca="false">IF(ROUND(F208,2)=F208,"OK","FIX")</f>
        <v>OK</v>
      </c>
    </row>
    <row r="209" customFormat="false" ht="15" hidden="false" customHeight="false" outlineLevel="0" collapsed="false">
      <c r="A209" s="2" t="str">
        <f aca="false">TRIM(UPPER(Raw_Data!A209))</f>
        <v>ORD200207</v>
      </c>
      <c r="B209" s="3" t="n">
        <f aca="false">IF(ISNUMBER(Raw_Data!B209),Raw_Data!B209,DATEVALUE(Raw_Data!B209))</f>
        <v>45734</v>
      </c>
      <c r="C209" s="2" t="str">
        <f aca="false">TRIM(UPPER(Raw_Data!C209))</f>
        <v>C54595</v>
      </c>
      <c r="D209" s="2" t="str">
        <f aca="false">PROPER(TRIM(Raw_Data!D209))</f>
        <v>Phone</v>
      </c>
      <c r="E209" s="2" t="n">
        <f aca="false">Raw_Data!E209</f>
        <v>1</v>
      </c>
      <c r="F209" s="4" t="n">
        <f aca="false">ROUND(Raw_Data!F209,2)</f>
        <v>121.96</v>
      </c>
      <c r="G209" s="2" t="str">
        <f aca="false">PROPER(TRIM(Raw_Data!G209))</f>
        <v>999 Main St</v>
      </c>
      <c r="H209" s="2" t="str">
        <f aca="false">PROPER(TRIM(Raw_Data!H209))</f>
        <v>Debit Card</v>
      </c>
      <c r="I209" s="2" t="str">
        <f aca="false">PROPER(TRIM(Raw_Data!I209))</f>
        <v>Delivered</v>
      </c>
      <c r="J209" s="2" t="str">
        <f aca="false">TRIM(UPPER(Raw_Data!J209))</f>
        <v>TRK44416659</v>
      </c>
      <c r="K209" s="2" t="n">
        <f aca="false">Raw_Data!K209</f>
        <v>3</v>
      </c>
      <c r="L209" s="2" t="str">
        <f aca="false">IF(TRIM(Raw_Data!L209)="","No Coupon",TRIM(UPPER(Raw_Data!L209)))</f>
        <v>No Coupon</v>
      </c>
      <c r="M209" s="2" t="str">
        <f aca="false">PROPER(TRIM(Raw_Data!M209))</f>
        <v>Google</v>
      </c>
      <c r="N209" s="4" t="n">
        <f aca="false">ROUND(E209*F209,2)</f>
        <v>121.96</v>
      </c>
      <c r="O209" s="2" t="str">
        <f aca="false">IF(COUNTIF($A$2:$A$1201,A209)&gt;1,"DUPLICATE","Unique")</f>
        <v>Unique</v>
      </c>
      <c r="P209" s="2" t="str">
        <f aca="false">IF(L209="","MISSING","OK")</f>
        <v>OK</v>
      </c>
      <c r="Q209" s="2" t="str">
        <f aca="false">IF(ISNUMBER(B209),"OK","BAD DATE")</f>
        <v>OK</v>
      </c>
      <c r="R209" s="2" t="str">
        <f aca="false">IF(ROUND(F209,2)=F209,"OK","FIX")</f>
        <v>OK</v>
      </c>
    </row>
    <row r="210" customFormat="false" ht="15" hidden="false" customHeight="false" outlineLevel="0" collapsed="false">
      <c r="A210" s="2" t="str">
        <f aca="false">TRIM(UPPER(Raw_Data!A210))</f>
        <v>ORD200208</v>
      </c>
      <c r="B210" s="3" t="n">
        <f aca="false">IF(ISNUMBER(Raw_Data!B210),Raw_Data!B210,DATEVALUE(Raw_Data!B210))</f>
        <v>45573</v>
      </c>
      <c r="C210" s="2" t="str">
        <f aca="false">TRIM(UPPER(Raw_Data!C210))</f>
        <v>C87777</v>
      </c>
      <c r="D210" s="2" t="str">
        <f aca="false">PROPER(TRIM(Raw_Data!D210))</f>
        <v>Desk</v>
      </c>
      <c r="E210" s="2" t="n">
        <f aca="false">Raw_Data!E210</f>
        <v>2</v>
      </c>
      <c r="F210" s="4" t="n">
        <f aca="false">ROUND(Raw_Data!F210,2)</f>
        <v>408.32</v>
      </c>
      <c r="G210" s="2" t="str">
        <f aca="false">PROPER(TRIM(Raw_Data!G210))</f>
        <v>597 Main St</v>
      </c>
      <c r="H210" s="2" t="str">
        <f aca="false">PROPER(TRIM(Raw_Data!H210))</f>
        <v>Online</v>
      </c>
      <c r="I210" s="2" t="str">
        <f aca="false">PROPER(TRIM(Raw_Data!I210))</f>
        <v>Shipped</v>
      </c>
      <c r="J210" s="2" t="str">
        <f aca="false">TRIM(UPPER(Raw_Data!J210))</f>
        <v>TRK29003608</v>
      </c>
      <c r="K210" s="2" t="n">
        <f aca="false">Raw_Data!K210</f>
        <v>3</v>
      </c>
      <c r="L210" s="2" t="str">
        <f aca="false">IF(TRIM(Raw_Data!L210)="","No Coupon",TRIM(UPPER(Raw_Data!L210)))</f>
        <v>FREESHIP</v>
      </c>
      <c r="M210" s="2" t="str">
        <f aca="false">PROPER(TRIM(Raw_Data!M210))</f>
        <v>Facebook</v>
      </c>
      <c r="N210" s="4" t="n">
        <f aca="false">ROUND(E210*F210,2)</f>
        <v>816.64</v>
      </c>
      <c r="O210" s="2" t="str">
        <f aca="false">IF(COUNTIF($A$2:$A$1201,A210)&gt;1,"DUPLICATE","Unique")</f>
        <v>Unique</v>
      </c>
      <c r="P210" s="2" t="str">
        <f aca="false">IF(L210="","MISSING","OK")</f>
        <v>OK</v>
      </c>
      <c r="Q210" s="2" t="str">
        <f aca="false">IF(ISNUMBER(B210),"OK","BAD DATE")</f>
        <v>OK</v>
      </c>
      <c r="R210" s="2" t="str">
        <f aca="false">IF(ROUND(F210,2)=F210,"OK","FIX")</f>
        <v>OK</v>
      </c>
    </row>
    <row r="211" customFormat="false" ht="15" hidden="false" customHeight="false" outlineLevel="0" collapsed="false">
      <c r="A211" s="2" t="str">
        <f aca="false">TRIM(UPPER(Raw_Data!A211))</f>
        <v>ORD200209</v>
      </c>
      <c r="B211" s="3" t="n">
        <f aca="false">IF(ISNUMBER(Raw_Data!B211),Raw_Data!B211,DATEVALUE(Raw_Data!B211))</f>
        <v>45167</v>
      </c>
      <c r="C211" s="2" t="str">
        <f aca="false">TRIM(UPPER(Raw_Data!C211))</f>
        <v>C35854</v>
      </c>
      <c r="D211" s="2" t="str">
        <f aca="false">PROPER(TRIM(Raw_Data!D211))</f>
        <v>Tablet</v>
      </c>
      <c r="E211" s="2" t="n">
        <f aca="false">Raw_Data!E211</f>
        <v>5</v>
      </c>
      <c r="F211" s="4" t="n">
        <f aca="false">ROUND(Raw_Data!F211,2)</f>
        <v>187.97</v>
      </c>
      <c r="G211" s="2" t="str">
        <f aca="false">PROPER(TRIM(Raw_Data!G211))</f>
        <v>706 Main St</v>
      </c>
      <c r="H211" s="2" t="str">
        <f aca="false">PROPER(TRIM(Raw_Data!H211))</f>
        <v>Cash</v>
      </c>
      <c r="I211" s="2" t="str">
        <f aca="false">PROPER(TRIM(Raw_Data!I211))</f>
        <v>Returned</v>
      </c>
      <c r="J211" s="2" t="str">
        <f aca="false">TRIM(UPPER(Raw_Data!J211))</f>
        <v>TRK30615168</v>
      </c>
      <c r="K211" s="2" t="n">
        <f aca="false">Raw_Data!K211</f>
        <v>9</v>
      </c>
      <c r="L211" s="2" t="str">
        <f aca="false">IF(TRIM(Raw_Data!L211)="","No Coupon",TRIM(UPPER(Raw_Data!L211)))</f>
        <v>SAVE10</v>
      </c>
      <c r="M211" s="2" t="str">
        <f aca="false">PROPER(TRIM(Raw_Data!M211))</f>
        <v>Google</v>
      </c>
      <c r="N211" s="4" t="n">
        <f aca="false">ROUND(E211*F211,2)</f>
        <v>939.85</v>
      </c>
      <c r="O211" s="2" t="str">
        <f aca="false">IF(COUNTIF($A$2:$A$1201,A211)&gt;1,"DUPLICATE","Unique")</f>
        <v>Unique</v>
      </c>
      <c r="P211" s="2" t="str">
        <f aca="false">IF(L211="","MISSING","OK")</f>
        <v>OK</v>
      </c>
      <c r="Q211" s="2" t="str">
        <f aca="false">IF(ISNUMBER(B211),"OK","BAD DATE")</f>
        <v>OK</v>
      </c>
      <c r="R211" s="2" t="str">
        <f aca="false">IF(ROUND(F211,2)=F211,"OK","FIX")</f>
        <v>OK</v>
      </c>
    </row>
    <row r="212" customFormat="false" ht="15" hidden="false" customHeight="false" outlineLevel="0" collapsed="false">
      <c r="A212" s="2" t="str">
        <f aca="false">TRIM(UPPER(Raw_Data!A212))</f>
        <v>ORD200210</v>
      </c>
      <c r="B212" s="3" t="n">
        <f aca="false">IF(ISNUMBER(Raw_Data!B212),Raw_Data!B212,DATEVALUE(Raw_Data!B212))</f>
        <v>45631</v>
      </c>
      <c r="C212" s="2" t="str">
        <f aca="false">TRIM(UPPER(Raw_Data!C212))</f>
        <v>C93821</v>
      </c>
      <c r="D212" s="2" t="str">
        <f aca="false">PROPER(TRIM(Raw_Data!D212))</f>
        <v>Chair</v>
      </c>
      <c r="E212" s="2" t="n">
        <f aca="false">Raw_Data!E212</f>
        <v>3</v>
      </c>
      <c r="F212" s="4" t="n">
        <f aca="false">ROUND(Raw_Data!F212,2)</f>
        <v>358.48</v>
      </c>
      <c r="G212" s="2" t="str">
        <f aca="false">PROPER(TRIM(Raw_Data!G212))</f>
        <v>513 Main St</v>
      </c>
      <c r="H212" s="2" t="str">
        <f aca="false">PROPER(TRIM(Raw_Data!H212))</f>
        <v>Gift Card</v>
      </c>
      <c r="I212" s="2" t="str">
        <f aca="false">PROPER(TRIM(Raw_Data!I212))</f>
        <v>Delivered</v>
      </c>
      <c r="J212" s="2" t="str">
        <f aca="false">TRIM(UPPER(Raw_Data!J212))</f>
        <v>TRK10658539</v>
      </c>
      <c r="K212" s="2" t="n">
        <f aca="false">Raw_Data!K212</f>
        <v>7</v>
      </c>
      <c r="L212" s="2" t="str">
        <f aca="false">IF(TRIM(Raw_Data!L212)="","No Coupon",TRIM(UPPER(Raw_Data!L212)))</f>
        <v>FREESHIP</v>
      </c>
      <c r="M212" s="2" t="str">
        <f aca="false">PROPER(TRIM(Raw_Data!M212))</f>
        <v>Facebook</v>
      </c>
      <c r="N212" s="4" t="n">
        <f aca="false">ROUND(E212*F212,2)</f>
        <v>1075.44</v>
      </c>
      <c r="O212" s="2" t="str">
        <f aca="false">IF(COUNTIF($A$2:$A$1201,A212)&gt;1,"DUPLICATE","Unique")</f>
        <v>Unique</v>
      </c>
      <c r="P212" s="2" t="str">
        <f aca="false">IF(L212="","MISSING","OK")</f>
        <v>OK</v>
      </c>
      <c r="Q212" s="2" t="str">
        <f aca="false">IF(ISNUMBER(B212),"OK","BAD DATE")</f>
        <v>OK</v>
      </c>
      <c r="R212" s="2" t="str">
        <f aca="false">IF(ROUND(F212,2)=F212,"OK","FIX")</f>
        <v>OK</v>
      </c>
    </row>
    <row r="213" customFormat="false" ht="15" hidden="false" customHeight="false" outlineLevel="0" collapsed="false">
      <c r="A213" s="2" t="str">
        <f aca="false">TRIM(UPPER(Raw_Data!A213))</f>
        <v>ORD200211</v>
      </c>
      <c r="B213" s="3" t="n">
        <f aca="false">IF(ISNUMBER(Raw_Data!B213),Raw_Data!B213,DATEVALUE(Raw_Data!B213))</f>
        <v>45660</v>
      </c>
      <c r="C213" s="2" t="str">
        <f aca="false">TRIM(UPPER(Raw_Data!C213))</f>
        <v>C54390</v>
      </c>
      <c r="D213" s="2" t="str">
        <f aca="false">PROPER(TRIM(Raw_Data!D213))</f>
        <v>Printer</v>
      </c>
      <c r="E213" s="2" t="n">
        <f aca="false">Raw_Data!E213</f>
        <v>3</v>
      </c>
      <c r="F213" s="4" t="n">
        <f aca="false">ROUND(Raw_Data!F213,2)</f>
        <v>193.58</v>
      </c>
      <c r="G213" s="2" t="str">
        <f aca="false">PROPER(TRIM(Raw_Data!G213))</f>
        <v>185 Main St</v>
      </c>
      <c r="H213" s="2" t="str">
        <f aca="false">PROPER(TRIM(Raw_Data!H213))</f>
        <v>Gift Card</v>
      </c>
      <c r="I213" s="2" t="str">
        <f aca="false">PROPER(TRIM(Raw_Data!I213))</f>
        <v>Pending</v>
      </c>
      <c r="J213" s="2" t="str">
        <f aca="false">TRIM(UPPER(Raw_Data!J213))</f>
        <v>TRK83853742</v>
      </c>
      <c r="K213" s="2" t="n">
        <f aca="false">Raw_Data!K213</f>
        <v>7</v>
      </c>
      <c r="L213" s="2" t="str">
        <f aca="false">IF(TRIM(Raw_Data!L213)="","No Coupon",TRIM(UPPER(Raw_Data!L213)))</f>
        <v>FREESHIP</v>
      </c>
      <c r="M213" s="2" t="str">
        <f aca="false">PROPER(TRIM(Raw_Data!M213))</f>
        <v>Email</v>
      </c>
      <c r="N213" s="4" t="n">
        <f aca="false">ROUND(E213*F213,2)</f>
        <v>580.74</v>
      </c>
      <c r="O213" s="2" t="str">
        <f aca="false">IF(COUNTIF($A$2:$A$1201,A213)&gt;1,"DUPLICATE","Unique")</f>
        <v>Unique</v>
      </c>
      <c r="P213" s="2" t="str">
        <f aca="false">IF(L213="","MISSING","OK")</f>
        <v>OK</v>
      </c>
      <c r="Q213" s="2" t="str">
        <f aca="false">IF(ISNUMBER(B213),"OK","BAD DATE")</f>
        <v>OK</v>
      </c>
      <c r="R213" s="2" t="str">
        <f aca="false">IF(ROUND(F213,2)=F213,"OK","FIX")</f>
        <v>OK</v>
      </c>
    </row>
    <row r="214" customFormat="false" ht="15" hidden="false" customHeight="false" outlineLevel="0" collapsed="false">
      <c r="A214" s="2" t="str">
        <f aca="false">TRIM(UPPER(Raw_Data!A214))</f>
        <v>ORD200212</v>
      </c>
      <c r="B214" s="3" t="n">
        <f aca="false">IF(ISNUMBER(Raw_Data!B214),Raw_Data!B214,DATEVALUE(Raw_Data!B214))</f>
        <v>45097</v>
      </c>
      <c r="C214" s="2" t="str">
        <f aca="false">TRIM(UPPER(Raw_Data!C214))</f>
        <v>C53215</v>
      </c>
      <c r="D214" s="2" t="str">
        <f aca="false">PROPER(TRIM(Raw_Data!D214))</f>
        <v>Monitor</v>
      </c>
      <c r="E214" s="2" t="n">
        <f aca="false">Raw_Data!E214</f>
        <v>1</v>
      </c>
      <c r="F214" s="4" t="n">
        <f aca="false">ROUND(Raw_Data!F214,2)</f>
        <v>265.38</v>
      </c>
      <c r="G214" s="2" t="str">
        <f aca="false">PROPER(TRIM(Raw_Data!G214))</f>
        <v>367 Main St</v>
      </c>
      <c r="H214" s="2" t="str">
        <f aca="false">PROPER(TRIM(Raw_Data!H214))</f>
        <v>Credit Card</v>
      </c>
      <c r="I214" s="2" t="str">
        <f aca="false">PROPER(TRIM(Raw_Data!I214))</f>
        <v>Cancelled</v>
      </c>
      <c r="J214" s="2" t="str">
        <f aca="false">TRIM(UPPER(Raw_Data!J214))</f>
        <v>TRK34751835</v>
      </c>
      <c r="K214" s="2" t="n">
        <f aca="false">Raw_Data!K214</f>
        <v>6</v>
      </c>
      <c r="L214" s="2" t="str">
        <f aca="false">IF(TRIM(Raw_Data!L214)="","No Coupon",TRIM(UPPER(Raw_Data!L214)))</f>
        <v>WINTER15</v>
      </c>
      <c r="M214" s="2" t="str">
        <f aca="false">PROPER(TRIM(Raw_Data!M214))</f>
        <v>Email</v>
      </c>
      <c r="N214" s="4" t="n">
        <f aca="false">ROUND(E214*F214,2)</f>
        <v>265.38</v>
      </c>
      <c r="O214" s="2" t="str">
        <f aca="false">IF(COUNTIF($A$2:$A$1201,A214)&gt;1,"DUPLICATE","Unique")</f>
        <v>Unique</v>
      </c>
      <c r="P214" s="2" t="str">
        <f aca="false">IF(L214="","MISSING","OK")</f>
        <v>OK</v>
      </c>
      <c r="Q214" s="2" t="str">
        <f aca="false">IF(ISNUMBER(B214),"OK","BAD DATE")</f>
        <v>OK</v>
      </c>
      <c r="R214" s="2" t="str">
        <f aca="false">IF(ROUND(F214,2)=F214,"OK","FIX")</f>
        <v>OK</v>
      </c>
    </row>
    <row r="215" customFormat="false" ht="15" hidden="false" customHeight="false" outlineLevel="0" collapsed="false">
      <c r="A215" s="2" t="str">
        <f aca="false">TRIM(UPPER(Raw_Data!A215))</f>
        <v>ORD200213</v>
      </c>
      <c r="B215" s="3" t="n">
        <f aca="false">IF(ISNUMBER(Raw_Data!B215),Raw_Data!B215,DATEVALUE(Raw_Data!B215))</f>
        <v>45036</v>
      </c>
      <c r="C215" s="2" t="str">
        <f aca="false">TRIM(UPPER(Raw_Data!C215))</f>
        <v>C71122</v>
      </c>
      <c r="D215" s="2" t="str">
        <f aca="false">PROPER(TRIM(Raw_Data!D215))</f>
        <v>Laptop</v>
      </c>
      <c r="E215" s="2" t="n">
        <f aca="false">Raw_Data!E215</f>
        <v>1</v>
      </c>
      <c r="F215" s="4" t="n">
        <f aca="false">ROUND(Raw_Data!F215,2)</f>
        <v>634.4</v>
      </c>
      <c r="G215" s="2" t="str">
        <f aca="false">PROPER(TRIM(Raw_Data!G215))</f>
        <v>317 Main St</v>
      </c>
      <c r="H215" s="2" t="str">
        <f aca="false">PROPER(TRIM(Raw_Data!H215))</f>
        <v>Cash</v>
      </c>
      <c r="I215" s="2" t="str">
        <f aca="false">PROPER(TRIM(Raw_Data!I215))</f>
        <v>Cancelled</v>
      </c>
      <c r="J215" s="2" t="str">
        <f aca="false">TRIM(UPPER(Raw_Data!J215))</f>
        <v>TRK54757882</v>
      </c>
      <c r="K215" s="2" t="n">
        <f aca="false">Raw_Data!K215</f>
        <v>6</v>
      </c>
      <c r="L215" s="2" t="str">
        <f aca="false">IF(TRIM(Raw_Data!L215)="","No Coupon",TRIM(UPPER(Raw_Data!L215)))</f>
        <v>SAVE10</v>
      </c>
      <c r="M215" s="2" t="str">
        <f aca="false">PROPER(TRIM(Raw_Data!M215))</f>
        <v>Email</v>
      </c>
      <c r="N215" s="4" t="n">
        <f aca="false">ROUND(E215*F215,2)</f>
        <v>634.4</v>
      </c>
      <c r="O215" s="2" t="str">
        <f aca="false">IF(COUNTIF($A$2:$A$1201,A215)&gt;1,"DUPLICATE","Unique")</f>
        <v>Unique</v>
      </c>
      <c r="P215" s="2" t="str">
        <f aca="false">IF(L215="","MISSING","OK")</f>
        <v>OK</v>
      </c>
      <c r="Q215" s="2" t="str">
        <f aca="false">IF(ISNUMBER(B215),"OK","BAD DATE")</f>
        <v>OK</v>
      </c>
      <c r="R215" s="2" t="str">
        <f aca="false">IF(ROUND(F215,2)=F215,"OK","FIX")</f>
        <v>OK</v>
      </c>
    </row>
    <row r="216" customFormat="false" ht="15" hidden="false" customHeight="false" outlineLevel="0" collapsed="false">
      <c r="A216" s="2" t="str">
        <f aca="false">TRIM(UPPER(Raw_Data!A216))</f>
        <v>ORD200214</v>
      </c>
      <c r="B216" s="3" t="n">
        <f aca="false">IF(ISNUMBER(Raw_Data!B216),Raw_Data!B216,DATEVALUE(Raw_Data!B216))</f>
        <v>45525</v>
      </c>
      <c r="C216" s="2" t="str">
        <f aca="false">TRIM(UPPER(Raw_Data!C216))</f>
        <v>C29483</v>
      </c>
      <c r="D216" s="2" t="str">
        <f aca="false">PROPER(TRIM(Raw_Data!D216))</f>
        <v>Desk</v>
      </c>
      <c r="E216" s="2" t="n">
        <f aca="false">Raw_Data!E216</f>
        <v>4</v>
      </c>
      <c r="F216" s="4" t="n">
        <f aca="false">ROUND(Raw_Data!F216,2)</f>
        <v>305.72</v>
      </c>
      <c r="G216" s="2" t="str">
        <f aca="false">PROPER(TRIM(Raw_Data!G216))</f>
        <v>673 Main St</v>
      </c>
      <c r="H216" s="2" t="str">
        <f aca="false">PROPER(TRIM(Raw_Data!H216))</f>
        <v>Online</v>
      </c>
      <c r="I216" s="2" t="str">
        <f aca="false">PROPER(TRIM(Raw_Data!I216))</f>
        <v>Delivered</v>
      </c>
      <c r="J216" s="2" t="str">
        <f aca="false">TRIM(UPPER(Raw_Data!J216))</f>
        <v>TRK89423603</v>
      </c>
      <c r="K216" s="2" t="n">
        <f aca="false">Raw_Data!K216</f>
        <v>5</v>
      </c>
      <c r="L216" s="2" t="str">
        <f aca="false">IF(TRIM(Raw_Data!L216)="","No Coupon",TRIM(UPPER(Raw_Data!L216)))</f>
        <v>No Coupon</v>
      </c>
      <c r="M216" s="2" t="str">
        <f aca="false">PROPER(TRIM(Raw_Data!M216))</f>
        <v>Facebook</v>
      </c>
      <c r="N216" s="4" t="n">
        <f aca="false">ROUND(E216*F216,2)</f>
        <v>1222.88</v>
      </c>
      <c r="O216" s="2" t="str">
        <f aca="false">IF(COUNTIF($A$2:$A$1201,A216)&gt;1,"DUPLICATE","Unique")</f>
        <v>Unique</v>
      </c>
      <c r="P216" s="2" t="str">
        <f aca="false">IF(L216="","MISSING","OK")</f>
        <v>OK</v>
      </c>
      <c r="Q216" s="2" t="str">
        <f aca="false">IF(ISNUMBER(B216),"OK","BAD DATE")</f>
        <v>OK</v>
      </c>
      <c r="R216" s="2" t="str">
        <f aca="false">IF(ROUND(F216,2)=F216,"OK","FIX")</f>
        <v>OK</v>
      </c>
    </row>
    <row r="217" customFormat="false" ht="15" hidden="false" customHeight="false" outlineLevel="0" collapsed="false">
      <c r="A217" s="2" t="str">
        <f aca="false">TRIM(UPPER(Raw_Data!A217))</f>
        <v>ORD200215</v>
      </c>
      <c r="B217" s="3" t="n">
        <f aca="false">IF(ISNUMBER(Raw_Data!B217),Raw_Data!B217,DATEVALUE(Raw_Data!B217))</f>
        <v>45148</v>
      </c>
      <c r="C217" s="2" t="str">
        <f aca="false">TRIM(UPPER(Raw_Data!C217))</f>
        <v>C26767</v>
      </c>
      <c r="D217" s="2" t="str">
        <f aca="false">PROPER(TRIM(Raw_Data!D217))</f>
        <v>Printer</v>
      </c>
      <c r="E217" s="2" t="n">
        <f aca="false">Raw_Data!E217</f>
        <v>1</v>
      </c>
      <c r="F217" s="4" t="n">
        <f aca="false">ROUND(Raw_Data!F217,2)</f>
        <v>303.6</v>
      </c>
      <c r="G217" s="2" t="str">
        <f aca="false">PROPER(TRIM(Raw_Data!G217))</f>
        <v>432 Main St</v>
      </c>
      <c r="H217" s="2" t="str">
        <f aca="false">PROPER(TRIM(Raw_Data!H217))</f>
        <v>Cash</v>
      </c>
      <c r="I217" s="2" t="str">
        <f aca="false">PROPER(TRIM(Raw_Data!I217))</f>
        <v>Shipped</v>
      </c>
      <c r="J217" s="2" t="str">
        <f aca="false">TRIM(UPPER(Raw_Data!J217))</f>
        <v>TRK24585307</v>
      </c>
      <c r="K217" s="2" t="n">
        <f aca="false">Raw_Data!K217</f>
        <v>5</v>
      </c>
      <c r="L217" s="2" t="str">
        <f aca="false">IF(TRIM(Raw_Data!L217)="","No Coupon",TRIM(UPPER(Raw_Data!L217)))</f>
        <v>FREESHIP</v>
      </c>
      <c r="M217" s="2" t="str">
        <f aca="false">PROPER(TRIM(Raw_Data!M217))</f>
        <v>Facebook</v>
      </c>
      <c r="N217" s="4" t="n">
        <f aca="false">ROUND(E217*F217,2)</f>
        <v>303.6</v>
      </c>
      <c r="O217" s="2" t="str">
        <f aca="false">IF(COUNTIF($A$2:$A$1201,A217)&gt;1,"DUPLICATE","Unique")</f>
        <v>Unique</v>
      </c>
      <c r="P217" s="2" t="str">
        <f aca="false">IF(L217="","MISSING","OK")</f>
        <v>OK</v>
      </c>
      <c r="Q217" s="2" t="str">
        <f aca="false">IF(ISNUMBER(B217),"OK","BAD DATE")</f>
        <v>OK</v>
      </c>
      <c r="R217" s="2" t="str">
        <f aca="false">IF(ROUND(F217,2)=F217,"OK","FIX")</f>
        <v>OK</v>
      </c>
    </row>
    <row r="218" customFormat="false" ht="15" hidden="false" customHeight="false" outlineLevel="0" collapsed="false">
      <c r="A218" s="2" t="str">
        <f aca="false">TRIM(UPPER(Raw_Data!A218))</f>
        <v>ORD200216</v>
      </c>
      <c r="B218" s="3" t="n">
        <f aca="false">IF(ISNUMBER(Raw_Data!B218),Raw_Data!B218,DATEVALUE(Raw_Data!B218))</f>
        <v>45762</v>
      </c>
      <c r="C218" s="2" t="str">
        <f aca="false">TRIM(UPPER(Raw_Data!C218))</f>
        <v>C70492</v>
      </c>
      <c r="D218" s="2" t="str">
        <f aca="false">PROPER(TRIM(Raw_Data!D218))</f>
        <v>Monitor</v>
      </c>
      <c r="E218" s="2" t="n">
        <f aca="false">Raw_Data!E218</f>
        <v>4</v>
      </c>
      <c r="F218" s="4" t="n">
        <f aca="false">ROUND(Raw_Data!F218,2)</f>
        <v>496</v>
      </c>
      <c r="G218" s="2" t="str">
        <f aca="false">PROPER(TRIM(Raw_Data!G218))</f>
        <v>811 Main St</v>
      </c>
      <c r="H218" s="2" t="str">
        <f aca="false">PROPER(TRIM(Raw_Data!H218))</f>
        <v>Online</v>
      </c>
      <c r="I218" s="2" t="str">
        <f aca="false">PROPER(TRIM(Raw_Data!I218))</f>
        <v>Cancelled</v>
      </c>
      <c r="J218" s="2" t="str">
        <f aca="false">TRIM(UPPER(Raw_Data!J218))</f>
        <v>TRK84625405</v>
      </c>
      <c r="K218" s="2" t="n">
        <f aca="false">Raw_Data!K218</f>
        <v>8</v>
      </c>
      <c r="L218" s="2" t="str">
        <f aca="false">IF(TRIM(Raw_Data!L218)="","No Coupon",TRIM(UPPER(Raw_Data!L218)))</f>
        <v>WINTER15</v>
      </c>
      <c r="M218" s="2" t="str">
        <f aca="false">PROPER(TRIM(Raw_Data!M218))</f>
        <v>Google</v>
      </c>
      <c r="N218" s="4" t="n">
        <f aca="false">ROUND(E218*F218,2)</f>
        <v>1984</v>
      </c>
      <c r="O218" s="2" t="str">
        <f aca="false">IF(COUNTIF($A$2:$A$1201,A218)&gt;1,"DUPLICATE","Unique")</f>
        <v>Unique</v>
      </c>
      <c r="P218" s="2" t="str">
        <f aca="false">IF(L218="","MISSING","OK")</f>
        <v>OK</v>
      </c>
      <c r="Q218" s="2" t="str">
        <f aca="false">IF(ISNUMBER(B218),"OK","BAD DATE")</f>
        <v>OK</v>
      </c>
      <c r="R218" s="2" t="str">
        <f aca="false">IF(ROUND(F218,2)=F218,"OK","FIX")</f>
        <v>OK</v>
      </c>
    </row>
    <row r="219" customFormat="false" ht="15" hidden="false" customHeight="false" outlineLevel="0" collapsed="false">
      <c r="A219" s="2" t="str">
        <f aca="false">TRIM(UPPER(Raw_Data!A219))</f>
        <v>ORD200217</v>
      </c>
      <c r="B219" s="3" t="n">
        <f aca="false">IF(ISNUMBER(Raw_Data!B219),Raw_Data!B219,DATEVALUE(Raw_Data!B219))</f>
        <v>45432</v>
      </c>
      <c r="C219" s="2" t="str">
        <f aca="false">TRIM(UPPER(Raw_Data!C219))</f>
        <v>C61549</v>
      </c>
      <c r="D219" s="2" t="str">
        <f aca="false">PROPER(TRIM(Raw_Data!D219))</f>
        <v>Desk</v>
      </c>
      <c r="E219" s="2" t="n">
        <f aca="false">Raw_Data!E219</f>
        <v>4</v>
      </c>
      <c r="F219" s="4" t="n">
        <f aca="false">ROUND(Raw_Data!F219,2)</f>
        <v>321.51</v>
      </c>
      <c r="G219" s="2" t="str">
        <f aca="false">PROPER(TRIM(Raw_Data!G219))</f>
        <v>908 Main St</v>
      </c>
      <c r="H219" s="2" t="str">
        <f aca="false">PROPER(TRIM(Raw_Data!H219))</f>
        <v>Cash</v>
      </c>
      <c r="I219" s="2" t="str">
        <f aca="false">PROPER(TRIM(Raw_Data!I219))</f>
        <v>Returned</v>
      </c>
      <c r="J219" s="2" t="str">
        <f aca="false">TRIM(UPPER(Raw_Data!J219))</f>
        <v>TRK65596914</v>
      </c>
      <c r="K219" s="2" t="n">
        <f aca="false">Raw_Data!K219</f>
        <v>9</v>
      </c>
      <c r="L219" s="2" t="str">
        <f aca="false">IF(TRIM(Raw_Data!L219)="","No Coupon",TRIM(UPPER(Raw_Data!L219)))</f>
        <v>No Coupon</v>
      </c>
      <c r="M219" s="2" t="str">
        <f aca="false">PROPER(TRIM(Raw_Data!M219))</f>
        <v>Google</v>
      </c>
      <c r="N219" s="4" t="n">
        <f aca="false">ROUND(E219*F219,2)</f>
        <v>1286.04</v>
      </c>
      <c r="O219" s="2" t="str">
        <f aca="false">IF(COUNTIF($A$2:$A$1201,A219)&gt;1,"DUPLICATE","Unique")</f>
        <v>Unique</v>
      </c>
      <c r="P219" s="2" t="str">
        <f aca="false">IF(L219="","MISSING","OK")</f>
        <v>OK</v>
      </c>
      <c r="Q219" s="2" t="str">
        <f aca="false">IF(ISNUMBER(B219),"OK","BAD DATE")</f>
        <v>OK</v>
      </c>
      <c r="R219" s="2" t="str">
        <f aca="false">IF(ROUND(F219,2)=F219,"OK","FIX")</f>
        <v>OK</v>
      </c>
    </row>
    <row r="220" customFormat="false" ht="15" hidden="false" customHeight="false" outlineLevel="0" collapsed="false">
      <c r="A220" s="2" t="str">
        <f aca="false">TRIM(UPPER(Raw_Data!A220))</f>
        <v>ORD200218</v>
      </c>
      <c r="B220" s="3" t="n">
        <f aca="false">IF(ISNUMBER(Raw_Data!B220),Raw_Data!B220,DATEVALUE(Raw_Data!B220))</f>
        <v>45044</v>
      </c>
      <c r="C220" s="2" t="str">
        <f aca="false">TRIM(UPPER(Raw_Data!C220))</f>
        <v>C11665</v>
      </c>
      <c r="D220" s="2" t="str">
        <f aca="false">PROPER(TRIM(Raw_Data!D220))</f>
        <v>Tablet</v>
      </c>
      <c r="E220" s="2" t="n">
        <f aca="false">Raw_Data!E220</f>
        <v>3</v>
      </c>
      <c r="F220" s="4" t="n">
        <f aca="false">ROUND(Raw_Data!F220,2)</f>
        <v>112.46</v>
      </c>
      <c r="G220" s="2" t="str">
        <f aca="false">PROPER(TRIM(Raw_Data!G220))</f>
        <v>882 Main St</v>
      </c>
      <c r="H220" s="2" t="str">
        <f aca="false">PROPER(TRIM(Raw_Data!H220))</f>
        <v>Gift Card</v>
      </c>
      <c r="I220" s="2" t="str">
        <f aca="false">PROPER(TRIM(Raw_Data!I220))</f>
        <v>Shipped</v>
      </c>
      <c r="J220" s="2" t="str">
        <f aca="false">TRIM(UPPER(Raw_Data!J220))</f>
        <v>TRK10993930</v>
      </c>
      <c r="K220" s="2" t="n">
        <f aca="false">Raw_Data!K220</f>
        <v>6</v>
      </c>
      <c r="L220" s="2" t="str">
        <f aca="false">IF(TRIM(Raw_Data!L220)="","No Coupon",TRIM(UPPER(Raw_Data!L220)))</f>
        <v>SAVE10</v>
      </c>
      <c r="M220" s="2" t="str">
        <f aca="false">PROPER(TRIM(Raw_Data!M220))</f>
        <v>Instagram</v>
      </c>
      <c r="N220" s="4" t="n">
        <f aca="false">ROUND(E220*F220,2)</f>
        <v>337.38</v>
      </c>
      <c r="O220" s="2" t="str">
        <f aca="false">IF(COUNTIF($A$2:$A$1201,A220)&gt;1,"DUPLICATE","Unique")</f>
        <v>Unique</v>
      </c>
      <c r="P220" s="2" t="str">
        <f aca="false">IF(L220="","MISSING","OK")</f>
        <v>OK</v>
      </c>
      <c r="Q220" s="2" t="str">
        <f aca="false">IF(ISNUMBER(B220),"OK","BAD DATE")</f>
        <v>OK</v>
      </c>
      <c r="R220" s="2" t="str">
        <f aca="false">IF(ROUND(F220,2)=F220,"OK","FIX")</f>
        <v>OK</v>
      </c>
    </row>
    <row r="221" customFormat="false" ht="15" hidden="false" customHeight="false" outlineLevel="0" collapsed="false">
      <c r="A221" s="2" t="str">
        <f aca="false">TRIM(UPPER(Raw_Data!A221))</f>
        <v>ORD200219</v>
      </c>
      <c r="B221" s="3" t="n">
        <f aca="false">IF(ISNUMBER(Raw_Data!B221),Raw_Data!B221,DATEVALUE(Raw_Data!B221))</f>
        <v>45779</v>
      </c>
      <c r="C221" s="2" t="str">
        <f aca="false">TRIM(UPPER(Raw_Data!C221))</f>
        <v>C48946</v>
      </c>
      <c r="D221" s="2" t="str">
        <f aca="false">PROPER(TRIM(Raw_Data!D221))</f>
        <v>Laptop</v>
      </c>
      <c r="E221" s="2" t="n">
        <f aca="false">Raw_Data!E221</f>
        <v>5</v>
      </c>
      <c r="F221" s="4" t="n">
        <f aca="false">ROUND(Raw_Data!F221,2)</f>
        <v>61.97</v>
      </c>
      <c r="G221" s="2" t="str">
        <f aca="false">PROPER(TRIM(Raw_Data!G221))</f>
        <v>457 Main St</v>
      </c>
      <c r="H221" s="2" t="str">
        <f aca="false">PROPER(TRIM(Raw_Data!H221))</f>
        <v>Cash</v>
      </c>
      <c r="I221" s="2" t="str">
        <f aca="false">PROPER(TRIM(Raw_Data!I221))</f>
        <v>Delivered</v>
      </c>
      <c r="J221" s="2" t="str">
        <f aca="false">TRIM(UPPER(Raw_Data!J221))</f>
        <v>TRK99387220</v>
      </c>
      <c r="K221" s="2" t="n">
        <f aca="false">Raw_Data!K221</f>
        <v>6</v>
      </c>
      <c r="L221" s="2" t="str">
        <f aca="false">IF(TRIM(Raw_Data!L221)="","No Coupon",TRIM(UPPER(Raw_Data!L221)))</f>
        <v>SAVE10</v>
      </c>
      <c r="M221" s="2" t="str">
        <f aca="false">PROPER(TRIM(Raw_Data!M221))</f>
        <v>Email</v>
      </c>
      <c r="N221" s="4" t="n">
        <f aca="false">ROUND(E221*F221,2)</f>
        <v>309.85</v>
      </c>
      <c r="O221" s="2" t="str">
        <f aca="false">IF(COUNTIF($A$2:$A$1201,A221)&gt;1,"DUPLICATE","Unique")</f>
        <v>Unique</v>
      </c>
      <c r="P221" s="2" t="str">
        <f aca="false">IF(L221="","MISSING","OK")</f>
        <v>OK</v>
      </c>
      <c r="Q221" s="2" t="str">
        <f aca="false">IF(ISNUMBER(B221),"OK","BAD DATE")</f>
        <v>OK</v>
      </c>
      <c r="R221" s="2" t="str">
        <f aca="false">IF(ROUND(F221,2)=F221,"OK","FIX")</f>
        <v>OK</v>
      </c>
    </row>
    <row r="222" customFormat="false" ht="15" hidden="false" customHeight="false" outlineLevel="0" collapsed="false">
      <c r="A222" s="2" t="str">
        <f aca="false">TRIM(UPPER(Raw_Data!A222))</f>
        <v>ORD200220</v>
      </c>
      <c r="B222" s="3" t="n">
        <f aca="false">IF(ISNUMBER(Raw_Data!B222),Raw_Data!B222,DATEVALUE(Raw_Data!B222))</f>
        <v>45125</v>
      </c>
      <c r="C222" s="2" t="str">
        <f aca="false">TRIM(UPPER(Raw_Data!C222))</f>
        <v>C79506</v>
      </c>
      <c r="D222" s="2" t="str">
        <f aca="false">PROPER(TRIM(Raw_Data!D222))</f>
        <v>Laptop</v>
      </c>
      <c r="E222" s="2" t="n">
        <f aca="false">Raw_Data!E222</f>
        <v>2</v>
      </c>
      <c r="F222" s="4" t="n">
        <f aca="false">ROUND(Raw_Data!F222,2)</f>
        <v>373.17</v>
      </c>
      <c r="G222" s="2" t="str">
        <f aca="false">PROPER(TRIM(Raw_Data!G222))</f>
        <v>497 Main St</v>
      </c>
      <c r="H222" s="2" t="str">
        <f aca="false">PROPER(TRIM(Raw_Data!H222))</f>
        <v>Credit Card</v>
      </c>
      <c r="I222" s="2" t="str">
        <f aca="false">PROPER(TRIM(Raw_Data!I222))</f>
        <v>Pending</v>
      </c>
      <c r="J222" s="2" t="str">
        <f aca="false">TRIM(UPPER(Raw_Data!J222))</f>
        <v>TRK95188748</v>
      </c>
      <c r="K222" s="2" t="n">
        <f aca="false">Raw_Data!K222</f>
        <v>6</v>
      </c>
      <c r="L222" s="2" t="str">
        <f aca="false">IF(TRIM(Raw_Data!L222)="","No Coupon",TRIM(UPPER(Raw_Data!L222)))</f>
        <v>SAVE10</v>
      </c>
      <c r="M222" s="2" t="str">
        <f aca="false">PROPER(TRIM(Raw_Data!M222))</f>
        <v>Referral</v>
      </c>
      <c r="N222" s="4" t="n">
        <f aca="false">ROUND(E222*F222,2)</f>
        <v>746.34</v>
      </c>
      <c r="O222" s="2" t="str">
        <f aca="false">IF(COUNTIF($A$2:$A$1201,A222)&gt;1,"DUPLICATE","Unique")</f>
        <v>Unique</v>
      </c>
      <c r="P222" s="2" t="str">
        <f aca="false">IF(L222="","MISSING","OK")</f>
        <v>OK</v>
      </c>
      <c r="Q222" s="2" t="str">
        <f aca="false">IF(ISNUMBER(B222),"OK","BAD DATE")</f>
        <v>OK</v>
      </c>
      <c r="R222" s="2" t="str">
        <f aca="false">IF(ROUND(F222,2)=F222,"OK","FIX")</f>
        <v>OK</v>
      </c>
    </row>
    <row r="223" customFormat="false" ht="15" hidden="false" customHeight="false" outlineLevel="0" collapsed="false">
      <c r="A223" s="2" t="str">
        <f aca="false">TRIM(UPPER(Raw_Data!A223))</f>
        <v>ORD200221</v>
      </c>
      <c r="B223" s="3" t="n">
        <f aca="false">IF(ISNUMBER(Raw_Data!B223),Raw_Data!B223,DATEVALUE(Raw_Data!B223))</f>
        <v>45345</v>
      </c>
      <c r="C223" s="2" t="str">
        <f aca="false">TRIM(UPPER(Raw_Data!C223))</f>
        <v>C93473</v>
      </c>
      <c r="D223" s="2" t="str">
        <f aca="false">PROPER(TRIM(Raw_Data!D223))</f>
        <v>Tablet</v>
      </c>
      <c r="E223" s="2" t="n">
        <f aca="false">Raw_Data!E223</f>
        <v>5</v>
      </c>
      <c r="F223" s="4" t="n">
        <f aca="false">ROUND(Raw_Data!F223,2)</f>
        <v>639.37</v>
      </c>
      <c r="G223" s="2" t="str">
        <f aca="false">PROPER(TRIM(Raw_Data!G223))</f>
        <v>552 Main St</v>
      </c>
      <c r="H223" s="2" t="str">
        <f aca="false">PROPER(TRIM(Raw_Data!H223))</f>
        <v>Debit Card</v>
      </c>
      <c r="I223" s="2" t="str">
        <f aca="false">PROPER(TRIM(Raw_Data!I223))</f>
        <v>Pending</v>
      </c>
      <c r="J223" s="2" t="str">
        <f aca="false">TRIM(UPPER(Raw_Data!J223))</f>
        <v>TRK50003989</v>
      </c>
      <c r="K223" s="2" t="n">
        <f aca="false">Raw_Data!K223</f>
        <v>6</v>
      </c>
      <c r="L223" s="2" t="str">
        <f aca="false">IF(TRIM(Raw_Data!L223)="","No Coupon",TRIM(UPPER(Raw_Data!L223)))</f>
        <v>SAVE10</v>
      </c>
      <c r="M223" s="2" t="str">
        <f aca="false">PROPER(TRIM(Raw_Data!M223))</f>
        <v>Google</v>
      </c>
      <c r="N223" s="4" t="n">
        <f aca="false">ROUND(E223*F223,2)</f>
        <v>3196.85</v>
      </c>
      <c r="O223" s="2" t="str">
        <f aca="false">IF(COUNTIF($A$2:$A$1201,A223)&gt;1,"DUPLICATE","Unique")</f>
        <v>Unique</v>
      </c>
      <c r="P223" s="2" t="str">
        <f aca="false">IF(L223="","MISSING","OK")</f>
        <v>OK</v>
      </c>
      <c r="Q223" s="2" t="str">
        <f aca="false">IF(ISNUMBER(B223),"OK","BAD DATE")</f>
        <v>OK</v>
      </c>
      <c r="R223" s="2" t="str">
        <f aca="false">IF(ROUND(F223,2)=F223,"OK","FIX")</f>
        <v>OK</v>
      </c>
    </row>
    <row r="224" customFormat="false" ht="15" hidden="false" customHeight="false" outlineLevel="0" collapsed="false">
      <c r="A224" s="2" t="str">
        <f aca="false">TRIM(UPPER(Raw_Data!A224))</f>
        <v>ORD200222</v>
      </c>
      <c r="B224" s="3" t="n">
        <f aca="false">IF(ISNUMBER(Raw_Data!B224),Raw_Data!B224,DATEVALUE(Raw_Data!B224))</f>
        <v>45050</v>
      </c>
      <c r="C224" s="2" t="str">
        <f aca="false">TRIM(UPPER(Raw_Data!C224))</f>
        <v>C43124</v>
      </c>
      <c r="D224" s="2" t="str">
        <f aca="false">PROPER(TRIM(Raw_Data!D224))</f>
        <v>Chair</v>
      </c>
      <c r="E224" s="2" t="n">
        <f aca="false">Raw_Data!E224</f>
        <v>4</v>
      </c>
      <c r="F224" s="4" t="n">
        <f aca="false">ROUND(Raw_Data!F224,2)</f>
        <v>693.36</v>
      </c>
      <c r="G224" s="2" t="str">
        <f aca="false">PROPER(TRIM(Raw_Data!G224))</f>
        <v>931 Main St</v>
      </c>
      <c r="H224" s="2" t="str">
        <f aca="false">PROPER(TRIM(Raw_Data!H224))</f>
        <v>Online</v>
      </c>
      <c r="I224" s="2" t="str">
        <f aca="false">PROPER(TRIM(Raw_Data!I224))</f>
        <v>Shipped</v>
      </c>
      <c r="J224" s="2" t="str">
        <f aca="false">TRIM(UPPER(Raw_Data!J224))</f>
        <v>TRK17293348</v>
      </c>
      <c r="K224" s="2" t="n">
        <f aca="false">Raw_Data!K224</f>
        <v>8</v>
      </c>
      <c r="L224" s="2" t="str">
        <f aca="false">IF(TRIM(Raw_Data!L224)="","No Coupon",TRIM(UPPER(Raw_Data!L224)))</f>
        <v>No Coupon</v>
      </c>
      <c r="M224" s="2" t="str">
        <f aca="false">PROPER(TRIM(Raw_Data!M224))</f>
        <v>Instagram</v>
      </c>
      <c r="N224" s="4" t="n">
        <f aca="false">ROUND(E224*F224,2)</f>
        <v>2773.44</v>
      </c>
      <c r="O224" s="2" t="str">
        <f aca="false">IF(COUNTIF($A$2:$A$1201,A224)&gt;1,"DUPLICATE","Unique")</f>
        <v>Unique</v>
      </c>
      <c r="P224" s="2" t="str">
        <f aca="false">IF(L224="","MISSING","OK")</f>
        <v>OK</v>
      </c>
      <c r="Q224" s="2" t="str">
        <f aca="false">IF(ISNUMBER(B224),"OK","BAD DATE")</f>
        <v>OK</v>
      </c>
      <c r="R224" s="2" t="str">
        <f aca="false">IF(ROUND(F224,2)=F224,"OK","FIX")</f>
        <v>OK</v>
      </c>
    </row>
    <row r="225" customFormat="false" ht="15" hidden="false" customHeight="false" outlineLevel="0" collapsed="false">
      <c r="A225" s="2" t="str">
        <f aca="false">TRIM(UPPER(Raw_Data!A225))</f>
        <v>ORD200223</v>
      </c>
      <c r="B225" s="3" t="n">
        <f aca="false">IF(ISNUMBER(Raw_Data!B225),Raw_Data!B225,DATEVALUE(Raw_Data!B225))</f>
        <v>45546</v>
      </c>
      <c r="C225" s="2" t="str">
        <f aca="false">TRIM(UPPER(Raw_Data!C225))</f>
        <v>C22783</v>
      </c>
      <c r="D225" s="2" t="str">
        <f aca="false">PROPER(TRIM(Raw_Data!D225))</f>
        <v>Phone</v>
      </c>
      <c r="E225" s="2" t="n">
        <f aca="false">Raw_Data!E225</f>
        <v>4</v>
      </c>
      <c r="F225" s="4" t="n">
        <f aca="false">ROUND(Raw_Data!F225,2)</f>
        <v>692.91</v>
      </c>
      <c r="G225" s="2" t="str">
        <f aca="false">PROPER(TRIM(Raw_Data!G225))</f>
        <v>673 Main St</v>
      </c>
      <c r="H225" s="2" t="str">
        <f aca="false">PROPER(TRIM(Raw_Data!H225))</f>
        <v>Credit Card</v>
      </c>
      <c r="I225" s="2" t="str">
        <f aca="false">PROPER(TRIM(Raw_Data!I225))</f>
        <v>Pending</v>
      </c>
      <c r="J225" s="2" t="str">
        <f aca="false">TRIM(UPPER(Raw_Data!J225))</f>
        <v>TRK55009149</v>
      </c>
      <c r="K225" s="2" t="n">
        <f aca="false">Raw_Data!K225</f>
        <v>9</v>
      </c>
      <c r="L225" s="2" t="str">
        <f aca="false">IF(TRIM(Raw_Data!L225)="","No Coupon",TRIM(UPPER(Raw_Data!L225)))</f>
        <v>SAVE10</v>
      </c>
      <c r="M225" s="2" t="str">
        <f aca="false">PROPER(TRIM(Raw_Data!M225))</f>
        <v>Instagram</v>
      </c>
      <c r="N225" s="4" t="n">
        <f aca="false">ROUND(E225*F225,2)</f>
        <v>2771.64</v>
      </c>
      <c r="O225" s="2" t="str">
        <f aca="false">IF(COUNTIF($A$2:$A$1201,A225)&gt;1,"DUPLICATE","Unique")</f>
        <v>Unique</v>
      </c>
      <c r="P225" s="2" t="str">
        <f aca="false">IF(L225="","MISSING","OK")</f>
        <v>OK</v>
      </c>
      <c r="Q225" s="2" t="str">
        <f aca="false">IF(ISNUMBER(B225),"OK","BAD DATE")</f>
        <v>OK</v>
      </c>
      <c r="R225" s="2" t="str">
        <f aca="false">IF(ROUND(F225,2)=F225,"OK","FIX")</f>
        <v>OK</v>
      </c>
    </row>
    <row r="226" customFormat="false" ht="15" hidden="false" customHeight="false" outlineLevel="0" collapsed="false">
      <c r="A226" s="2" t="str">
        <f aca="false">TRIM(UPPER(Raw_Data!A226))</f>
        <v>ORD200224</v>
      </c>
      <c r="B226" s="3" t="n">
        <f aca="false">IF(ISNUMBER(Raw_Data!B226),Raw_Data!B226,DATEVALUE(Raw_Data!B226))</f>
        <v>45192</v>
      </c>
      <c r="C226" s="2" t="str">
        <f aca="false">TRIM(UPPER(Raw_Data!C226))</f>
        <v>C18567</v>
      </c>
      <c r="D226" s="2" t="str">
        <f aca="false">PROPER(TRIM(Raw_Data!D226))</f>
        <v>Printer</v>
      </c>
      <c r="E226" s="2" t="n">
        <f aca="false">Raw_Data!E226</f>
        <v>4</v>
      </c>
      <c r="F226" s="4" t="n">
        <f aca="false">ROUND(Raw_Data!F226,2)</f>
        <v>91.46</v>
      </c>
      <c r="G226" s="2" t="str">
        <f aca="false">PROPER(TRIM(Raw_Data!G226))</f>
        <v>507 Main St</v>
      </c>
      <c r="H226" s="2" t="str">
        <f aca="false">PROPER(TRIM(Raw_Data!H226))</f>
        <v>Cash</v>
      </c>
      <c r="I226" s="2" t="str">
        <f aca="false">PROPER(TRIM(Raw_Data!I226))</f>
        <v>Cancelled</v>
      </c>
      <c r="J226" s="2" t="str">
        <f aca="false">TRIM(UPPER(Raw_Data!J226))</f>
        <v>TRK17554673</v>
      </c>
      <c r="K226" s="2" t="n">
        <f aca="false">Raw_Data!K226</f>
        <v>9</v>
      </c>
      <c r="L226" s="2" t="str">
        <f aca="false">IF(TRIM(Raw_Data!L226)="","No Coupon",TRIM(UPPER(Raw_Data!L226)))</f>
        <v>SAVE10</v>
      </c>
      <c r="M226" s="2" t="str">
        <f aca="false">PROPER(TRIM(Raw_Data!M226))</f>
        <v>Referral</v>
      </c>
      <c r="N226" s="4" t="n">
        <f aca="false">ROUND(E226*F226,2)</f>
        <v>365.84</v>
      </c>
      <c r="O226" s="2" t="str">
        <f aca="false">IF(COUNTIF($A$2:$A$1201,A226)&gt;1,"DUPLICATE","Unique")</f>
        <v>Unique</v>
      </c>
      <c r="P226" s="2" t="str">
        <f aca="false">IF(L226="","MISSING","OK")</f>
        <v>OK</v>
      </c>
      <c r="Q226" s="2" t="str">
        <f aca="false">IF(ISNUMBER(B226),"OK","BAD DATE")</f>
        <v>OK</v>
      </c>
      <c r="R226" s="2" t="str">
        <f aca="false">IF(ROUND(F226,2)=F226,"OK","FIX")</f>
        <v>OK</v>
      </c>
    </row>
    <row r="227" customFormat="false" ht="15" hidden="false" customHeight="false" outlineLevel="0" collapsed="false">
      <c r="A227" s="2" t="str">
        <f aca="false">TRIM(UPPER(Raw_Data!A227))</f>
        <v>ORD200225</v>
      </c>
      <c r="B227" s="3" t="n">
        <f aca="false">IF(ISNUMBER(Raw_Data!B227),Raw_Data!B227,DATEVALUE(Raw_Data!B227))</f>
        <v>45364</v>
      </c>
      <c r="C227" s="2" t="str">
        <f aca="false">TRIM(UPPER(Raw_Data!C227))</f>
        <v>C99879</v>
      </c>
      <c r="D227" s="2" t="str">
        <f aca="false">PROPER(TRIM(Raw_Data!D227))</f>
        <v>Phone</v>
      </c>
      <c r="E227" s="2" t="n">
        <f aca="false">Raw_Data!E227</f>
        <v>3</v>
      </c>
      <c r="F227" s="4" t="n">
        <f aca="false">ROUND(Raw_Data!F227,2)</f>
        <v>273.96</v>
      </c>
      <c r="G227" s="2" t="str">
        <f aca="false">PROPER(TRIM(Raw_Data!G227))</f>
        <v>692 Main St</v>
      </c>
      <c r="H227" s="2" t="str">
        <f aca="false">PROPER(TRIM(Raw_Data!H227))</f>
        <v>Debit Card</v>
      </c>
      <c r="I227" s="2" t="str">
        <f aca="false">PROPER(TRIM(Raw_Data!I227))</f>
        <v>Returned</v>
      </c>
      <c r="J227" s="2" t="str">
        <f aca="false">TRIM(UPPER(Raw_Data!J227))</f>
        <v>TRK50246700</v>
      </c>
      <c r="K227" s="2" t="n">
        <f aca="false">Raw_Data!K227</f>
        <v>8</v>
      </c>
      <c r="L227" s="2" t="str">
        <f aca="false">IF(TRIM(Raw_Data!L227)="","No Coupon",TRIM(UPPER(Raw_Data!L227)))</f>
        <v>SAVE10</v>
      </c>
      <c r="M227" s="2" t="str">
        <f aca="false">PROPER(TRIM(Raw_Data!M227))</f>
        <v>Google</v>
      </c>
      <c r="N227" s="4" t="n">
        <f aca="false">ROUND(E227*F227,2)</f>
        <v>821.88</v>
      </c>
      <c r="O227" s="2" t="str">
        <f aca="false">IF(COUNTIF($A$2:$A$1201,A227)&gt;1,"DUPLICATE","Unique")</f>
        <v>Unique</v>
      </c>
      <c r="P227" s="2" t="str">
        <f aca="false">IF(L227="","MISSING","OK")</f>
        <v>OK</v>
      </c>
      <c r="Q227" s="2" t="str">
        <f aca="false">IF(ISNUMBER(B227),"OK","BAD DATE")</f>
        <v>OK</v>
      </c>
      <c r="R227" s="2" t="str">
        <f aca="false">IF(ROUND(F227,2)=F227,"OK","FIX")</f>
        <v>OK</v>
      </c>
    </row>
    <row r="228" customFormat="false" ht="15" hidden="false" customHeight="false" outlineLevel="0" collapsed="false">
      <c r="A228" s="2" t="str">
        <f aca="false">TRIM(UPPER(Raw_Data!A228))</f>
        <v>ORD200226</v>
      </c>
      <c r="B228" s="3" t="n">
        <f aca="false">IF(ISNUMBER(Raw_Data!B228),Raw_Data!B228,DATEVALUE(Raw_Data!B228))</f>
        <v>45835</v>
      </c>
      <c r="C228" s="2" t="str">
        <f aca="false">TRIM(UPPER(Raw_Data!C228))</f>
        <v>C31501</v>
      </c>
      <c r="D228" s="2" t="str">
        <f aca="false">PROPER(TRIM(Raw_Data!D228))</f>
        <v>Desk</v>
      </c>
      <c r="E228" s="2" t="n">
        <f aca="false">Raw_Data!E228</f>
        <v>3</v>
      </c>
      <c r="F228" s="4" t="n">
        <f aca="false">ROUND(Raw_Data!F228,2)</f>
        <v>588.05</v>
      </c>
      <c r="G228" s="2" t="str">
        <f aca="false">PROPER(TRIM(Raw_Data!G228))</f>
        <v>242 Main St</v>
      </c>
      <c r="H228" s="2" t="str">
        <f aca="false">PROPER(TRIM(Raw_Data!H228))</f>
        <v>Gift Card</v>
      </c>
      <c r="I228" s="2" t="str">
        <f aca="false">PROPER(TRIM(Raw_Data!I228))</f>
        <v>Delivered</v>
      </c>
      <c r="J228" s="2" t="str">
        <f aca="false">TRIM(UPPER(Raw_Data!J228))</f>
        <v>TRK93063929</v>
      </c>
      <c r="K228" s="2" t="n">
        <f aca="false">Raw_Data!K228</f>
        <v>8</v>
      </c>
      <c r="L228" s="2" t="str">
        <f aca="false">IF(TRIM(Raw_Data!L228)="","No Coupon",TRIM(UPPER(Raw_Data!L228)))</f>
        <v>No Coupon</v>
      </c>
      <c r="M228" s="2" t="str">
        <f aca="false">PROPER(TRIM(Raw_Data!M228))</f>
        <v>Instagram</v>
      </c>
      <c r="N228" s="4" t="n">
        <f aca="false">ROUND(E228*F228,2)</f>
        <v>1764.15</v>
      </c>
      <c r="O228" s="2" t="str">
        <f aca="false">IF(COUNTIF($A$2:$A$1201,A228)&gt;1,"DUPLICATE","Unique")</f>
        <v>Unique</v>
      </c>
      <c r="P228" s="2" t="str">
        <f aca="false">IF(L228="","MISSING","OK")</f>
        <v>OK</v>
      </c>
      <c r="Q228" s="2" t="str">
        <f aca="false">IF(ISNUMBER(B228),"OK","BAD DATE")</f>
        <v>OK</v>
      </c>
      <c r="R228" s="2" t="str">
        <f aca="false">IF(ROUND(F228,2)=F228,"OK","FIX")</f>
        <v>OK</v>
      </c>
    </row>
    <row r="229" customFormat="false" ht="15" hidden="false" customHeight="false" outlineLevel="0" collapsed="false">
      <c r="A229" s="2" t="str">
        <f aca="false">TRIM(UPPER(Raw_Data!A229))</f>
        <v>ORD200227</v>
      </c>
      <c r="B229" s="3" t="n">
        <f aca="false">IF(ISNUMBER(Raw_Data!B229),Raw_Data!B229,DATEVALUE(Raw_Data!B229))</f>
        <v>45232</v>
      </c>
      <c r="C229" s="2" t="str">
        <f aca="false">TRIM(UPPER(Raw_Data!C229))</f>
        <v>C93220</v>
      </c>
      <c r="D229" s="2" t="str">
        <f aca="false">PROPER(TRIM(Raw_Data!D229))</f>
        <v>Monitor</v>
      </c>
      <c r="E229" s="2" t="n">
        <f aca="false">Raw_Data!E229</f>
        <v>2</v>
      </c>
      <c r="F229" s="4" t="n">
        <f aca="false">ROUND(Raw_Data!F229,2)</f>
        <v>365.17</v>
      </c>
      <c r="G229" s="2" t="str">
        <f aca="false">PROPER(TRIM(Raw_Data!G229))</f>
        <v>353 Main St</v>
      </c>
      <c r="H229" s="2" t="str">
        <f aca="false">PROPER(TRIM(Raw_Data!H229))</f>
        <v>Online</v>
      </c>
      <c r="I229" s="2" t="str">
        <f aca="false">PROPER(TRIM(Raw_Data!I229))</f>
        <v>Cancelled</v>
      </c>
      <c r="J229" s="2" t="str">
        <f aca="false">TRIM(UPPER(Raw_Data!J229))</f>
        <v>TRK89023251</v>
      </c>
      <c r="K229" s="2" t="n">
        <f aca="false">Raw_Data!K229</f>
        <v>4</v>
      </c>
      <c r="L229" s="2" t="str">
        <f aca="false">IF(TRIM(Raw_Data!L229)="","No Coupon",TRIM(UPPER(Raw_Data!L229)))</f>
        <v>FREESHIP</v>
      </c>
      <c r="M229" s="2" t="str">
        <f aca="false">PROPER(TRIM(Raw_Data!M229))</f>
        <v>Facebook</v>
      </c>
      <c r="N229" s="4" t="n">
        <f aca="false">ROUND(E229*F229,2)</f>
        <v>730.34</v>
      </c>
      <c r="O229" s="2" t="str">
        <f aca="false">IF(COUNTIF($A$2:$A$1201,A229)&gt;1,"DUPLICATE","Unique")</f>
        <v>Unique</v>
      </c>
      <c r="P229" s="2" t="str">
        <f aca="false">IF(L229="","MISSING","OK")</f>
        <v>OK</v>
      </c>
      <c r="Q229" s="2" t="str">
        <f aca="false">IF(ISNUMBER(B229),"OK","BAD DATE")</f>
        <v>OK</v>
      </c>
      <c r="R229" s="2" t="str">
        <f aca="false">IF(ROUND(F229,2)=F229,"OK","FIX")</f>
        <v>OK</v>
      </c>
    </row>
    <row r="230" customFormat="false" ht="15" hidden="false" customHeight="false" outlineLevel="0" collapsed="false">
      <c r="A230" s="2" t="str">
        <f aca="false">TRIM(UPPER(Raw_Data!A230))</f>
        <v>ORD200228</v>
      </c>
      <c r="B230" s="3" t="n">
        <f aca="false">IF(ISNUMBER(Raw_Data!B230),Raw_Data!B230,DATEVALUE(Raw_Data!B230))</f>
        <v>45063</v>
      </c>
      <c r="C230" s="2" t="str">
        <f aca="false">TRIM(UPPER(Raw_Data!C230))</f>
        <v>C57867</v>
      </c>
      <c r="D230" s="2" t="str">
        <f aca="false">PROPER(TRIM(Raw_Data!D230))</f>
        <v>Chair</v>
      </c>
      <c r="E230" s="2" t="n">
        <f aca="false">Raw_Data!E230</f>
        <v>4</v>
      </c>
      <c r="F230" s="4" t="n">
        <f aca="false">ROUND(Raw_Data!F230,2)</f>
        <v>385.92</v>
      </c>
      <c r="G230" s="2" t="str">
        <f aca="false">PROPER(TRIM(Raw_Data!G230))</f>
        <v>579 Main St</v>
      </c>
      <c r="H230" s="2" t="str">
        <f aca="false">PROPER(TRIM(Raw_Data!H230))</f>
        <v>Credit Card</v>
      </c>
      <c r="I230" s="2" t="str">
        <f aca="false">PROPER(TRIM(Raw_Data!I230))</f>
        <v>Cancelled</v>
      </c>
      <c r="J230" s="2" t="str">
        <f aca="false">TRIM(UPPER(Raw_Data!J230))</f>
        <v>TRK92055007</v>
      </c>
      <c r="K230" s="2" t="n">
        <f aca="false">Raw_Data!K230</f>
        <v>8</v>
      </c>
      <c r="L230" s="2" t="str">
        <f aca="false">IF(TRIM(Raw_Data!L230)="","No Coupon",TRIM(UPPER(Raw_Data!L230)))</f>
        <v>No Coupon</v>
      </c>
      <c r="M230" s="2" t="str">
        <f aca="false">PROPER(TRIM(Raw_Data!M230))</f>
        <v>Instagram</v>
      </c>
      <c r="N230" s="4" t="n">
        <f aca="false">ROUND(E230*F230,2)</f>
        <v>1543.68</v>
      </c>
      <c r="O230" s="2" t="str">
        <f aca="false">IF(COUNTIF($A$2:$A$1201,A230)&gt;1,"DUPLICATE","Unique")</f>
        <v>Unique</v>
      </c>
      <c r="P230" s="2" t="str">
        <f aca="false">IF(L230="","MISSING","OK")</f>
        <v>OK</v>
      </c>
      <c r="Q230" s="2" t="str">
        <f aca="false">IF(ISNUMBER(B230),"OK","BAD DATE")</f>
        <v>OK</v>
      </c>
      <c r="R230" s="2" t="str">
        <f aca="false">IF(ROUND(F230,2)=F230,"OK","FIX")</f>
        <v>OK</v>
      </c>
    </row>
    <row r="231" customFormat="false" ht="15" hidden="false" customHeight="false" outlineLevel="0" collapsed="false">
      <c r="A231" s="2" t="str">
        <f aca="false">TRIM(UPPER(Raw_Data!A231))</f>
        <v>ORD200229</v>
      </c>
      <c r="B231" s="3" t="n">
        <f aca="false">IF(ISNUMBER(Raw_Data!B231),Raw_Data!B231,DATEVALUE(Raw_Data!B231))</f>
        <v>45744</v>
      </c>
      <c r="C231" s="2" t="str">
        <f aca="false">TRIM(UPPER(Raw_Data!C231))</f>
        <v>C62622</v>
      </c>
      <c r="D231" s="2" t="str">
        <f aca="false">PROPER(TRIM(Raw_Data!D231))</f>
        <v>Tablet</v>
      </c>
      <c r="E231" s="2" t="n">
        <f aca="false">Raw_Data!E231</f>
        <v>1</v>
      </c>
      <c r="F231" s="4" t="n">
        <f aca="false">ROUND(Raw_Data!F231,2)</f>
        <v>562.61</v>
      </c>
      <c r="G231" s="2" t="str">
        <f aca="false">PROPER(TRIM(Raw_Data!G231))</f>
        <v>762 Main St</v>
      </c>
      <c r="H231" s="2" t="str">
        <f aca="false">PROPER(TRIM(Raw_Data!H231))</f>
        <v>Credit Card</v>
      </c>
      <c r="I231" s="2" t="str">
        <f aca="false">PROPER(TRIM(Raw_Data!I231))</f>
        <v>Delivered</v>
      </c>
      <c r="J231" s="2" t="str">
        <f aca="false">TRIM(UPPER(Raw_Data!J231))</f>
        <v>TRK70997648</v>
      </c>
      <c r="K231" s="2" t="n">
        <f aca="false">Raw_Data!K231</f>
        <v>3</v>
      </c>
      <c r="L231" s="2" t="str">
        <f aca="false">IF(TRIM(Raw_Data!L231)="","No Coupon",TRIM(UPPER(Raw_Data!L231)))</f>
        <v>WINTER15</v>
      </c>
      <c r="M231" s="2" t="str">
        <f aca="false">PROPER(TRIM(Raw_Data!M231))</f>
        <v>Facebook</v>
      </c>
      <c r="N231" s="4" t="n">
        <f aca="false">ROUND(E231*F231,2)</f>
        <v>562.61</v>
      </c>
      <c r="O231" s="2" t="str">
        <f aca="false">IF(COUNTIF($A$2:$A$1201,A231)&gt;1,"DUPLICATE","Unique")</f>
        <v>Unique</v>
      </c>
      <c r="P231" s="2" t="str">
        <f aca="false">IF(L231="","MISSING","OK")</f>
        <v>OK</v>
      </c>
      <c r="Q231" s="2" t="str">
        <f aca="false">IF(ISNUMBER(B231),"OK","BAD DATE")</f>
        <v>OK</v>
      </c>
      <c r="R231" s="2" t="str">
        <f aca="false">IF(ROUND(F231,2)=F231,"OK","FIX")</f>
        <v>OK</v>
      </c>
    </row>
    <row r="232" customFormat="false" ht="15" hidden="false" customHeight="false" outlineLevel="0" collapsed="false">
      <c r="A232" s="2" t="str">
        <f aca="false">TRIM(UPPER(Raw_Data!A232))</f>
        <v>ORD200230</v>
      </c>
      <c r="B232" s="3" t="n">
        <f aca="false">IF(ISNUMBER(Raw_Data!B232),Raw_Data!B232,DATEVALUE(Raw_Data!B232))</f>
        <v>45276</v>
      </c>
      <c r="C232" s="2" t="str">
        <f aca="false">TRIM(UPPER(Raw_Data!C232))</f>
        <v>C94595</v>
      </c>
      <c r="D232" s="2" t="str">
        <f aca="false">PROPER(TRIM(Raw_Data!D232))</f>
        <v>Desk</v>
      </c>
      <c r="E232" s="2" t="n">
        <f aca="false">Raw_Data!E232</f>
        <v>4</v>
      </c>
      <c r="F232" s="4" t="n">
        <f aca="false">ROUND(Raw_Data!F232,2)</f>
        <v>61.91</v>
      </c>
      <c r="G232" s="2" t="str">
        <f aca="false">PROPER(TRIM(Raw_Data!G232))</f>
        <v>948 Main St</v>
      </c>
      <c r="H232" s="2" t="str">
        <f aca="false">PROPER(TRIM(Raw_Data!H232))</f>
        <v>Gift Card</v>
      </c>
      <c r="I232" s="2" t="str">
        <f aca="false">PROPER(TRIM(Raw_Data!I232))</f>
        <v>Delivered</v>
      </c>
      <c r="J232" s="2" t="str">
        <f aca="false">TRIM(UPPER(Raw_Data!J232))</f>
        <v>TRK24497305</v>
      </c>
      <c r="K232" s="2" t="n">
        <f aca="false">Raw_Data!K232</f>
        <v>6</v>
      </c>
      <c r="L232" s="2" t="str">
        <f aca="false">IF(TRIM(Raw_Data!L232)="","No Coupon",TRIM(UPPER(Raw_Data!L232)))</f>
        <v>WINTER15</v>
      </c>
      <c r="M232" s="2" t="str">
        <f aca="false">PROPER(TRIM(Raw_Data!M232))</f>
        <v>Email</v>
      </c>
      <c r="N232" s="4" t="n">
        <f aca="false">ROUND(E232*F232,2)</f>
        <v>247.64</v>
      </c>
      <c r="O232" s="2" t="str">
        <f aca="false">IF(COUNTIF($A$2:$A$1201,A232)&gt;1,"DUPLICATE","Unique")</f>
        <v>Unique</v>
      </c>
      <c r="P232" s="2" t="str">
        <f aca="false">IF(L232="","MISSING","OK")</f>
        <v>OK</v>
      </c>
      <c r="Q232" s="2" t="str">
        <f aca="false">IF(ISNUMBER(B232),"OK","BAD DATE")</f>
        <v>OK</v>
      </c>
      <c r="R232" s="2" t="str">
        <f aca="false">IF(ROUND(F232,2)=F232,"OK","FIX")</f>
        <v>OK</v>
      </c>
    </row>
    <row r="233" customFormat="false" ht="15" hidden="false" customHeight="false" outlineLevel="0" collapsed="false">
      <c r="A233" s="2" t="str">
        <f aca="false">TRIM(UPPER(Raw_Data!A233))</f>
        <v>ORD200231</v>
      </c>
      <c r="B233" s="3" t="n">
        <f aca="false">IF(ISNUMBER(Raw_Data!B233),Raw_Data!B233,DATEVALUE(Raw_Data!B233))</f>
        <v>45235</v>
      </c>
      <c r="C233" s="2" t="str">
        <f aca="false">TRIM(UPPER(Raw_Data!C233))</f>
        <v>C30955</v>
      </c>
      <c r="D233" s="2" t="str">
        <f aca="false">PROPER(TRIM(Raw_Data!D233))</f>
        <v>Phone</v>
      </c>
      <c r="E233" s="2" t="n">
        <f aca="false">Raw_Data!E233</f>
        <v>4</v>
      </c>
      <c r="F233" s="4" t="n">
        <f aca="false">ROUND(Raw_Data!F233,2)</f>
        <v>41.9</v>
      </c>
      <c r="G233" s="2" t="str">
        <f aca="false">PROPER(TRIM(Raw_Data!G233))</f>
        <v>327 Main St</v>
      </c>
      <c r="H233" s="2" t="str">
        <f aca="false">PROPER(TRIM(Raw_Data!H233))</f>
        <v>Gift Card</v>
      </c>
      <c r="I233" s="2" t="str">
        <f aca="false">PROPER(TRIM(Raw_Data!I233))</f>
        <v>Pending</v>
      </c>
      <c r="J233" s="2" t="str">
        <f aca="false">TRIM(UPPER(Raw_Data!J233))</f>
        <v>TRK46898848</v>
      </c>
      <c r="K233" s="2" t="n">
        <f aca="false">Raw_Data!K233</f>
        <v>9</v>
      </c>
      <c r="L233" s="2" t="str">
        <f aca="false">IF(TRIM(Raw_Data!L233)="","No Coupon",TRIM(UPPER(Raw_Data!L233)))</f>
        <v>FREESHIP</v>
      </c>
      <c r="M233" s="2" t="str">
        <f aca="false">PROPER(TRIM(Raw_Data!M233))</f>
        <v>Instagram</v>
      </c>
      <c r="N233" s="4" t="n">
        <f aca="false">ROUND(E233*F233,2)</f>
        <v>167.6</v>
      </c>
      <c r="O233" s="2" t="str">
        <f aca="false">IF(COUNTIF($A$2:$A$1201,A233)&gt;1,"DUPLICATE","Unique")</f>
        <v>Unique</v>
      </c>
      <c r="P233" s="2" t="str">
        <f aca="false">IF(L233="","MISSING","OK")</f>
        <v>OK</v>
      </c>
      <c r="Q233" s="2" t="str">
        <f aca="false">IF(ISNUMBER(B233),"OK","BAD DATE")</f>
        <v>OK</v>
      </c>
      <c r="R233" s="2" t="str">
        <f aca="false">IF(ROUND(F233,2)=F233,"OK","FIX")</f>
        <v>OK</v>
      </c>
    </row>
    <row r="234" customFormat="false" ht="15" hidden="false" customHeight="false" outlineLevel="0" collapsed="false">
      <c r="A234" s="2" t="str">
        <f aca="false">TRIM(UPPER(Raw_Data!A234))</f>
        <v>ORD200232</v>
      </c>
      <c r="B234" s="3" t="n">
        <f aca="false">IF(ISNUMBER(Raw_Data!B234),Raw_Data!B234,DATEVALUE(Raw_Data!B234))</f>
        <v>45065</v>
      </c>
      <c r="C234" s="2" t="str">
        <f aca="false">TRIM(UPPER(Raw_Data!C234))</f>
        <v>C20731</v>
      </c>
      <c r="D234" s="2" t="str">
        <f aca="false">PROPER(TRIM(Raw_Data!D234))</f>
        <v>Printer</v>
      </c>
      <c r="E234" s="2" t="n">
        <f aca="false">Raw_Data!E234</f>
        <v>4</v>
      </c>
      <c r="F234" s="4" t="n">
        <f aca="false">ROUND(Raw_Data!F234,2)</f>
        <v>444.44</v>
      </c>
      <c r="G234" s="2" t="str">
        <f aca="false">PROPER(TRIM(Raw_Data!G234))</f>
        <v>610 Main St</v>
      </c>
      <c r="H234" s="2" t="str">
        <f aca="false">PROPER(TRIM(Raw_Data!H234))</f>
        <v>Debit Card</v>
      </c>
      <c r="I234" s="2" t="str">
        <f aca="false">PROPER(TRIM(Raw_Data!I234))</f>
        <v>Cancelled</v>
      </c>
      <c r="J234" s="2" t="str">
        <f aca="false">TRIM(UPPER(Raw_Data!J234))</f>
        <v>TRK75568437</v>
      </c>
      <c r="K234" s="2" t="n">
        <f aca="false">Raw_Data!K234</f>
        <v>8</v>
      </c>
      <c r="L234" s="2" t="str">
        <f aca="false">IF(TRIM(Raw_Data!L234)="","No Coupon",TRIM(UPPER(Raw_Data!L234)))</f>
        <v>WINTER15</v>
      </c>
      <c r="M234" s="2" t="str">
        <f aca="false">PROPER(TRIM(Raw_Data!M234))</f>
        <v>Google</v>
      </c>
      <c r="N234" s="4" t="n">
        <f aca="false">ROUND(E234*F234,2)</f>
        <v>1777.76</v>
      </c>
      <c r="O234" s="2" t="str">
        <f aca="false">IF(COUNTIF($A$2:$A$1201,A234)&gt;1,"DUPLICATE","Unique")</f>
        <v>Unique</v>
      </c>
      <c r="P234" s="2" t="str">
        <f aca="false">IF(L234="","MISSING","OK")</f>
        <v>OK</v>
      </c>
      <c r="Q234" s="2" t="str">
        <f aca="false">IF(ISNUMBER(B234),"OK","BAD DATE")</f>
        <v>OK</v>
      </c>
      <c r="R234" s="2" t="str">
        <f aca="false">IF(ROUND(F234,2)=F234,"OK","FIX")</f>
        <v>OK</v>
      </c>
    </row>
    <row r="235" customFormat="false" ht="15" hidden="false" customHeight="false" outlineLevel="0" collapsed="false">
      <c r="A235" s="2" t="str">
        <f aca="false">TRIM(UPPER(Raw_Data!A235))</f>
        <v>ORD200233</v>
      </c>
      <c r="B235" s="3" t="n">
        <f aca="false">IF(ISNUMBER(Raw_Data!B235),Raw_Data!B235,DATEVALUE(Raw_Data!B235))</f>
        <v>45528</v>
      </c>
      <c r="C235" s="2" t="str">
        <f aca="false">TRIM(UPPER(Raw_Data!C235))</f>
        <v>C30168</v>
      </c>
      <c r="D235" s="2" t="str">
        <f aca="false">PROPER(TRIM(Raw_Data!D235))</f>
        <v>Phone</v>
      </c>
      <c r="E235" s="2" t="n">
        <f aca="false">Raw_Data!E235</f>
        <v>3</v>
      </c>
      <c r="F235" s="4" t="n">
        <f aca="false">ROUND(Raw_Data!F235,2)</f>
        <v>311.33</v>
      </c>
      <c r="G235" s="2" t="str">
        <f aca="false">PROPER(TRIM(Raw_Data!G235))</f>
        <v>146 Main St</v>
      </c>
      <c r="H235" s="2" t="str">
        <f aca="false">PROPER(TRIM(Raw_Data!H235))</f>
        <v>Cash</v>
      </c>
      <c r="I235" s="2" t="str">
        <f aca="false">PROPER(TRIM(Raw_Data!I235))</f>
        <v>Cancelled</v>
      </c>
      <c r="J235" s="2" t="str">
        <f aca="false">TRIM(UPPER(Raw_Data!J235))</f>
        <v>TRK73699939</v>
      </c>
      <c r="K235" s="2" t="n">
        <f aca="false">Raw_Data!K235</f>
        <v>3</v>
      </c>
      <c r="L235" s="2" t="str">
        <f aca="false">IF(TRIM(Raw_Data!L235)="","No Coupon",TRIM(UPPER(Raw_Data!L235)))</f>
        <v>WINTER15</v>
      </c>
      <c r="M235" s="2" t="str">
        <f aca="false">PROPER(TRIM(Raw_Data!M235))</f>
        <v>Instagram</v>
      </c>
      <c r="N235" s="4" t="n">
        <f aca="false">ROUND(E235*F235,2)</f>
        <v>933.99</v>
      </c>
      <c r="O235" s="2" t="str">
        <f aca="false">IF(COUNTIF($A$2:$A$1201,A235)&gt;1,"DUPLICATE","Unique")</f>
        <v>Unique</v>
      </c>
      <c r="P235" s="2" t="str">
        <f aca="false">IF(L235="","MISSING","OK")</f>
        <v>OK</v>
      </c>
      <c r="Q235" s="2" t="str">
        <f aca="false">IF(ISNUMBER(B235),"OK","BAD DATE")</f>
        <v>OK</v>
      </c>
      <c r="R235" s="2" t="str">
        <f aca="false">IF(ROUND(F235,2)=F235,"OK","FIX")</f>
        <v>OK</v>
      </c>
    </row>
    <row r="236" customFormat="false" ht="15" hidden="false" customHeight="false" outlineLevel="0" collapsed="false">
      <c r="A236" s="2" t="str">
        <f aca="false">TRIM(UPPER(Raw_Data!A236))</f>
        <v>ORD200234</v>
      </c>
      <c r="B236" s="3" t="n">
        <f aca="false">IF(ISNUMBER(Raw_Data!B236),Raw_Data!B236,DATEVALUE(Raw_Data!B236))</f>
        <v>45622</v>
      </c>
      <c r="C236" s="2" t="str">
        <f aca="false">TRIM(UPPER(Raw_Data!C236))</f>
        <v>C79842</v>
      </c>
      <c r="D236" s="2" t="str">
        <f aca="false">PROPER(TRIM(Raw_Data!D236))</f>
        <v>Printer</v>
      </c>
      <c r="E236" s="2" t="n">
        <f aca="false">Raw_Data!E236</f>
        <v>4</v>
      </c>
      <c r="F236" s="4" t="n">
        <f aca="false">ROUND(Raw_Data!F236,2)</f>
        <v>236.41</v>
      </c>
      <c r="G236" s="2" t="str">
        <f aca="false">PROPER(TRIM(Raw_Data!G236))</f>
        <v>337 Main St</v>
      </c>
      <c r="H236" s="2" t="str">
        <f aca="false">PROPER(TRIM(Raw_Data!H236))</f>
        <v>Debit Card</v>
      </c>
      <c r="I236" s="2" t="str">
        <f aca="false">PROPER(TRIM(Raw_Data!I236))</f>
        <v>Pending</v>
      </c>
      <c r="J236" s="2" t="str">
        <f aca="false">TRIM(UPPER(Raw_Data!J236))</f>
        <v>TRK26957950</v>
      </c>
      <c r="K236" s="2" t="n">
        <f aca="false">Raw_Data!K236</f>
        <v>7</v>
      </c>
      <c r="L236" s="2" t="str">
        <f aca="false">IF(TRIM(Raw_Data!L236)="","No Coupon",TRIM(UPPER(Raw_Data!L236)))</f>
        <v>SAVE10</v>
      </c>
      <c r="M236" s="2" t="str">
        <f aca="false">PROPER(TRIM(Raw_Data!M236))</f>
        <v>Google</v>
      </c>
      <c r="N236" s="4" t="n">
        <f aca="false">ROUND(E236*F236,2)</f>
        <v>945.64</v>
      </c>
      <c r="O236" s="2" t="str">
        <f aca="false">IF(COUNTIF($A$2:$A$1201,A236)&gt;1,"DUPLICATE","Unique")</f>
        <v>Unique</v>
      </c>
      <c r="P236" s="2" t="str">
        <f aca="false">IF(L236="","MISSING","OK")</f>
        <v>OK</v>
      </c>
      <c r="Q236" s="2" t="str">
        <f aca="false">IF(ISNUMBER(B236),"OK","BAD DATE")</f>
        <v>OK</v>
      </c>
      <c r="R236" s="2" t="str">
        <f aca="false">IF(ROUND(F236,2)=F236,"OK","FIX")</f>
        <v>OK</v>
      </c>
    </row>
    <row r="237" customFormat="false" ht="15" hidden="false" customHeight="false" outlineLevel="0" collapsed="false">
      <c r="A237" s="2" t="str">
        <f aca="false">TRIM(UPPER(Raw_Data!A237))</f>
        <v>ORD200235</v>
      </c>
      <c r="B237" s="3" t="n">
        <f aca="false">IF(ISNUMBER(Raw_Data!B237),Raw_Data!B237,DATEVALUE(Raw_Data!B237))</f>
        <v>44977</v>
      </c>
      <c r="C237" s="2" t="str">
        <f aca="false">TRIM(UPPER(Raw_Data!C237))</f>
        <v>C32854</v>
      </c>
      <c r="D237" s="2" t="str">
        <f aca="false">PROPER(TRIM(Raw_Data!D237))</f>
        <v>Desk</v>
      </c>
      <c r="E237" s="2" t="n">
        <f aca="false">Raw_Data!E237</f>
        <v>1</v>
      </c>
      <c r="F237" s="4" t="n">
        <f aca="false">ROUND(Raw_Data!F237,2)</f>
        <v>65.45</v>
      </c>
      <c r="G237" s="2" t="str">
        <f aca="false">PROPER(TRIM(Raw_Data!G237))</f>
        <v>815 Main St</v>
      </c>
      <c r="H237" s="2" t="str">
        <f aca="false">PROPER(TRIM(Raw_Data!H237))</f>
        <v>Cash</v>
      </c>
      <c r="I237" s="2" t="str">
        <f aca="false">PROPER(TRIM(Raw_Data!I237))</f>
        <v>Pending</v>
      </c>
      <c r="J237" s="2" t="str">
        <f aca="false">TRIM(UPPER(Raw_Data!J237))</f>
        <v>TRK30009218</v>
      </c>
      <c r="K237" s="2" t="n">
        <f aca="false">Raw_Data!K237</f>
        <v>2</v>
      </c>
      <c r="L237" s="2" t="str">
        <f aca="false">IF(TRIM(Raw_Data!L237)="","No Coupon",TRIM(UPPER(Raw_Data!L237)))</f>
        <v>WINTER15</v>
      </c>
      <c r="M237" s="2" t="str">
        <f aca="false">PROPER(TRIM(Raw_Data!M237))</f>
        <v>Google</v>
      </c>
      <c r="N237" s="4" t="n">
        <f aca="false">ROUND(E237*F237,2)</f>
        <v>65.45</v>
      </c>
      <c r="O237" s="2" t="str">
        <f aca="false">IF(COUNTIF($A$2:$A$1201,A237)&gt;1,"DUPLICATE","Unique")</f>
        <v>Unique</v>
      </c>
      <c r="P237" s="2" t="str">
        <f aca="false">IF(L237="","MISSING","OK")</f>
        <v>OK</v>
      </c>
      <c r="Q237" s="2" t="str">
        <f aca="false">IF(ISNUMBER(B237),"OK","BAD DATE")</f>
        <v>OK</v>
      </c>
      <c r="R237" s="2" t="str">
        <f aca="false">IF(ROUND(F237,2)=F237,"OK","FIX")</f>
        <v>OK</v>
      </c>
    </row>
    <row r="238" customFormat="false" ht="15" hidden="false" customHeight="false" outlineLevel="0" collapsed="false">
      <c r="A238" s="2" t="str">
        <f aca="false">TRIM(UPPER(Raw_Data!A238))</f>
        <v>ORD200236</v>
      </c>
      <c r="B238" s="3" t="n">
        <f aca="false">IF(ISNUMBER(Raw_Data!B238),Raw_Data!B238,DATEVALUE(Raw_Data!B238))</f>
        <v>44927</v>
      </c>
      <c r="C238" s="2" t="str">
        <f aca="false">TRIM(UPPER(Raw_Data!C238))</f>
        <v>C14847</v>
      </c>
      <c r="D238" s="2" t="str">
        <f aca="false">PROPER(TRIM(Raw_Data!D238))</f>
        <v>Monitor</v>
      </c>
      <c r="E238" s="2" t="n">
        <f aca="false">Raw_Data!E238</f>
        <v>1</v>
      </c>
      <c r="F238" s="4" t="n">
        <f aca="false">ROUND(Raw_Data!F238,2)</f>
        <v>318.81</v>
      </c>
      <c r="G238" s="2" t="str">
        <f aca="false">PROPER(TRIM(Raw_Data!G238))</f>
        <v>562 Main St</v>
      </c>
      <c r="H238" s="2" t="str">
        <f aca="false">PROPER(TRIM(Raw_Data!H238))</f>
        <v>Debit Card</v>
      </c>
      <c r="I238" s="2" t="str">
        <f aca="false">PROPER(TRIM(Raw_Data!I238))</f>
        <v>Pending</v>
      </c>
      <c r="J238" s="2" t="str">
        <f aca="false">TRIM(UPPER(Raw_Data!J238))</f>
        <v>TRK39663243</v>
      </c>
      <c r="K238" s="2" t="n">
        <f aca="false">Raw_Data!K238</f>
        <v>3</v>
      </c>
      <c r="L238" s="2" t="str">
        <f aca="false">IF(TRIM(Raw_Data!L238)="","No Coupon",TRIM(UPPER(Raw_Data!L238)))</f>
        <v>WINTER15</v>
      </c>
      <c r="M238" s="2" t="str">
        <f aca="false">PROPER(TRIM(Raw_Data!M238))</f>
        <v>Email</v>
      </c>
      <c r="N238" s="4" t="n">
        <f aca="false">ROUND(E238*F238,2)</f>
        <v>318.81</v>
      </c>
      <c r="O238" s="2" t="str">
        <f aca="false">IF(COUNTIF($A$2:$A$1201,A238)&gt;1,"DUPLICATE","Unique")</f>
        <v>Unique</v>
      </c>
      <c r="P238" s="2" t="str">
        <f aca="false">IF(L238="","MISSING","OK")</f>
        <v>OK</v>
      </c>
      <c r="Q238" s="2" t="str">
        <f aca="false">IF(ISNUMBER(B238),"OK","BAD DATE")</f>
        <v>OK</v>
      </c>
      <c r="R238" s="2" t="str">
        <f aca="false">IF(ROUND(F238,2)=F238,"OK","FIX")</f>
        <v>OK</v>
      </c>
    </row>
    <row r="239" customFormat="false" ht="15" hidden="false" customHeight="false" outlineLevel="0" collapsed="false">
      <c r="A239" s="2" t="str">
        <f aca="false">TRIM(UPPER(Raw_Data!A239))</f>
        <v>ORD200237</v>
      </c>
      <c r="B239" s="3" t="n">
        <f aca="false">IF(ISNUMBER(Raw_Data!B239),Raw_Data!B239,DATEVALUE(Raw_Data!B239))</f>
        <v>45365</v>
      </c>
      <c r="C239" s="2" t="str">
        <f aca="false">TRIM(UPPER(Raw_Data!C239))</f>
        <v>C88645</v>
      </c>
      <c r="D239" s="2" t="str">
        <f aca="false">PROPER(TRIM(Raw_Data!D239))</f>
        <v>Monitor</v>
      </c>
      <c r="E239" s="2" t="n">
        <f aca="false">Raw_Data!E239</f>
        <v>3</v>
      </c>
      <c r="F239" s="4" t="n">
        <f aca="false">ROUND(Raw_Data!F239,2)</f>
        <v>583.72</v>
      </c>
      <c r="G239" s="2" t="str">
        <f aca="false">PROPER(TRIM(Raw_Data!G239))</f>
        <v>783 Main St</v>
      </c>
      <c r="H239" s="2" t="str">
        <f aca="false">PROPER(TRIM(Raw_Data!H239))</f>
        <v>Credit Card</v>
      </c>
      <c r="I239" s="2" t="str">
        <f aca="false">PROPER(TRIM(Raw_Data!I239))</f>
        <v>Shipped</v>
      </c>
      <c r="J239" s="2" t="str">
        <f aca="false">TRIM(UPPER(Raw_Data!J239))</f>
        <v>TRK74097570</v>
      </c>
      <c r="K239" s="2" t="n">
        <f aca="false">Raw_Data!K239</f>
        <v>5</v>
      </c>
      <c r="L239" s="2" t="str">
        <f aca="false">IF(TRIM(Raw_Data!L239)="","No Coupon",TRIM(UPPER(Raw_Data!L239)))</f>
        <v>FREESHIP</v>
      </c>
      <c r="M239" s="2" t="str">
        <f aca="false">PROPER(TRIM(Raw_Data!M239))</f>
        <v>Facebook</v>
      </c>
      <c r="N239" s="4" t="n">
        <f aca="false">ROUND(E239*F239,2)</f>
        <v>1751.16</v>
      </c>
      <c r="O239" s="2" t="str">
        <f aca="false">IF(COUNTIF($A$2:$A$1201,A239)&gt;1,"DUPLICATE","Unique")</f>
        <v>Unique</v>
      </c>
      <c r="P239" s="2" t="str">
        <f aca="false">IF(L239="","MISSING","OK")</f>
        <v>OK</v>
      </c>
      <c r="Q239" s="2" t="str">
        <f aca="false">IF(ISNUMBER(B239),"OK","BAD DATE")</f>
        <v>OK</v>
      </c>
      <c r="R239" s="2" t="str">
        <f aca="false">IF(ROUND(F239,2)=F239,"OK","FIX")</f>
        <v>OK</v>
      </c>
    </row>
    <row r="240" customFormat="false" ht="15" hidden="false" customHeight="false" outlineLevel="0" collapsed="false">
      <c r="A240" s="2" t="str">
        <f aca="false">TRIM(UPPER(Raw_Data!A240))</f>
        <v>ORD200238</v>
      </c>
      <c r="B240" s="3" t="n">
        <f aca="false">IF(ISNUMBER(Raw_Data!B240),Raw_Data!B240,DATEVALUE(Raw_Data!B240))</f>
        <v>45639</v>
      </c>
      <c r="C240" s="2" t="str">
        <f aca="false">TRIM(UPPER(Raw_Data!C240))</f>
        <v>C66149</v>
      </c>
      <c r="D240" s="2" t="str">
        <f aca="false">PROPER(TRIM(Raw_Data!D240))</f>
        <v>Desk</v>
      </c>
      <c r="E240" s="2" t="n">
        <f aca="false">Raw_Data!E240</f>
        <v>4</v>
      </c>
      <c r="F240" s="4" t="n">
        <f aca="false">ROUND(Raw_Data!F240,2)</f>
        <v>384.32</v>
      </c>
      <c r="G240" s="2" t="str">
        <f aca="false">PROPER(TRIM(Raw_Data!G240))</f>
        <v>770 Main St</v>
      </c>
      <c r="H240" s="2" t="str">
        <f aca="false">PROPER(TRIM(Raw_Data!H240))</f>
        <v>Credit Card</v>
      </c>
      <c r="I240" s="2" t="str">
        <f aca="false">PROPER(TRIM(Raw_Data!I240))</f>
        <v>Pending</v>
      </c>
      <c r="J240" s="2" t="str">
        <f aca="false">TRIM(UPPER(Raw_Data!J240))</f>
        <v>TRK76307307</v>
      </c>
      <c r="K240" s="2" t="n">
        <f aca="false">Raw_Data!K240</f>
        <v>6</v>
      </c>
      <c r="L240" s="2" t="str">
        <f aca="false">IF(TRIM(Raw_Data!L240)="","No Coupon",TRIM(UPPER(Raw_Data!L240)))</f>
        <v>WINTER15</v>
      </c>
      <c r="M240" s="2" t="str">
        <f aca="false">PROPER(TRIM(Raw_Data!M240))</f>
        <v>Google</v>
      </c>
      <c r="N240" s="4" t="n">
        <f aca="false">ROUND(E240*F240,2)</f>
        <v>1537.28</v>
      </c>
      <c r="O240" s="2" t="str">
        <f aca="false">IF(COUNTIF($A$2:$A$1201,A240)&gt;1,"DUPLICATE","Unique")</f>
        <v>Unique</v>
      </c>
      <c r="P240" s="2" t="str">
        <f aca="false">IF(L240="","MISSING","OK")</f>
        <v>OK</v>
      </c>
      <c r="Q240" s="2" t="str">
        <f aca="false">IF(ISNUMBER(B240),"OK","BAD DATE")</f>
        <v>OK</v>
      </c>
      <c r="R240" s="2" t="str">
        <f aca="false">IF(ROUND(F240,2)=F240,"OK","FIX")</f>
        <v>OK</v>
      </c>
    </row>
    <row r="241" customFormat="false" ht="15" hidden="false" customHeight="false" outlineLevel="0" collapsed="false">
      <c r="A241" s="2" t="str">
        <f aca="false">TRIM(UPPER(Raw_Data!A241))</f>
        <v>ORD200239</v>
      </c>
      <c r="B241" s="3" t="n">
        <f aca="false">IF(ISNUMBER(Raw_Data!B241),Raw_Data!B241,DATEVALUE(Raw_Data!B241))</f>
        <v>45637</v>
      </c>
      <c r="C241" s="2" t="str">
        <f aca="false">TRIM(UPPER(Raw_Data!C241))</f>
        <v>C20256</v>
      </c>
      <c r="D241" s="2" t="str">
        <f aca="false">PROPER(TRIM(Raw_Data!D241))</f>
        <v>Tablet</v>
      </c>
      <c r="E241" s="2" t="n">
        <f aca="false">Raw_Data!E241</f>
        <v>3</v>
      </c>
      <c r="F241" s="4" t="n">
        <f aca="false">ROUND(Raw_Data!F241,2)</f>
        <v>538.74</v>
      </c>
      <c r="G241" s="2" t="str">
        <f aca="false">PROPER(TRIM(Raw_Data!G241))</f>
        <v>456 Main St</v>
      </c>
      <c r="H241" s="2" t="str">
        <f aca="false">PROPER(TRIM(Raw_Data!H241))</f>
        <v>Online</v>
      </c>
      <c r="I241" s="2" t="str">
        <f aca="false">PROPER(TRIM(Raw_Data!I241))</f>
        <v>Shipped</v>
      </c>
      <c r="J241" s="2" t="str">
        <f aca="false">TRIM(UPPER(Raw_Data!J241))</f>
        <v>TRK71127943</v>
      </c>
      <c r="K241" s="2" t="n">
        <f aca="false">Raw_Data!K241</f>
        <v>6</v>
      </c>
      <c r="L241" s="2" t="str">
        <f aca="false">IF(TRIM(Raw_Data!L241)="","No Coupon",TRIM(UPPER(Raw_Data!L241)))</f>
        <v>FREESHIP</v>
      </c>
      <c r="M241" s="2" t="str">
        <f aca="false">PROPER(TRIM(Raw_Data!M241))</f>
        <v>Email</v>
      </c>
      <c r="N241" s="4" t="n">
        <f aca="false">ROUND(E241*F241,2)</f>
        <v>1616.22</v>
      </c>
      <c r="O241" s="2" t="str">
        <f aca="false">IF(COUNTIF($A$2:$A$1201,A241)&gt;1,"DUPLICATE","Unique")</f>
        <v>Unique</v>
      </c>
      <c r="P241" s="2" t="str">
        <f aca="false">IF(L241="","MISSING","OK")</f>
        <v>OK</v>
      </c>
      <c r="Q241" s="2" t="str">
        <f aca="false">IF(ISNUMBER(B241),"OK","BAD DATE")</f>
        <v>OK</v>
      </c>
      <c r="R241" s="2" t="str">
        <f aca="false">IF(ROUND(F241,2)=F241,"OK","FIX")</f>
        <v>OK</v>
      </c>
    </row>
    <row r="242" customFormat="false" ht="15" hidden="false" customHeight="false" outlineLevel="0" collapsed="false">
      <c r="A242" s="2" t="str">
        <f aca="false">TRIM(UPPER(Raw_Data!A242))</f>
        <v>ORD200240</v>
      </c>
      <c r="B242" s="3" t="n">
        <f aca="false">IF(ISNUMBER(Raw_Data!B242),Raw_Data!B242,DATEVALUE(Raw_Data!B242))</f>
        <v>45119</v>
      </c>
      <c r="C242" s="2" t="str">
        <f aca="false">TRIM(UPPER(Raw_Data!C242))</f>
        <v>C14983</v>
      </c>
      <c r="D242" s="2" t="str">
        <f aca="false">PROPER(TRIM(Raw_Data!D242))</f>
        <v>Tablet</v>
      </c>
      <c r="E242" s="2" t="n">
        <f aca="false">Raw_Data!E242</f>
        <v>1</v>
      </c>
      <c r="F242" s="4" t="n">
        <f aca="false">ROUND(Raw_Data!F242,2)</f>
        <v>17.24</v>
      </c>
      <c r="G242" s="2" t="str">
        <f aca="false">PROPER(TRIM(Raw_Data!G242))</f>
        <v>255 Main St</v>
      </c>
      <c r="H242" s="2" t="str">
        <f aca="false">PROPER(TRIM(Raw_Data!H242))</f>
        <v>Online</v>
      </c>
      <c r="I242" s="2" t="str">
        <f aca="false">PROPER(TRIM(Raw_Data!I242))</f>
        <v>Pending</v>
      </c>
      <c r="J242" s="2" t="str">
        <f aca="false">TRIM(UPPER(Raw_Data!J242))</f>
        <v>TRK93444157</v>
      </c>
      <c r="K242" s="2" t="n">
        <f aca="false">Raw_Data!K242</f>
        <v>2</v>
      </c>
      <c r="L242" s="2" t="str">
        <f aca="false">IF(TRIM(Raw_Data!L242)="","No Coupon",TRIM(UPPER(Raw_Data!L242)))</f>
        <v>FREESHIP</v>
      </c>
      <c r="M242" s="2" t="str">
        <f aca="false">PROPER(TRIM(Raw_Data!M242))</f>
        <v>Instagram</v>
      </c>
      <c r="N242" s="4" t="n">
        <f aca="false">ROUND(E242*F242,2)</f>
        <v>17.24</v>
      </c>
      <c r="O242" s="2" t="str">
        <f aca="false">IF(COUNTIF($A$2:$A$1201,A242)&gt;1,"DUPLICATE","Unique")</f>
        <v>Unique</v>
      </c>
      <c r="P242" s="2" t="str">
        <f aca="false">IF(L242="","MISSING","OK")</f>
        <v>OK</v>
      </c>
      <c r="Q242" s="2" t="str">
        <f aca="false">IF(ISNUMBER(B242),"OK","BAD DATE")</f>
        <v>OK</v>
      </c>
      <c r="R242" s="2" t="str">
        <f aca="false">IF(ROUND(F242,2)=F242,"OK","FIX")</f>
        <v>OK</v>
      </c>
    </row>
    <row r="243" customFormat="false" ht="15" hidden="false" customHeight="false" outlineLevel="0" collapsed="false">
      <c r="A243" s="2" t="str">
        <f aca="false">TRIM(UPPER(Raw_Data!A243))</f>
        <v>ORD200241</v>
      </c>
      <c r="B243" s="3" t="n">
        <f aca="false">IF(ISNUMBER(Raw_Data!B243),Raw_Data!B243,DATEVALUE(Raw_Data!B243))</f>
        <v>45062</v>
      </c>
      <c r="C243" s="2" t="str">
        <f aca="false">TRIM(UPPER(Raw_Data!C243))</f>
        <v>C20817</v>
      </c>
      <c r="D243" s="2" t="str">
        <f aca="false">PROPER(TRIM(Raw_Data!D243))</f>
        <v>Chair</v>
      </c>
      <c r="E243" s="2" t="n">
        <f aca="false">Raw_Data!E243</f>
        <v>5</v>
      </c>
      <c r="F243" s="4" t="n">
        <f aca="false">ROUND(Raw_Data!F243,2)</f>
        <v>615.67</v>
      </c>
      <c r="G243" s="2" t="str">
        <f aca="false">PROPER(TRIM(Raw_Data!G243))</f>
        <v>407 Main St</v>
      </c>
      <c r="H243" s="2" t="str">
        <f aca="false">PROPER(TRIM(Raw_Data!H243))</f>
        <v>Online</v>
      </c>
      <c r="I243" s="2" t="str">
        <f aca="false">PROPER(TRIM(Raw_Data!I243))</f>
        <v>Pending</v>
      </c>
      <c r="J243" s="2" t="str">
        <f aca="false">TRIM(UPPER(Raw_Data!J243))</f>
        <v>TRK44164590</v>
      </c>
      <c r="K243" s="2" t="n">
        <f aca="false">Raw_Data!K243</f>
        <v>6</v>
      </c>
      <c r="L243" s="2" t="str">
        <f aca="false">IF(TRIM(Raw_Data!L243)="","No Coupon",TRIM(UPPER(Raw_Data!L243)))</f>
        <v>SAVE10</v>
      </c>
      <c r="M243" s="2" t="str">
        <f aca="false">PROPER(TRIM(Raw_Data!M243))</f>
        <v>Email</v>
      </c>
      <c r="N243" s="4" t="n">
        <f aca="false">ROUND(E243*F243,2)</f>
        <v>3078.35</v>
      </c>
      <c r="O243" s="2" t="str">
        <f aca="false">IF(COUNTIF($A$2:$A$1201,A243)&gt;1,"DUPLICATE","Unique")</f>
        <v>Unique</v>
      </c>
      <c r="P243" s="2" t="str">
        <f aca="false">IF(L243="","MISSING","OK")</f>
        <v>OK</v>
      </c>
      <c r="Q243" s="2" t="str">
        <f aca="false">IF(ISNUMBER(B243),"OK","BAD DATE")</f>
        <v>OK</v>
      </c>
      <c r="R243" s="2" t="str">
        <f aca="false">IF(ROUND(F243,2)=F243,"OK","FIX")</f>
        <v>OK</v>
      </c>
    </row>
    <row r="244" customFormat="false" ht="15" hidden="false" customHeight="false" outlineLevel="0" collapsed="false">
      <c r="A244" s="2" t="str">
        <f aca="false">TRIM(UPPER(Raw_Data!A244))</f>
        <v>ORD200242</v>
      </c>
      <c r="B244" s="3" t="n">
        <f aca="false">IF(ISNUMBER(Raw_Data!B244),Raw_Data!B244,DATEVALUE(Raw_Data!B244))</f>
        <v>45055</v>
      </c>
      <c r="C244" s="2" t="str">
        <f aca="false">TRIM(UPPER(Raw_Data!C244))</f>
        <v>C94921</v>
      </c>
      <c r="D244" s="2" t="str">
        <f aca="false">PROPER(TRIM(Raw_Data!D244))</f>
        <v>Printer</v>
      </c>
      <c r="E244" s="2" t="n">
        <f aca="false">Raw_Data!E244</f>
        <v>2</v>
      </c>
      <c r="F244" s="4" t="n">
        <f aca="false">ROUND(Raw_Data!F244,2)</f>
        <v>219.1</v>
      </c>
      <c r="G244" s="2" t="str">
        <f aca="false">PROPER(TRIM(Raw_Data!G244))</f>
        <v>134 Main St</v>
      </c>
      <c r="H244" s="2" t="str">
        <f aca="false">PROPER(TRIM(Raw_Data!H244))</f>
        <v>Online</v>
      </c>
      <c r="I244" s="2" t="str">
        <f aca="false">PROPER(TRIM(Raw_Data!I244))</f>
        <v>Pending</v>
      </c>
      <c r="J244" s="2" t="str">
        <f aca="false">TRIM(UPPER(Raw_Data!J244))</f>
        <v>TRK97794327</v>
      </c>
      <c r="K244" s="2" t="n">
        <f aca="false">Raw_Data!K244</f>
        <v>4</v>
      </c>
      <c r="L244" s="2" t="str">
        <f aca="false">IF(TRIM(Raw_Data!L244)="","No Coupon",TRIM(UPPER(Raw_Data!L244)))</f>
        <v>SAVE10</v>
      </c>
      <c r="M244" s="2" t="str">
        <f aca="false">PROPER(TRIM(Raw_Data!M244))</f>
        <v>Referral</v>
      </c>
      <c r="N244" s="4" t="n">
        <f aca="false">ROUND(E244*F244,2)</f>
        <v>438.2</v>
      </c>
      <c r="O244" s="2" t="str">
        <f aca="false">IF(COUNTIF($A$2:$A$1201,A244)&gt;1,"DUPLICATE","Unique")</f>
        <v>Unique</v>
      </c>
      <c r="P244" s="2" t="str">
        <f aca="false">IF(L244="","MISSING","OK")</f>
        <v>OK</v>
      </c>
      <c r="Q244" s="2" t="str">
        <f aca="false">IF(ISNUMBER(B244),"OK","BAD DATE")</f>
        <v>OK</v>
      </c>
      <c r="R244" s="2" t="str">
        <f aca="false">IF(ROUND(F244,2)=F244,"OK","FIX")</f>
        <v>OK</v>
      </c>
    </row>
    <row r="245" customFormat="false" ht="15" hidden="false" customHeight="false" outlineLevel="0" collapsed="false">
      <c r="A245" s="2" t="str">
        <f aca="false">TRIM(UPPER(Raw_Data!A245))</f>
        <v>ORD200243</v>
      </c>
      <c r="B245" s="3" t="n">
        <f aca="false">IF(ISNUMBER(Raw_Data!B245),Raw_Data!B245,DATEVALUE(Raw_Data!B245))</f>
        <v>45786</v>
      </c>
      <c r="C245" s="2" t="str">
        <f aca="false">TRIM(UPPER(Raw_Data!C245))</f>
        <v>C54725</v>
      </c>
      <c r="D245" s="2" t="str">
        <f aca="false">PROPER(TRIM(Raw_Data!D245))</f>
        <v>Chair</v>
      </c>
      <c r="E245" s="2" t="n">
        <f aca="false">Raw_Data!E245</f>
        <v>2</v>
      </c>
      <c r="F245" s="4" t="n">
        <f aca="false">ROUND(Raw_Data!F245,2)</f>
        <v>144.66</v>
      </c>
      <c r="G245" s="2" t="str">
        <f aca="false">PROPER(TRIM(Raw_Data!G245))</f>
        <v>506 Main St</v>
      </c>
      <c r="H245" s="2" t="str">
        <f aca="false">PROPER(TRIM(Raw_Data!H245))</f>
        <v>Online</v>
      </c>
      <c r="I245" s="2" t="str">
        <f aca="false">PROPER(TRIM(Raw_Data!I245))</f>
        <v>Cancelled</v>
      </c>
      <c r="J245" s="2" t="str">
        <f aca="false">TRIM(UPPER(Raw_Data!J245))</f>
        <v>TRK30601940</v>
      </c>
      <c r="K245" s="2" t="n">
        <f aca="false">Raw_Data!K245</f>
        <v>7</v>
      </c>
      <c r="L245" s="2" t="str">
        <f aca="false">IF(TRIM(Raw_Data!L245)="","No Coupon",TRIM(UPPER(Raw_Data!L245)))</f>
        <v>FREESHIP</v>
      </c>
      <c r="M245" s="2" t="str">
        <f aca="false">PROPER(TRIM(Raw_Data!M245))</f>
        <v>Google</v>
      </c>
      <c r="N245" s="4" t="n">
        <f aca="false">ROUND(E245*F245,2)</f>
        <v>289.32</v>
      </c>
      <c r="O245" s="2" t="str">
        <f aca="false">IF(COUNTIF($A$2:$A$1201,A245)&gt;1,"DUPLICATE","Unique")</f>
        <v>Unique</v>
      </c>
      <c r="P245" s="2" t="str">
        <f aca="false">IF(L245="","MISSING","OK")</f>
        <v>OK</v>
      </c>
      <c r="Q245" s="2" t="str">
        <f aca="false">IF(ISNUMBER(B245),"OK","BAD DATE")</f>
        <v>OK</v>
      </c>
      <c r="R245" s="2" t="str">
        <f aca="false">IF(ROUND(F245,2)=F245,"OK","FIX")</f>
        <v>OK</v>
      </c>
    </row>
    <row r="246" customFormat="false" ht="15" hidden="false" customHeight="false" outlineLevel="0" collapsed="false">
      <c r="A246" s="2" t="str">
        <f aca="false">TRIM(UPPER(Raw_Data!A246))</f>
        <v>ORD200244</v>
      </c>
      <c r="B246" s="3" t="n">
        <f aca="false">IF(ISNUMBER(Raw_Data!B246),Raw_Data!B246,DATEVALUE(Raw_Data!B246))</f>
        <v>44973</v>
      </c>
      <c r="C246" s="2" t="str">
        <f aca="false">TRIM(UPPER(Raw_Data!C246))</f>
        <v>C98096</v>
      </c>
      <c r="D246" s="2" t="str">
        <f aca="false">PROPER(TRIM(Raw_Data!D246))</f>
        <v>Desk</v>
      </c>
      <c r="E246" s="2" t="n">
        <f aca="false">Raw_Data!E246</f>
        <v>2</v>
      </c>
      <c r="F246" s="4" t="n">
        <f aca="false">ROUND(Raw_Data!F246,2)</f>
        <v>317.77</v>
      </c>
      <c r="G246" s="2" t="str">
        <f aca="false">PROPER(TRIM(Raw_Data!G246))</f>
        <v>838 Main St</v>
      </c>
      <c r="H246" s="2" t="str">
        <f aca="false">PROPER(TRIM(Raw_Data!H246))</f>
        <v>Debit Card</v>
      </c>
      <c r="I246" s="2" t="str">
        <f aca="false">PROPER(TRIM(Raw_Data!I246))</f>
        <v>Cancelled</v>
      </c>
      <c r="J246" s="2" t="str">
        <f aca="false">TRIM(UPPER(Raw_Data!J246))</f>
        <v>TRK51518631</v>
      </c>
      <c r="K246" s="2" t="n">
        <f aca="false">Raw_Data!K246</f>
        <v>4</v>
      </c>
      <c r="L246" s="2" t="str">
        <f aca="false">IF(TRIM(Raw_Data!L246)="","No Coupon",TRIM(UPPER(Raw_Data!L246)))</f>
        <v>WINTER15</v>
      </c>
      <c r="M246" s="2" t="str">
        <f aca="false">PROPER(TRIM(Raw_Data!M246))</f>
        <v>Facebook</v>
      </c>
      <c r="N246" s="4" t="n">
        <f aca="false">ROUND(E246*F246,2)</f>
        <v>635.54</v>
      </c>
      <c r="O246" s="2" t="str">
        <f aca="false">IF(COUNTIF($A$2:$A$1201,A246)&gt;1,"DUPLICATE","Unique")</f>
        <v>Unique</v>
      </c>
      <c r="P246" s="2" t="str">
        <f aca="false">IF(L246="","MISSING","OK")</f>
        <v>OK</v>
      </c>
      <c r="Q246" s="2" t="str">
        <f aca="false">IF(ISNUMBER(B246),"OK","BAD DATE")</f>
        <v>OK</v>
      </c>
      <c r="R246" s="2" t="str">
        <f aca="false">IF(ROUND(F246,2)=F246,"OK","FIX")</f>
        <v>OK</v>
      </c>
    </row>
    <row r="247" customFormat="false" ht="15" hidden="false" customHeight="false" outlineLevel="0" collapsed="false">
      <c r="A247" s="2" t="str">
        <f aca="false">TRIM(UPPER(Raw_Data!A247))</f>
        <v>ORD200245</v>
      </c>
      <c r="B247" s="3" t="n">
        <f aca="false">IF(ISNUMBER(Raw_Data!B247),Raw_Data!B247,DATEVALUE(Raw_Data!B247))</f>
        <v>45767</v>
      </c>
      <c r="C247" s="2" t="str">
        <f aca="false">TRIM(UPPER(Raw_Data!C247))</f>
        <v>C12667</v>
      </c>
      <c r="D247" s="2" t="str">
        <f aca="false">PROPER(TRIM(Raw_Data!D247))</f>
        <v>Laptop</v>
      </c>
      <c r="E247" s="2" t="n">
        <f aca="false">Raw_Data!E247</f>
        <v>1</v>
      </c>
      <c r="F247" s="4" t="n">
        <f aca="false">ROUND(Raw_Data!F247,2)</f>
        <v>223.3</v>
      </c>
      <c r="G247" s="2" t="str">
        <f aca="false">PROPER(TRIM(Raw_Data!G247))</f>
        <v>306 Main St</v>
      </c>
      <c r="H247" s="2" t="str">
        <f aca="false">PROPER(TRIM(Raw_Data!H247))</f>
        <v>Online</v>
      </c>
      <c r="I247" s="2" t="str">
        <f aca="false">PROPER(TRIM(Raw_Data!I247))</f>
        <v>Returned</v>
      </c>
      <c r="J247" s="2" t="str">
        <f aca="false">TRIM(UPPER(Raw_Data!J247))</f>
        <v>TRK25390491</v>
      </c>
      <c r="K247" s="2" t="n">
        <f aca="false">Raw_Data!K247</f>
        <v>1</v>
      </c>
      <c r="L247" s="2" t="str">
        <f aca="false">IF(TRIM(Raw_Data!L247)="","No Coupon",TRIM(UPPER(Raw_Data!L247)))</f>
        <v>No Coupon</v>
      </c>
      <c r="M247" s="2" t="str">
        <f aca="false">PROPER(TRIM(Raw_Data!M247))</f>
        <v>Facebook</v>
      </c>
      <c r="N247" s="4" t="n">
        <f aca="false">ROUND(E247*F247,2)</f>
        <v>223.3</v>
      </c>
      <c r="O247" s="2" t="str">
        <f aca="false">IF(COUNTIF($A$2:$A$1201,A247)&gt;1,"DUPLICATE","Unique")</f>
        <v>Unique</v>
      </c>
      <c r="P247" s="2" t="str">
        <f aca="false">IF(L247="","MISSING","OK")</f>
        <v>OK</v>
      </c>
      <c r="Q247" s="2" t="str">
        <f aca="false">IF(ISNUMBER(B247),"OK","BAD DATE")</f>
        <v>OK</v>
      </c>
      <c r="R247" s="2" t="str">
        <f aca="false">IF(ROUND(F247,2)=F247,"OK","FIX")</f>
        <v>OK</v>
      </c>
    </row>
    <row r="248" customFormat="false" ht="15" hidden="false" customHeight="false" outlineLevel="0" collapsed="false">
      <c r="A248" s="2" t="str">
        <f aca="false">TRIM(UPPER(Raw_Data!A248))</f>
        <v>ORD200246</v>
      </c>
      <c r="B248" s="3" t="n">
        <f aca="false">IF(ISNUMBER(Raw_Data!B248),Raw_Data!B248,DATEVALUE(Raw_Data!B248))</f>
        <v>45534</v>
      </c>
      <c r="C248" s="2" t="str">
        <f aca="false">TRIM(UPPER(Raw_Data!C248))</f>
        <v>C55354</v>
      </c>
      <c r="D248" s="2" t="str">
        <f aca="false">PROPER(TRIM(Raw_Data!D248))</f>
        <v>Desk</v>
      </c>
      <c r="E248" s="2" t="n">
        <f aca="false">Raw_Data!E248</f>
        <v>2</v>
      </c>
      <c r="F248" s="4" t="n">
        <f aca="false">ROUND(Raw_Data!F248,2)</f>
        <v>342.11</v>
      </c>
      <c r="G248" s="2" t="str">
        <f aca="false">PROPER(TRIM(Raw_Data!G248))</f>
        <v>164 Main St</v>
      </c>
      <c r="H248" s="2" t="str">
        <f aca="false">PROPER(TRIM(Raw_Data!H248))</f>
        <v>Gift Card</v>
      </c>
      <c r="I248" s="2" t="str">
        <f aca="false">PROPER(TRIM(Raw_Data!I248))</f>
        <v>Shipped</v>
      </c>
      <c r="J248" s="2" t="str">
        <f aca="false">TRIM(UPPER(Raw_Data!J248))</f>
        <v>TRK15439493</v>
      </c>
      <c r="K248" s="2" t="n">
        <f aca="false">Raw_Data!K248</f>
        <v>2</v>
      </c>
      <c r="L248" s="2" t="str">
        <f aca="false">IF(TRIM(Raw_Data!L248)="","No Coupon",TRIM(UPPER(Raw_Data!L248)))</f>
        <v>WINTER15</v>
      </c>
      <c r="M248" s="2" t="str">
        <f aca="false">PROPER(TRIM(Raw_Data!M248))</f>
        <v>Instagram</v>
      </c>
      <c r="N248" s="4" t="n">
        <f aca="false">ROUND(E248*F248,2)</f>
        <v>684.22</v>
      </c>
      <c r="O248" s="2" t="str">
        <f aca="false">IF(COUNTIF($A$2:$A$1201,A248)&gt;1,"DUPLICATE","Unique")</f>
        <v>Unique</v>
      </c>
      <c r="P248" s="2" t="str">
        <f aca="false">IF(L248="","MISSING","OK")</f>
        <v>OK</v>
      </c>
      <c r="Q248" s="2" t="str">
        <f aca="false">IF(ISNUMBER(B248),"OK","BAD DATE")</f>
        <v>OK</v>
      </c>
      <c r="R248" s="2" t="str">
        <f aca="false">IF(ROUND(F248,2)=F248,"OK","FIX")</f>
        <v>OK</v>
      </c>
    </row>
    <row r="249" customFormat="false" ht="15" hidden="false" customHeight="false" outlineLevel="0" collapsed="false">
      <c r="A249" s="2" t="str">
        <f aca="false">TRIM(UPPER(Raw_Data!A249))</f>
        <v>ORD200247</v>
      </c>
      <c r="B249" s="3" t="n">
        <f aca="false">IF(ISNUMBER(Raw_Data!B249),Raw_Data!B249,DATEVALUE(Raw_Data!B249))</f>
        <v>45127</v>
      </c>
      <c r="C249" s="2" t="str">
        <f aca="false">TRIM(UPPER(Raw_Data!C249))</f>
        <v>C14600</v>
      </c>
      <c r="D249" s="2" t="str">
        <f aca="false">PROPER(TRIM(Raw_Data!D249))</f>
        <v>Printer</v>
      </c>
      <c r="E249" s="2" t="n">
        <f aca="false">Raw_Data!E249</f>
        <v>2</v>
      </c>
      <c r="F249" s="4" t="n">
        <f aca="false">ROUND(Raw_Data!F249,2)</f>
        <v>220.9</v>
      </c>
      <c r="G249" s="2" t="str">
        <f aca="false">PROPER(TRIM(Raw_Data!G249))</f>
        <v>785 Main St</v>
      </c>
      <c r="H249" s="2" t="str">
        <f aca="false">PROPER(TRIM(Raw_Data!H249))</f>
        <v>Gift Card</v>
      </c>
      <c r="I249" s="2" t="str">
        <f aca="false">PROPER(TRIM(Raw_Data!I249))</f>
        <v>Shipped</v>
      </c>
      <c r="J249" s="2" t="str">
        <f aca="false">TRIM(UPPER(Raw_Data!J249))</f>
        <v>TRK84984764</v>
      </c>
      <c r="K249" s="2" t="n">
        <f aca="false">Raw_Data!K249</f>
        <v>4</v>
      </c>
      <c r="L249" s="2" t="str">
        <f aca="false">IF(TRIM(Raw_Data!L249)="","No Coupon",TRIM(UPPER(Raw_Data!L249)))</f>
        <v>No Coupon</v>
      </c>
      <c r="M249" s="2" t="str">
        <f aca="false">PROPER(TRIM(Raw_Data!M249))</f>
        <v>Email</v>
      </c>
      <c r="N249" s="4" t="n">
        <f aca="false">ROUND(E249*F249,2)</f>
        <v>441.8</v>
      </c>
      <c r="O249" s="2" t="str">
        <f aca="false">IF(COUNTIF($A$2:$A$1201,A249)&gt;1,"DUPLICATE","Unique")</f>
        <v>Unique</v>
      </c>
      <c r="P249" s="2" t="str">
        <f aca="false">IF(L249="","MISSING","OK")</f>
        <v>OK</v>
      </c>
      <c r="Q249" s="2" t="str">
        <f aca="false">IF(ISNUMBER(B249),"OK","BAD DATE")</f>
        <v>OK</v>
      </c>
      <c r="R249" s="2" t="str">
        <f aca="false">IF(ROUND(F249,2)=F249,"OK","FIX")</f>
        <v>OK</v>
      </c>
    </row>
    <row r="250" customFormat="false" ht="15" hidden="false" customHeight="false" outlineLevel="0" collapsed="false">
      <c r="A250" s="2" t="str">
        <f aca="false">TRIM(UPPER(Raw_Data!A250))</f>
        <v>ORD200248</v>
      </c>
      <c r="B250" s="3" t="n">
        <f aca="false">IF(ISNUMBER(Raw_Data!B250),Raw_Data!B250,DATEVALUE(Raw_Data!B250))</f>
        <v>45109</v>
      </c>
      <c r="C250" s="2" t="str">
        <f aca="false">TRIM(UPPER(Raw_Data!C250))</f>
        <v>C97187</v>
      </c>
      <c r="D250" s="2" t="str">
        <f aca="false">PROPER(TRIM(Raw_Data!D250))</f>
        <v>Laptop</v>
      </c>
      <c r="E250" s="2" t="n">
        <f aca="false">Raw_Data!E250</f>
        <v>1</v>
      </c>
      <c r="F250" s="4" t="n">
        <f aca="false">ROUND(Raw_Data!F250,2)</f>
        <v>670.54</v>
      </c>
      <c r="G250" s="2" t="str">
        <f aca="false">PROPER(TRIM(Raw_Data!G250))</f>
        <v>471 Main St</v>
      </c>
      <c r="H250" s="2" t="str">
        <f aca="false">PROPER(TRIM(Raw_Data!H250))</f>
        <v>Cash</v>
      </c>
      <c r="I250" s="2" t="str">
        <f aca="false">PROPER(TRIM(Raw_Data!I250))</f>
        <v>Shipped</v>
      </c>
      <c r="J250" s="2" t="str">
        <f aca="false">TRIM(UPPER(Raw_Data!J250))</f>
        <v>TRK62283713</v>
      </c>
      <c r="K250" s="2" t="n">
        <f aca="false">Raw_Data!K250</f>
        <v>6</v>
      </c>
      <c r="L250" s="2" t="str">
        <f aca="false">IF(TRIM(Raw_Data!L250)="","No Coupon",TRIM(UPPER(Raw_Data!L250)))</f>
        <v>FREESHIP</v>
      </c>
      <c r="M250" s="2" t="str">
        <f aca="false">PROPER(TRIM(Raw_Data!M250))</f>
        <v>Referral</v>
      </c>
      <c r="N250" s="4" t="n">
        <f aca="false">ROUND(E250*F250,2)</f>
        <v>670.54</v>
      </c>
      <c r="O250" s="2" t="str">
        <f aca="false">IF(COUNTIF($A$2:$A$1201,A250)&gt;1,"DUPLICATE","Unique")</f>
        <v>Unique</v>
      </c>
      <c r="P250" s="2" t="str">
        <f aca="false">IF(L250="","MISSING","OK")</f>
        <v>OK</v>
      </c>
      <c r="Q250" s="2" t="str">
        <f aca="false">IF(ISNUMBER(B250),"OK","BAD DATE")</f>
        <v>OK</v>
      </c>
      <c r="R250" s="2" t="str">
        <f aca="false">IF(ROUND(F250,2)=F250,"OK","FIX")</f>
        <v>OK</v>
      </c>
    </row>
    <row r="251" customFormat="false" ht="15" hidden="false" customHeight="false" outlineLevel="0" collapsed="false">
      <c r="A251" s="2" t="str">
        <f aca="false">TRIM(UPPER(Raw_Data!A251))</f>
        <v>ORD200249</v>
      </c>
      <c r="B251" s="3" t="n">
        <f aca="false">IF(ISNUMBER(Raw_Data!B251),Raw_Data!B251,DATEVALUE(Raw_Data!B251))</f>
        <v>45329</v>
      </c>
      <c r="C251" s="2" t="str">
        <f aca="false">TRIM(UPPER(Raw_Data!C251))</f>
        <v>C39106</v>
      </c>
      <c r="D251" s="2" t="str">
        <f aca="false">PROPER(TRIM(Raw_Data!D251))</f>
        <v>Printer</v>
      </c>
      <c r="E251" s="2" t="n">
        <f aca="false">Raw_Data!E251</f>
        <v>1</v>
      </c>
      <c r="F251" s="4" t="n">
        <f aca="false">ROUND(Raw_Data!F251,2)</f>
        <v>546.19</v>
      </c>
      <c r="G251" s="2" t="str">
        <f aca="false">PROPER(TRIM(Raw_Data!G251))</f>
        <v>245 Main St</v>
      </c>
      <c r="H251" s="2" t="str">
        <f aca="false">PROPER(TRIM(Raw_Data!H251))</f>
        <v>Cash</v>
      </c>
      <c r="I251" s="2" t="str">
        <f aca="false">PROPER(TRIM(Raw_Data!I251))</f>
        <v>Pending</v>
      </c>
      <c r="J251" s="2" t="str">
        <f aca="false">TRIM(UPPER(Raw_Data!J251))</f>
        <v>TRK35464433</v>
      </c>
      <c r="K251" s="2" t="n">
        <f aca="false">Raw_Data!K251</f>
        <v>5</v>
      </c>
      <c r="L251" s="2" t="str">
        <f aca="false">IF(TRIM(Raw_Data!L251)="","No Coupon",TRIM(UPPER(Raw_Data!L251)))</f>
        <v>FREESHIP</v>
      </c>
      <c r="M251" s="2" t="str">
        <f aca="false">PROPER(TRIM(Raw_Data!M251))</f>
        <v>Referral</v>
      </c>
      <c r="N251" s="4" t="n">
        <f aca="false">ROUND(E251*F251,2)</f>
        <v>546.19</v>
      </c>
      <c r="O251" s="2" t="str">
        <f aca="false">IF(COUNTIF($A$2:$A$1201,A251)&gt;1,"DUPLICATE","Unique")</f>
        <v>Unique</v>
      </c>
      <c r="P251" s="2" t="str">
        <f aca="false">IF(L251="","MISSING","OK")</f>
        <v>OK</v>
      </c>
      <c r="Q251" s="2" t="str">
        <f aca="false">IF(ISNUMBER(B251),"OK","BAD DATE")</f>
        <v>OK</v>
      </c>
      <c r="R251" s="2" t="str">
        <f aca="false">IF(ROUND(F251,2)=F251,"OK","FIX")</f>
        <v>OK</v>
      </c>
    </row>
    <row r="252" customFormat="false" ht="15" hidden="false" customHeight="false" outlineLevel="0" collapsed="false">
      <c r="A252" s="2" t="str">
        <f aca="false">TRIM(UPPER(Raw_Data!A252))</f>
        <v>ORD200250</v>
      </c>
      <c r="B252" s="3" t="n">
        <f aca="false">IF(ISNUMBER(Raw_Data!B252),Raw_Data!B252,DATEVALUE(Raw_Data!B252))</f>
        <v>45021</v>
      </c>
      <c r="C252" s="2" t="str">
        <f aca="false">TRIM(UPPER(Raw_Data!C252))</f>
        <v>C93379</v>
      </c>
      <c r="D252" s="2" t="str">
        <f aca="false">PROPER(TRIM(Raw_Data!D252))</f>
        <v>Desk</v>
      </c>
      <c r="E252" s="2" t="n">
        <f aca="false">Raw_Data!E252</f>
        <v>3</v>
      </c>
      <c r="F252" s="4" t="n">
        <f aca="false">ROUND(Raw_Data!F252,2)</f>
        <v>42.95</v>
      </c>
      <c r="G252" s="2" t="str">
        <f aca="false">PROPER(TRIM(Raw_Data!G252))</f>
        <v>318 Main St</v>
      </c>
      <c r="H252" s="2" t="str">
        <f aca="false">PROPER(TRIM(Raw_Data!H252))</f>
        <v>Gift Card</v>
      </c>
      <c r="I252" s="2" t="str">
        <f aca="false">PROPER(TRIM(Raw_Data!I252))</f>
        <v>Returned</v>
      </c>
      <c r="J252" s="2" t="str">
        <f aca="false">TRIM(UPPER(Raw_Data!J252))</f>
        <v>TRK67954150</v>
      </c>
      <c r="K252" s="2" t="n">
        <f aca="false">Raw_Data!K252</f>
        <v>8</v>
      </c>
      <c r="L252" s="2" t="str">
        <f aca="false">IF(TRIM(Raw_Data!L252)="","No Coupon",TRIM(UPPER(Raw_Data!L252)))</f>
        <v>SAVE10</v>
      </c>
      <c r="M252" s="2" t="str">
        <f aca="false">PROPER(TRIM(Raw_Data!M252))</f>
        <v>Email</v>
      </c>
      <c r="N252" s="4" t="n">
        <f aca="false">ROUND(E252*F252,2)</f>
        <v>128.85</v>
      </c>
      <c r="O252" s="2" t="str">
        <f aca="false">IF(COUNTIF($A$2:$A$1201,A252)&gt;1,"DUPLICATE","Unique")</f>
        <v>Unique</v>
      </c>
      <c r="P252" s="2" t="str">
        <f aca="false">IF(L252="","MISSING","OK")</f>
        <v>OK</v>
      </c>
      <c r="Q252" s="2" t="str">
        <f aca="false">IF(ISNUMBER(B252),"OK","BAD DATE")</f>
        <v>OK</v>
      </c>
      <c r="R252" s="2" t="str">
        <f aca="false">IF(ROUND(F252,2)=F252,"OK","FIX")</f>
        <v>OK</v>
      </c>
    </row>
    <row r="253" customFormat="false" ht="15" hidden="false" customHeight="false" outlineLevel="0" collapsed="false">
      <c r="A253" s="2" t="str">
        <f aca="false">TRIM(UPPER(Raw_Data!A253))</f>
        <v>ORD200251</v>
      </c>
      <c r="B253" s="3" t="n">
        <f aca="false">IF(ISNUMBER(Raw_Data!B253),Raw_Data!B253,DATEVALUE(Raw_Data!B253))</f>
        <v>45792</v>
      </c>
      <c r="C253" s="2" t="str">
        <f aca="false">TRIM(UPPER(Raw_Data!C253))</f>
        <v>C93175</v>
      </c>
      <c r="D253" s="2" t="str">
        <f aca="false">PROPER(TRIM(Raw_Data!D253))</f>
        <v>Monitor</v>
      </c>
      <c r="E253" s="2" t="n">
        <f aca="false">Raw_Data!E253</f>
        <v>4</v>
      </c>
      <c r="F253" s="4" t="n">
        <f aca="false">ROUND(Raw_Data!F253,2)</f>
        <v>14.69</v>
      </c>
      <c r="G253" s="2" t="str">
        <f aca="false">PROPER(TRIM(Raw_Data!G253))</f>
        <v>814 Main St</v>
      </c>
      <c r="H253" s="2" t="str">
        <f aca="false">PROPER(TRIM(Raw_Data!H253))</f>
        <v>Cash</v>
      </c>
      <c r="I253" s="2" t="str">
        <f aca="false">PROPER(TRIM(Raw_Data!I253))</f>
        <v>Cancelled</v>
      </c>
      <c r="J253" s="2" t="str">
        <f aca="false">TRIM(UPPER(Raw_Data!J253))</f>
        <v>TRK32995144</v>
      </c>
      <c r="K253" s="2" t="n">
        <f aca="false">Raw_Data!K253</f>
        <v>9</v>
      </c>
      <c r="L253" s="2" t="str">
        <f aca="false">IF(TRIM(Raw_Data!L253)="","No Coupon",TRIM(UPPER(Raw_Data!L253)))</f>
        <v>No Coupon</v>
      </c>
      <c r="M253" s="2" t="str">
        <f aca="false">PROPER(TRIM(Raw_Data!M253))</f>
        <v>Email</v>
      </c>
      <c r="N253" s="4" t="n">
        <f aca="false">ROUND(E253*F253,2)</f>
        <v>58.76</v>
      </c>
      <c r="O253" s="2" t="str">
        <f aca="false">IF(COUNTIF($A$2:$A$1201,A253)&gt;1,"DUPLICATE","Unique")</f>
        <v>Unique</v>
      </c>
      <c r="P253" s="2" t="str">
        <f aca="false">IF(L253="","MISSING","OK")</f>
        <v>OK</v>
      </c>
      <c r="Q253" s="2" t="str">
        <f aca="false">IF(ISNUMBER(B253),"OK","BAD DATE")</f>
        <v>OK</v>
      </c>
      <c r="R253" s="2" t="str">
        <f aca="false">IF(ROUND(F253,2)=F253,"OK","FIX")</f>
        <v>OK</v>
      </c>
    </row>
    <row r="254" customFormat="false" ht="15" hidden="false" customHeight="false" outlineLevel="0" collapsed="false">
      <c r="A254" s="2" t="str">
        <f aca="false">TRIM(UPPER(Raw_Data!A254))</f>
        <v>ORD200252</v>
      </c>
      <c r="B254" s="3" t="n">
        <f aca="false">IF(ISNUMBER(Raw_Data!B254),Raw_Data!B254,DATEVALUE(Raw_Data!B254))</f>
        <v>45555</v>
      </c>
      <c r="C254" s="2" t="str">
        <f aca="false">TRIM(UPPER(Raw_Data!C254))</f>
        <v>C19648</v>
      </c>
      <c r="D254" s="2" t="str">
        <f aca="false">PROPER(TRIM(Raw_Data!D254))</f>
        <v>Phone</v>
      </c>
      <c r="E254" s="2" t="n">
        <f aca="false">Raw_Data!E254</f>
        <v>4</v>
      </c>
      <c r="F254" s="4" t="n">
        <f aca="false">ROUND(Raw_Data!F254,2)</f>
        <v>668.36</v>
      </c>
      <c r="G254" s="2" t="str">
        <f aca="false">PROPER(TRIM(Raw_Data!G254))</f>
        <v>821 Main St</v>
      </c>
      <c r="H254" s="2" t="str">
        <f aca="false">PROPER(TRIM(Raw_Data!H254))</f>
        <v>Gift Card</v>
      </c>
      <c r="I254" s="2" t="str">
        <f aca="false">PROPER(TRIM(Raw_Data!I254))</f>
        <v>Cancelled</v>
      </c>
      <c r="J254" s="2" t="str">
        <f aca="false">TRIM(UPPER(Raw_Data!J254))</f>
        <v>TRK51297879</v>
      </c>
      <c r="K254" s="2" t="n">
        <f aca="false">Raw_Data!K254</f>
        <v>5</v>
      </c>
      <c r="L254" s="2" t="str">
        <f aca="false">IF(TRIM(Raw_Data!L254)="","No Coupon",TRIM(UPPER(Raw_Data!L254)))</f>
        <v>FREESHIP</v>
      </c>
      <c r="M254" s="2" t="str">
        <f aca="false">PROPER(TRIM(Raw_Data!M254))</f>
        <v>Facebook</v>
      </c>
      <c r="N254" s="4" t="n">
        <f aca="false">ROUND(E254*F254,2)</f>
        <v>2673.44</v>
      </c>
      <c r="O254" s="2" t="str">
        <f aca="false">IF(COUNTIF($A$2:$A$1201,A254)&gt;1,"DUPLICATE","Unique")</f>
        <v>Unique</v>
      </c>
      <c r="P254" s="2" t="str">
        <f aca="false">IF(L254="","MISSING","OK")</f>
        <v>OK</v>
      </c>
      <c r="Q254" s="2" t="str">
        <f aca="false">IF(ISNUMBER(B254),"OK","BAD DATE")</f>
        <v>OK</v>
      </c>
      <c r="R254" s="2" t="str">
        <f aca="false">IF(ROUND(F254,2)=F254,"OK","FIX")</f>
        <v>OK</v>
      </c>
    </row>
    <row r="255" customFormat="false" ht="15" hidden="false" customHeight="false" outlineLevel="0" collapsed="false">
      <c r="A255" s="2" t="str">
        <f aca="false">TRIM(UPPER(Raw_Data!A255))</f>
        <v>ORD200253</v>
      </c>
      <c r="B255" s="3" t="n">
        <f aca="false">IF(ISNUMBER(Raw_Data!B255),Raw_Data!B255,DATEVALUE(Raw_Data!B255))</f>
        <v>45374</v>
      </c>
      <c r="C255" s="2" t="str">
        <f aca="false">TRIM(UPPER(Raw_Data!C255))</f>
        <v>C14891</v>
      </c>
      <c r="D255" s="2" t="str">
        <f aca="false">PROPER(TRIM(Raw_Data!D255))</f>
        <v>Chair</v>
      </c>
      <c r="E255" s="2" t="n">
        <f aca="false">Raw_Data!E255</f>
        <v>4</v>
      </c>
      <c r="F255" s="4" t="n">
        <f aca="false">ROUND(Raw_Data!F255,2)</f>
        <v>413.74</v>
      </c>
      <c r="G255" s="2" t="str">
        <f aca="false">PROPER(TRIM(Raw_Data!G255))</f>
        <v>743 Main St</v>
      </c>
      <c r="H255" s="2" t="str">
        <f aca="false">PROPER(TRIM(Raw_Data!H255))</f>
        <v>Gift Card</v>
      </c>
      <c r="I255" s="2" t="str">
        <f aca="false">PROPER(TRIM(Raw_Data!I255))</f>
        <v>Returned</v>
      </c>
      <c r="J255" s="2" t="str">
        <f aca="false">TRIM(UPPER(Raw_Data!J255))</f>
        <v>TRK79471534</v>
      </c>
      <c r="K255" s="2" t="n">
        <f aca="false">Raw_Data!K255</f>
        <v>7</v>
      </c>
      <c r="L255" s="2" t="str">
        <f aca="false">IF(TRIM(Raw_Data!L255)="","No Coupon",TRIM(UPPER(Raw_Data!L255)))</f>
        <v>FREESHIP</v>
      </c>
      <c r="M255" s="2" t="str">
        <f aca="false">PROPER(TRIM(Raw_Data!M255))</f>
        <v>Instagram</v>
      </c>
      <c r="N255" s="4" t="n">
        <f aca="false">ROUND(E255*F255,2)</f>
        <v>1654.96</v>
      </c>
      <c r="O255" s="2" t="str">
        <f aca="false">IF(COUNTIF($A$2:$A$1201,A255)&gt;1,"DUPLICATE","Unique")</f>
        <v>Unique</v>
      </c>
      <c r="P255" s="2" t="str">
        <f aca="false">IF(L255="","MISSING","OK")</f>
        <v>OK</v>
      </c>
      <c r="Q255" s="2" t="str">
        <f aca="false">IF(ISNUMBER(B255),"OK","BAD DATE")</f>
        <v>OK</v>
      </c>
      <c r="R255" s="2" t="str">
        <f aca="false">IF(ROUND(F255,2)=F255,"OK","FIX")</f>
        <v>OK</v>
      </c>
    </row>
    <row r="256" customFormat="false" ht="15" hidden="false" customHeight="false" outlineLevel="0" collapsed="false">
      <c r="A256" s="2" t="str">
        <f aca="false">TRIM(UPPER(Raw_Data!A256))</f>
        <v>ORD200254</v>
      </c>
      <c r="B256" s="3" t="n">
        <f aca="false">IF(ISNUMBER(Raw_Data!B256),Raw_Data!B256,DATEVALUE(Raw_Data!B256))</f>
        <v>45286</v>
      </c>
      <c r="C256" s="2" t="str">
        <f aca="false">TRIM(UPPER(Raw_Data!C256))</f>
        <v>C10866</v>
      </c>
      <c r="D256" s="2" t="str">
        <f aca="false">PROPER(TRIM(Raw_Data!D256))</f>
        <v>Monitor</v>
      </c>
      <c r="E256" s="2" t="n">
        <f aca="false">Raw_Data!E256</f>
        <v>3</v>
      </c>
      <c r="F256" s="4" t="n">
        <f aca="false">ROUND(Raw_Data!F256,2)</f>
        <v>263.19</v>
      </c>
      <c r="G256" s="2" t="str">
        <f aca="false">PROPER(TRIM(Raw_Data!G256))</f>
        <v>770 Main St</v>
      </c>
      <c r="H256" s="2" t="str">
        <f aca="false">PROPER(TRIM(Raw_Data!H256))</f>
        <v>Online</v>
      </c>
      <c r="I256" s="2" t="str">
        <f aca="false">PROPER(TRIM(Raw_Data!I256))</f>
        <v>Delivered</v>
      </c>
      <c r="J256" s="2" t="str">
        <f aca="false">TRIM(UPPER(Raw_Data!J256))</f>
        <v>TRK34809583</v>
      </c>
      <c r="K256" s="2" t="n">
        <f aca="false">Raw_Data!K256</f>
        <v>5</v>
      </c>
      <c r="L256" s="2" t="str">
        <f aca="false">IF(TRIM(Raw_Data!L256)="","No Coupon",TRIM(UPPER(Raw_Data!L256)))</f>
        <v>No Coupon</v>
      </c>
      <c r="M256" s="2" t="str">
        <f aca="false">PROPER(TRIM(Raw_Data!M256))</f>
        <v>Instagram</v>
      </c>
      <c r="N256" s="4" t="n">
        <f aca="false">ROUND(E256*F256,2)</f>
        <v>789.57</v>
      </c>
      <c r="O256" s="2" t="str">
        <f aca="false">IF(COUNTIF($A$2:$A$1201,A256)&gt;1,"DUPLICATE","Unique")</f>
        <v>Unique</v>
      </c>
      <c r="P256" s="2" t="str">
        <f aca="false">IF(L256="","MISSING","OK")</f>
        <v>OK</v>
      </c>
      <c r="Q256" s="2" t="str">
        <f aca="false">IF(ISNUMBER(B256),"OK","BAD DATE")</f>
        <v>OK</v>
      </c>
      <c r="R256" s="2" t="str">
        <f aca="false">IF(ROUND(F256,2)=F256,"OK","FIX")</f>
        <v>OK</v>
      </c>
    </row>
    <row r="257" customFormat="false" ht="15" hidden="false" customHeight="false" outlineLevel="0" collapsed="false">
      <c r="A257" s="2" t="str">
        <f aca="false">TRIM(UPPER(Raw_Data!A257))</f>
        <v>ORD200255</v>
      </c>
      <c r="B257" s="3" t="n">
        <f aca="false">IF(ISNUMBER(Raw_Data!B257),Raw_Data!B257,DATEVALUE(Raw_Data!B257))</f>
        <v>45425</v>
      </c>
      <c r="C257" s="2" t="str">
        <f aca="false">TRIM(UPPER(Raw_Data!C257))</f>
        <v>C47283</v>
      </c>
      <c r="D257" s="2" t="str">
        <f aca="false">PROPER(TRIM(Raw_Data!D257))</f>
        <v>Monitor</v>
      </c>
      <c r="E257" s="2" t="n">
        <f aca="false">Raw_Data!E257</f>
        <v>1</v>
      </c>
      <c r="F257" s="4" t="n">
        <f aca="false">ROUND(Raw_Data!F257,2)</f>
        <v>263.96</v>
      </c>
      <c r="G257" s="2" t="str">
        <f aca="false">PROPER(TRIM(Raw_Data!G257))</f>
        <v>806 Main St</v>
      </c>
      <c r="H257" s="2" t="str">
        <f aca="false">PROPER(TRIM(Raw_Data!H257))</f>
        <v>Gift Card</v>
      </c>
      <c r="I257" s="2" t="str">
        <f aca="false">PROPER(TRIM(Raw_Data!I257))</f>
        <v>Returned</v>
      </c>
      <c r="J257" s="2" t="str">
        <f aca="false">TRIM(UPPER(Raw_Data!J257))</f>
        <v>TRK56235117</v>
      </c>
      <c r="K257" s="2" t="n">
        <f aca="false">Raw_Data!K257</f>
        <v>2</v>
      </c>
      <c r="L257" s="2" t="str">
        <f aca="false">IF(TRIM(Raw_Data!L257)="","No Coupon",TRIM(UPPER(Raw_Data!L257)))</f>
        <v>SAVE10</v>
      </c>
      <c r="M257" s="2" t="str">
        <f aca="false">PROPER(TRIM(Raw_Data!M257))</f>
        <v>Google</v>
      </c>
      <c r="N257" s="4" t="n">
        <f aca="false">ROUND(E257*F257,2)</f>
        <v>263.96</v>
      </c>
      <c r="O257" s="2" t="str">
        <f aca="false">IF(COUNTIF($A$2:$A$1201,A257)&gt;1,"DUPLICATE","Unique")</f>
        <v>Unique</v>
      </c>
      <c r="P257" s="2" t="str">
        <f aca="false">IF(L257="","MISSING","OK")</f>
        <v>OK</v>
      </c>
      <c r="Q257" s="2" t="str">
        <f aca="false">IF(ISNUMBER(B257),"OK","BAD DATE")</f>
        <v>OK</v>
      </c>
      <c r="R257" s="2" t="str">
        <f aca="false">IF(ROUND(F257,2)=F257,"OK","FIX")</f>
        <v>OK</v>
      </c>
    </row>
    <row r="258" customFormat="false" ht="15" hidden="false" customHeight="false" outlineLevel="0" collapsed="false">
      <c r="A258" s="2" t="str">
        <f aca="false">TRIM(UPPER(Raw_Data!A258))</f>
        <v>ORD200256</v>
      </c>
      <c r="B258" s="3" t="n">
        <f aca="false">IF(ISNUMBER(Raw_Data!B258),Raw_Data!B258,DATEVALUE(Raw_Data!B258))</f>
        <v>45838</v>
      </c>
      <c r="C258" s="2" t="str">
        <f aca="false">TRIM(UPPER(Raw_Data!C258))</f>
        <v>C94323</v>
      </c>
      <c r="D258" s="2" t="str">
        <f aca="false">PROPER(TRIM(Raw_Data!D258))</f>
        <v>Chair</v>
      </c>
      <c r="E258" s="2" t="n">
        <f aca="false">Raw_Data!E258</f>
        <v>5</v>
      </c>
      <c r="F258" s="4" t="n">
        <f aca="false">ROUND(Raw_Data!F258,2)</f>
        <v>75.81</v>
      </c>
      <c r="G258" s="2" t="str">
        <f aca="false">PROPER(TRIM(Raw_Data!G258))</f>
        <v>463 Main St</v>
      </c>
      <c r="H258" s="2" t="str">
        <f aca="false">PROPER(TRIM(Raw_Data!H258))</f>
        <v>Gift Card</v>
      </c>
      <c r="I258" s="2" t="str">
        <f aca="false">PROPER(TRIM(Raw_Data!I258))</f>
        <v>Returned</v>
      </c>
      <c r="J258" s="2" t="str">
        <f aca="false">TRIM(UPPER(Raw_Data!J258))</f>
        <v>TRK22663277</v>
      </c>
      <c r="K258" s="2" t="n">
        <f aca="false">Raw_Data!K258</f>
        <v>10</v>
      </c>
      <c r="L258" s="2" t="str">
        <f aca="false">IF(TRIM(Raw_Data!L258)="","No Coupon",TRIM(UPPER(Raw_Data!L258)))</f>
        <v>WINTER15</v>
      </c>
      <c r="M258" s="2" t="str">
        <f aca="false">PROPER(TRIM(Raw_Data!M258))</f>
        <v>Instagram</v>
      </c>
      <c r="N258" s="4" t="n">
        <f aca="false">ROUND(E258*F258,2)</f>
        <v>379.05</v>
      </c>
      <c r="O258" s="2" t="str">
        <f aca="false">IF(COUNTIF($A$2:$A$1201,A258)&gt;1,"DUPLICATE","Unique")</f>
        <v>Unique</v>
      </c>
      <c r="P258" s="2" t="str">
        <f aca="false">IF(L258="","MISSING","OK")</f>
        <v>OK</v>
      </c>
      <c r="Q258" s="2" t="str">
        <f aca="false">IF(ISNUMBER(B258),"OK","BAD DATE")</f>
        <v>OK</v>
      </c>
      <c r="R258" s="2" t="str">
        <f aca="false">IF(ROUND(F258,2)=F258,"OK","FIX")</f>
        <v>OK</v>
      </c>
    </row>
    <row r="259" customFormat="false" ht="15" hidden="false" customHeight="false" outlineLevel="0" collapsed="false">
      <c r="A259" s="2" t="str">
        <f aca="false">TRIM(UPPER(Raw_Data!A259))</f>
        <v>ORD200257</v>
      </c>
      <c r="B259" s="3" t="n">
        <f aca="false">IF(ISNUMBER(Raw_Data!B259),Raw_Data!B259,DATEVALUE(Raw_Data!B259))</f>
        <v>45405</v>
      </c>
      <c r="C259" s="2" t="str">
        <f aca="false">TRIM(UPPER(Raw_Data!C259))</f>
        <v>C89732</v>
      </c>
      <c r="D259" s="2" t="str">
        <f aca="false">PROPER(TRIM(Raw_Data!D259))</f>
        <v>Phone</v>
      </c>
      <c r="E259" s="2" t="n">
        <f aca="false">Raw_Data!E259</f>
        <v>1</v>
      </c>
      <c r="F259" s="4" t="n">
        <f aca="false">ROUND(Raw_Data!F259,2)</f>
        <v>406.22</v>
      </c>
      <c r="G259" s="2" t="str">
        <f aca="false">PROPER(TRIM(Raw_Data!G259))</f>
        <v>712 Main St</v>
      </c>
      <c r="H259" s="2" t="str">
        <f aca="false">PROPER(TRIM(Raw_Data!H259))</f>
        <v>Credit Card</v>
      </c>
      <c r="I259" s="2" t="str">
        <f aca="false">PROPER(TRIM(Raw_Data!I259))</f>
        <v>Cancelled</v>
      </c>
      <c r="J259" s="2" t="str">
        <f aca="false">TRIM(UPPER(Raw_Data!J259))</f>
        <v>TRK41059233</v>
      </c>
      <c r="K259" s="2" t="n">
        <f aca="false">Raw_Data!K259</f>
        <v>5</v>
      </c>
      <c r="L259" s="2" t="str">
        <f aca="false">IF(TRIM(Raw_Data!L259)="","No Coupon",TRIM(UPPER(Raw_Data!L259)))</f>
        <v>SAVE10</v>
      </c>
      <c r="M259" s="2" t="str">
        <f aca="false">PROPER(TRIM(Raw_Data!M259))</f>
        <v>Referral</v>
      </c>
      <c r="N259" s="4" t="n">
        <f aca="false">ROUND(E259*F259,2)</f>
        <v>406.22</v>
      </c>
      <c r="O259" s="2" t="str">
        <f aca="false">IF(COUNTIF($A$2:$A$1201,A259)&gt;1,"DUPLICATE","Unique")</f>
        <v>Unique</v>
      </c>
      <c r="P259" s="2" t="str">
        <f aca="false">IF(L259="","MISSING","OK")</f>
        <v>OK</v>
      </c>
      <c r="Q259" s="2" t="str">
        <f aca="false">IF(ISNUMBER(B259),"OK","BAD DATE")</f>
        <v>OK</v>
      </c>
      <c r="R259" s="2" t="str">
        <f aca="false">IF(ROUND(F259,2)=F259,"OK","FIX")</f>
        <v>OK</v>
      </c>
    </row>
    <row r="260" customFormat="false" ht="15" hidden="false" customHeight="false" outlineLevel="0" collapsed="false">
      <c r="A260" s="2" t="str">
        <f aca="false">TRIM(UPPER(Raw_Data!A260))</f>
        <v>ORD200258</v>
      </c>
      <c r="B260" s="3" t="n">
        <f aca="false">IF(ISNUMBER(Raw_Data!B260),Raw_Data!B260,DATEVALUE(Raw_Data!B260))</f>
        <v>45348</v>
      </c>
      <c r="C260" s="2" t="str">
        <f aca="false">TRIM(UPPER(Raw_Data!C260))</f>
        <v>C87764</v>
      </c>
      <c r="D260" s="2" t="str">
        <f aca="false">PROPER(TRIM(Raw_Data!D260))</f>
        <v>Tablet</v>
      </c>
      <c r="E260" s="2" t="n">
        <f aca="false">Raw_Data!E260</f>
        <v>2</v>
      </c>
      <c r="F260" s="4" t="n">
        <f aca="false">ROUND(Raw_Data!F260,2)</f>
        <v>103.41</v>
      </c>
      <c r="G260" s="2" t="str">
        <f aca="false">PROPER(TRIM(Raw_Data!G260))</f>
        <v>294 Main St</v>
      </c>
      <c r="H260" s="2" t="str">
        <f aca="false">PROPER(TRIM(Raw_Data!H260))</f>
        <v>Online</v>
      </c>
      <c r="I260" s="2" t="str">
        <f aca="false">PROPER(TRIM(Raw_Data!I260))</f>
        <v>Shipped</v>
      </c>
      <c r="J260" s="2" t="str">
        <f aca="false">TRIM(UPPER(Raw_Data!J260))</f>
        <v>TRK94082469</v>
      </c>
      <c r="K260" s="2" t="n">
        <f aca="false">Raw_Data!K260</f>
        <v>2</v>
      </c>
      <c r="L260" s="2" t="str">
        <f aca="false">IF(TRIM(Raw_Data!L260)="","No Coupon",TRIM(UPPER(Raw_Data!L260)))</f>
        <v>FREESHIP</v>
      </c>
      <c r="M260" s="2" t="str">
        <f aca="false">PROPER(TRIM(Raw_Data!M260))</f>
        <v>Referral</v>
      </c>
      <c r="N260" s="4" t="n">
        <f aca="false">ROUND(E260*F260,2)</f>
        <v>206.82</v>
      </c>
      <c r="O260" s="2" t="str">
        <f aca="false">IF(COUNTIF($A$2:$A$1201,A260)&gt;1,"DUPLICATE","Unique")</f>
        <v>Unique</v>
      </c>
      <c r="P260" s="2" t="str">
        <f aca="false">IF(L260="","MISSING","OK")</f>
        <v>OK</v>
      </c>
      <c r="Q260" s="2" t="str">
        <f aca="false">IF(ISNUMBER(B260),"OK","BAD DATE")</f>
        <v>OK</v>
      </c>
      <c r="R260" s="2" t="str">
        <f aca="false">IF(ROUND(F260,2)=F260,"OK","FIX")</f>
        <v>OK</v>
      </c>
    </row>
    <row r="261" customFormat="false" ht="15" hidden="false" customHeight="false" outlineLevel="0" collapsed="false">
      <c r="A261" s="2" t="str">
        <f aca="false">TRIM(UPPER(Raw_Data!A261))</f>
        <v>ORD200259</v>
      </c>
      <c r="B261" s="3" t="n">
        <f aca="false">IF(ISNUMBER(Raw_Data!B261),Raw_Data!B261,DATEVALUE(Raw_Data!B261))</f>
        <v>45088</v>
      </c>
      <c r="C261" s="2" t="str">
        <f aca="false">TRIM(UPPER(Raw_Data!C261))</f>
        <v>C20977</v>
      </c>
      <c r="D261" s="2" t="str">
        <f aca="false">PROPER(TRIM(Raw_Data!D261))</f>
        <v>Chair</v>
      </c>
      <c r="E261" s="2" t="n">
        <f aca="false">Raw_Data!E261</f>
        <v>4</v>
      </c>
      <c r="F261" s="4" t="n">
        <f aca="false">ROUND(Raw_Data!F261,2)</f>
        <v>435.12</v>
      </c>
      <c r="G261" s="2" t="str">
        <f aca="false">PROPER(TRIM(Raw_Data!G261))</f>
        <v>636 Main St</v>
      </c>
      <c r="H261" s="2" t="str">
        <f aca="false">PROPER(TRIM(Raw_Data!H261))</f>
        <v>Credit Card</v>
      </c>
      <c r="I261" s="2" t="str">
        <f aca="false">PROPER(TRIM(Raw_Data!I261))</f>
        <v>Delivered</v>
      </c>
      <c r="J261" s="2" t="str">
        <f aca="false">TRIM(UPPER(Raw_Data!J261))</f>
        <v>TRK54991561</v>
      </c>
      <c r="K261" s="2" t="n">
        <f aca="false">Raw_Data!K261</f>
        <v>9</v>
      </c>
      <c r="L261" s="2" t="str">
        <f aca="false">IF(TRIM(Raw_Data!L261)="","No Coupon",TRIM(UPPER(Raw_Data!L261)))</f>
        <v>SAVE10</v>
      </c>
      <c r="M261" s="2" t="str">
        <f aca="false">PROPER(TRIM(Raw_Data!M261))</f>
        <v>Instagram</v>
      </c>
      <c r="N261" s="4" t="n">
        <f aca="false">ROUND(E261*F261,2)</f>
        <v>1740.48</v>
      </c>
      <c r="O261" s="2" t="str">
        <f aca="false">IF(COUNTIF($A$2:$A$1201,A261)&gt;1,"DUPLICATE","Unique")</f>
        <v>Unique</v>
      </c>
      <c r="P261" s="2" t="str">
        <f aca="false">IF(L261="","MISSING","OK")</f>
        <v>OK</v>
      </c>
      <c r="Q261" s="2" t="str">
        <f aca="false">IF(ISNUMBER(B261),"OK","BAD DATE")</f>
        <v>OK</v>
      </c>
      <c r="R261" s="2" t="str">
        <f aca="false">IF(ROUND(F261,2)=F261,"OK","FIX")</f>
        <v>OK</v>
      </c>
    </row>
    <row r="262" customFormat="false" ht="15" hidden="false" customHeight="false" outlineLevel="0" collapsed="false">
      <c r="A262" s="2" t="str">
        <f aca="false">TRIM(UPPER(Raw_Data!A262))</f>
        <v>ORD200260</v>
      </c>
      <c r="B262" s="3" t="n">
        <f aca="false">IF(ISNUMBER(Raw_Data!B262),Raw_Data!B262,DATEVALUE(Raw_Data!B262))</f>
        <v>45063</v>
      </c>
      <c r="C262" s="2" t="str">
        <f aca="false">TRIM(UPPER(Raw_Data!C262))</f>
        <v>C12245</v>
      </c>
      <c r="D262" s="2" t="str">
        <f aca="false">PROPER(TRIM(Raw_Data!D262))</f>
        <v>Monitor</v>
      </c>
      <c r="E262" s="2" t="n">
        <f aca="false">Raw_Data!E262</f>
        <v>2</v>
      </c>
      <c r="F262" s="4" t="n">
        <f aca="false">ROUND(Raw_Data!F262,2)</f>
        <v>407.79</v>
      </c>
      <c r="G262" s="2" t="str">
        <f aca="false">PROPER(TRIM(Raw_Data!G262))</f>
        <v>153 Main St</v>
      </c>
      <c r="H262" s="2" t="str">
        <f aca="false">PROPER(TRIM(Raw_Data!H262))</f>
        <v>Debit Card</v>
      </c>
      <c r="I262" s="2" t="str">
        <f aca="false">PROPER(TRIM(Raw_Data!I262))</f>
        <v>Shipped</v>
      </c>
      <c r="J262" s="2" t="str">
        <f aca="false">TRIM(UPPER(Raw_Data!J262))</f>
        <v>TRK22000463</v>
      </c>
      <c r="K262" s="2" t="n">
        <f aca="false">Raw_Data!K262</f>
        <v>3</v>
      </c>
      <c r="L262" s="2" t="str">
        <f aca="false">IF(TRIM(Raw_Data!L262)="","No Coupon",TRIM(UPPER(Raw_Data!L262)))</f>
        <v>No Coupon</v>
      </c>
      <c r="M262" s="2" t="str">
        <f aca="false">PROPER(TRIM(Raw_Data!M262))</f>
        <v>Google</v>
      </c>
      <c r="N262" s="4" t="n">
        <f aca="false">ROUND(E262*F262,2)</f>
        <v>815.58</v>
      </c>
      <c r="O262" s="2" t="str">
        <f aca="false">IF(COUNTIF($A$2:$A$1201,A262)&gt;1,"DUPLICATE","Unique")</f>
        <v>Unique</v>
      </c>
      <c r="P262" s="2" t="str">
        <f aca="false">IF(L262="","MISSING","OK")</f>
        <v>OK</v>
      </c>
      <c r="Q262" s="2" t="str">
        <f aca="false">IF(ISNUMBER(B262),"OK","BAD DATE")</f>
        <v>OK</v>
      </c>
      <c r="R262" s="2" t="str">
        <f aca="false">IF(ROUND(F262,2)=F262,"OK","FIX")</f>
        <v>OK</v>
      </c>
    </row>
    <row r="263" customFormat="false" ht="15" hidden="false" customHeight="false" outlineLevel="0" collapsed="false">
      <c r="A263" s="2" t="str">
        <f aca="false">TRIM(UPPER(Raw_Data!A263))</f>
        <v>ORD200261</v>
      </c>
      <c r="B263" s="3" t="n">
        <f aca="false">IF(ISNUMBER(Raw_Data!B263),Raw_Data!B263,DATEVALUE(Raw_Data!B263))</f>
        <v>45805</v>
      </c>
      <c r="C263" s="2" t="str">
        <f aca="false">TRIM(UPPER(Raw_Data!C263))</f>
        <v>C68976</v>
      </c>
      <c r="D263" s="2" t="str">
        <f aca="false">PROPER(TRIM(Raw_Data!D263))</f>
        <v>Phone</v>
      </c>
      <c r="E263" s="2" t="n">
        <f aca="false">Raw_Data!E263</f>
        <v>5</v>
      </c>
      <c r="F263" s="4" t="n">
        <f aca="false">ROUND(Raw_Data!F263,2)</f>
        <v>173.65</v>
      </c>
      <c r="G263" s="2" t="str">
        <f aca="false">PROPER(TRIM(Raw_Data!G263))</f>
        <v>460 Main St</v>
      </c>
      <c r="H263" s="2" t="str">
        <f aca="false">PROPER(TRIM(Raw_Data!H263))</f>
        <v>Gift Card</v>
      </c>
      <c r="I263" s="2" t="str">
        <f aca="false">PROPER(TRIM(Raw_Data!I263))</f>
        <v>Delivered</v>
      </c>
      <c r="J263" s="2" t="str">
        <f aca="false">TRIM(UPPER(Raw_Data!J263))</f>
        <v>TRK25491356</v>
      </c>
      <c r="K263" s="2" t="n">
        <f aca="false">Raw_Data!K263</f>
        <v>9</v>
      </c>
      <c r="L263" s="2" t="str">
        <f aca="false">IF(TRIM(Raw_Data!L263)="","No Coupon",TRIM(UPPER(Raw_Data!L263)))</f>
        <v>SAVE10</v>
      </c>
      <c r="M263" s="2" t="str">
        <f aca="false">PROPER(TRIM(Raw_Data!M263))</f>
        <v>Email</v>
      </c>
      <c r="N263" s="4" t="n">
        <f aca="false">ROUND(E263*F263,2)</f>
        <v>868.25</v>
      </c>
      <c r="O263" s="2" t="str">
        <f aca="false">IF(COUNTIF($A$2:$A$1201,A263)&gt;1,"DUPLICATE","Unique")</f>
        <v>Unique</v>
      </c>
      <c r="P263" s="2" t="str">
        <f aca="false">IF(L263="","MISSING","OK")</f>
        <v>OK</v>
      </c>
      <c r="Q263" s="2" t="str">
        <f aca="false">IF(ISNUMBER(B263),"OK","BAD DATE")</f>
        <v>OK</v>
      </c>
      <c r="R263" s="2" t="str">
        <f aca="false">IF(ROUND(F263,2)=F263,"OK","FIX")</f>
        <v>OK</v>
      </c>
    </row>
    <row r="264" customFormat="false" ht="15" hidden="false" customHeight="false" outlineLevel="0" collapsed="false">
      <c r="A264" s="2" t="str">
        <f aca="false">TRIM(UPPER(Raw_Data!A264))</f>
        <v>ORD200262</v>
      </c>
      <c r="B264" s="3" t="n">
        <f aca="false">IF(ISNUMBER(Raw_Data!B264),Raw_Data!B264,DATEVALUE(Raw_Data!B264))</f>
        <v>44936</v>
      </c>
      <c r="C264" s="2" t="str">
        <f aca="false">TRIM(UPPER(Raw_Data!C264))</f>
        <v>C69476</v>
      </c>
      <c r="D264" s="2" t="str">
        <f aca="false">PROPER(TRIM(Raw_Data!D264))</f>
        <v>Phone</v>
      </c>
      <c r="E264" s="2" t="n">
        <f aca="false">Raw_Data!E264</f>
        <v>4</v>
      </c>
      <c r="F264" s="4" t="n">
        <f aca="false">ROUND(Raw_Data!F264,2)</f>
        <v>249.07</v>
      </c>
      <c r="G264" s="2" t="str">
        <f aca="false">PROPER(TRIM(Raw_Data!G264))</f>
        <v>642 Main St</v>
      </c>
      <c r="H264" s="2" t="str">
        <f aca="false">PROPER(TRIM(Raw_Data!H264))</f>
        <v>Credit Card</v>
      </c>
      <c r="I264" s="2" t="str">
        <f aca="false">PROPER(TRIM(Raw_Data!I264))</f>
        <v>Returned</v>
      </c>
      <c r="J264" s="2" t="str">
        <f aca="false">TRIM(UPPER(Raw_Data!J264))</f>
        <v>TRK65869386</v>
      </c>
      <c r="K264" s="2" t="n">
        <f aca="false">Raw_Data!K264</f>
        <v>5</v>
      </c>
      <c r="L264" s="2" t="str">
        <f aca="false">IF(TRIM(Raw_Data!L264)="","No Coupon",TRIM(UPPER(Raw_Data!L264)))</f>
        <v>WINTER15</v>
      </c>
      <c r="M264" s="2" t="str">
        <f aca="false">PROPER(TRIM(Raw_Data!M264))</f>
        <v>Referral</v>
      </c>
      <c r="N264" s="4" t="n">
        <f aca="false">ROUND(E264*F264,2)</f>
        <v>996.28</v>
      </c>
      <c r="O264" s="2" t="str">
        <f aca="false">IF(COUNTIF($A$2:$A$1201,A264)&gt;1,"DUPLICATE","Unique")</f>
        <v>Unique</v>
      </c>
      <c r="P264" s="2" t="str">
        <f aca="false">IF(L264="","MISSING","OK")</f>
        <v>OK</v>
      </c>
      <c r="Q264" s="2" t="str">
        <f aca="false">IF(ISNUMBER(B264),"OK","BAD DATE")</f>
        <v>OK</v>
      </c>
      <c r="R264" s="2" t="str">
        <f aca="false">IF(ROUND(F264,2)=F264,"OK","FIX")</f>
        <v>OK</v>
      </c>
    </row>
    <row r="265" customFormat="false" ht="15" hidden="false" customHeight="false" outlineLevel="0" collapsed="false">
      <c r="A265" s="2" t="str">
        <f aca="false">TRIM(UPPER(Raw_Data!A265))</f>
        <v>ORD200263</v>
      </c>
      <c r="B265" s="3" t="n">
        <f aca="false">IF(ISNUMBER(Raw_Data!B265),Raw_Data!B265,DATEVALUE(Raw_Data!B265))</f>
        <v>45010</v>
      </c>
      <c r="C265" s="2" t="str">
        <f aca="false">TRIM(UPPER(Raw_Data!C265))</f>
        <v>C71040</v>
      </c>
      <c r="D265" s="2" t="str">
        <f aca="false">PROPER(TRIM(Raw_Data!D265))</f>
        <v>Phone</v>
      </c>
      <c r="E265" s="2" t="n">
        <f aca="false">Raw_Data!E265</f>
        <v>4</v>
      </c>
      <c r="F265" s="4" t="n">
        <f aca="false">ROUND(Raw_Data!F265,2)</f>
        <v>434.85</v>
      </c>
      <c r="G265" s="2" t="str">
        <f aca="false">PROPER(TRIM(Raw_Data!G265))</f>
        <v>250 Main St</v>
      </c>
      <c r="H265" s="2" t="str">
        <f aca="false">PROPER(TRIM(Raw_Data!H265))</f>
        <v>Credit Card</v>
      </c>
      <c r="I265" s="2" t="str">
        <f aca="false">PROPER(TRIM(Raw_Data!I265))</f>
        <v>Pending</v>
      </c>
      <c r="J265" s="2" t="str">
        <f aca="false">TRIM(UPPER(Raw_Data!J265))</f>
        <v>TRK41397604</v>
      </c>
      <c r="K265" s="2" t="n">
        <f aca="false">Raw_Data!K265</f>
        <v>4</v>
      </c>
      <c r="L265" s="2" t="str">
        <f aca="false">IF(TRIM(Raw_Data!L265)="","No Coupon",TRIM(UPPER(Raw_Data!L265)))</f>
        <v>WINTER15</v>
      </c>
      <c r="M265" s="2" t="str">
        <f aca="false">PROPER(TRIM(Raw_Data!M265))</f>
        <v>Google</v>
      </c>
      <c r="N265" s="4" t="n">
        <f aca="false">ROUND(E265*F265,2)</f>
        <v>1739.4</v>
      </c>
      <c r="O265" s="2" t="str">
        <f aca="false">IF(COUNTIF($A$2:$A$1201,A265)&gt;1,"DUPLICATE","Unique")</f>
        <v>Unique</v>
      </c>
      <c r="P265" s="2" t="str">
        <f aca="false">IF(L265="","MISSING","OK")</f>
        <v>OK</v>
      </c>
      <c r="Q265" s="2" t="str">
        <f aca="false">IF(ISNUMBER(B265),"OK","BAD DATE")</f>
        <v>OK</v>
      </c>
      <c r="R265" s="2" t="str">
        <f aca="false">IF(ROUND(F265,2)=F265,"OK","FIX")</f>
        <v>OK</v>
      </c>
    </row>
    <row r="266" customFormat="false" ht="15" hidden="false" customHeight="false" outlineLevel="0" collapsed="false">
      <c r="A266" s="2" t="str">
        <f aca="false">TRIM(UPPER(Raw_Data!A266))</f>
        <v>ORD200264</v>
      </c>
      <c r="B266" s="3" t="n">
        <f aca="false">IF(ISNUMBER(Raw_Data!B266),Raw_Data!B266,DATEVALUE(Raw_Data!B266))</f>
        <v>45507</v>
      </c>
      <c r="C266" s="2" t="str">
        <f aca="false">TRIM(UPPER(Raw_Data!C266))</f>
        <v>C71035</v>
      </c>
      <c r="D266" s="2" t="str">
        <f aca="false">PROPER(TRIM(Raw_Data!D266))</f>
        <v>Tablet</v>
      </c>
      <c r="E266" s="2" t="n">
        <f aca="false">Raw_Data!E266</f>
        <v>1</v>
      </c>
      <c r="F266" s="4" t="n">
        <f aca="false">ROUND(Raw_Data!F266,2)</f>
        <v>436.77</v>
      </c>
      <c r="G266" s="2" t="str">
        <f aca="false">PROPER(TRIM(Raw_Data!G266))</f>
        <v>977 Main St</v>
      </c>
      <c r="H266" s="2" t="str">
        <f aca="false">PROPER(TRIM(Raw_Data!H266))</f>
        <v>Cash</v>
      </c>
      <c r="I266" s="2" t="str">
        <f aca="false">PROPER(TRIM(Raw_Data!I266))</f>
        <v>Returned</v>
      </c>
      <c r="J266" s="2" t="str">
        <f aca="false">TRIM(UPPER(Raw_Data!J266))</f>
        <v>TRK19599578</v>
      </c>
      <c r="K266" s="2" t="n">
        <f aca="false">Raw_Data!K266</f>
        <v>5</v>
      </c>
      <c r="L266" s="2" t="str">
        <f aca="false">IF(TRIM(Raw_Data!L266)="","No Coupon",TRIM(UPPER(Raw_Data!L266)))</f>
        <v>FREESHIP</v>
      </c>
      <c r="M266" s="2" t="str">
        <f aca="false">PROPER(TRIM(Raw_Data!M266))</f>
        <v>Google</v>
      </c>
      <c r="N266" s="4" t="n">
        <f aca="false">ROUND(E266*F266,2)</f>
        <v>436.77</v>
      </c>
      <c r="O266" s="2" t="str">
        <f aca="false">IF(COUNTIF($A$2:$A$1201,A266)&gt;1,"DUPLICATE","Unique")</f>
        <v>Unique</v>
      </c>
      <c r="P266" s="2" t="str">
        <f aca="false">IF(L266="","MISSING","OK")</f>
        <v>OK</v>
      </c>
      <c r="Q266" s="2" t="str">
        <f aca="false">IF(ISNUMBER(B266),"OK","BAD DATE")</f>
        <v>OK</v>
      </c>
      <c r="R266" s="2" t="str">
        <f aca="false">IF(ROUND(F266,2)=F266,"OK","FIX")</f>
        <v>OK</v>
      </c>
    </row>
    <row r="267" customFormat="false" ht="15" hidden="false" customHeight="false" outlineLevel="0" collapsed="false">
      <c r="A267" s="2" t="str">
        <f aca="false">TRIM(UPPER(Raw_Data!A267))</f>
        <v>ORD200265</v>
      </c>
      <c r="B267" s="3" t="n">
        <f aca="false">IF(ISNUMBER(Raw_Data!B267),Raw_Data!B267,DATEVALUE(Raw_Data!B267))</f>
        <v>45282</v>
      </c>
      <c r="C267" s="2" t="str">
        <f aca="false">TRIM(UPPER(Raw_Data!C267))</f>
        <v>C20752</v>
      </c>
      <c r="D267" s="2" t="str">
        <f aca="false">PROPER(TRIM(Raw_Data!D267))</f>
        <v>Printer</v>
      </c>
      <c r="E267" s="2" t="n">
        <f aca="false">Raw_Data!E267</f>
        <v>1</v>
      </c>
      <c r="F267" s="4" t="n">
        <f aca="false">ROUND(Raw_Data!F267,2)</f>
        <v>572.13</v>
      </c>
      <c r="G267" s="2" t="str">
        <f aca="false">PROPER(TRIM(Raw_Data!G267))</f>
        <v>150 Main St</v>
      </c>
      <c r="H267" s="2" t="str">
        <f aca="false">PROPER(TRIM(Raw_Data!H267))</f>
        <v>Debit Card</v>
      </c>
      <c r="I267" s="2" t="str">
        <f aca="false">PROPER(TRIM(Raw_Data!I267))</f>
        <v>Cancelled</v>
      </c>
      <c r="J267" s="2" t="str">
        <f aca="false">TRIM(UPPER(Raw_Data!J267))</f>
        <v>TRK22298450</v>
      </c>
      <c r="K267" s="2" t="n">
        <f aca="false">Raw_Data!K267</f>
        <v>4</v>
      </c>
      <c r="L267" s="2" t="str">
        <f aca="false">IF(TRIM(Raw_Data!L267)="","No Coupon",TRIM(UPPER(Raw_Data!L267)))</f>
        <v>SAVE10</v>
      </c>
      <c r="M267" s="2" t="str">
        <f aca="false">PROPER(TRIM(Raw_Data!M267))</f>
        <v>Google</v>
      </c>
      <c r="N267" s="4" t="n">
        <f aca="false">ROUND(E267*F267,2)</f>
        <v>572.13</v>
      </c>
      <c r="O267" s="2" t="str">
        <f aca="false">IF(COUNTIF($A$2:$A$1201,A267)&gt;1,"DUPLICATE","Unique")</f>
        <v>Unique</v>
      </c>
      <c r="P267" s="2" t="str">
        <f aca="false">IF(L267="","MISSING","OK")</f>
        <v>OK</v>
      </c>
      <c r="Q267" s="2" t="str">
        <f aca="false">IF(ISNUMBER(B267),"OK","BAD DATE")</f>
        <v>OK</v>
      </c>
      <c r="R267" s="2" t="str">
        <f aca="false">IF(ROUND(F267,2)=F267,"OK","FIX")</f>
        <v>OK</v>
      </c>
    </row>
    <row r="268" customFormat="false" ht="15" hidden="false" customHeight="false" outlineLevel="0" collapsed="false">
      <c r="A268" s="2" t="str">
        <f aca="false">TRIM(UPPER(Raw_Data!A268))</f>
        <v>ORD200266</v>
      </c>
      <c r="B268" s="3" t="n">
        <f aca="false">IF(ISNUMBER(Raw_Data!B268),Raw_Data!B268,DATEVALUE(Raw_Data!B268))</f>
        <v>45451</v>
      </c>
      <c r="C268" s="2" t="str">
        <f aca="false">TRIM(UPPER(Raw_Data!C268))</f>
        <v>C38840</v>
      </c>
      <c r="D268" s="2" t="str">
        <f aca="false">PROPER(TRIM(Raw_Data!D268))</f>
        <v>Chair</v>
      </c>
      <c r="E268" s="2" t="n">
        <f aca="false">Raw_Data!E268</f>
        <v>4</v>
      </c>
      <c r="F268" s="4" t="n">
        <f aca="false">ROUND(Raw_Data!F268,2)</f>
        <v>583.07</v>
      </c>
      <c r="G268" s="2" t="str">
        <f aca="false">PROPER(TRIM(Raw_Data!G268))</f>
        <v>589 Main St</v>
      </c>
      <c r="H268" s="2" t="str">
        <f aca="false">PROPER(TRIM(Raw_Data!H268))</f>
        <v>Credit Card</v>
      </c>
      <c r="I268" s="2" t="str">
        <f aca="false">PROPER(TRIM(Raw_Data!I268))</f>
        <v>Cancelled</v>
      </c>
      <c r="J268" s="2" t="str">
        <f aca="false">TRIM(UPPER(Raw_Data!J268))</f>
        <v>TRK48484633</v>
      </c>
      <c r="K268" s="2" t="n">
        <f aca="false">Raw_Data!K268</f>
        <v>6</v>
      </c>
      <c r="L268" s="2" t="str">
        <f aca="false">IF(TRIM(Raw_Data!L268)="","No Coupon",TRIM(UPPER(Raw_Data!L268)))</f>
        <v>FREESHIP</v>
      </c>
      <c r="M268" s="2" t="str">
        <f aca="false">PROPER(TRIM(Raw_Data!M268))</f>
        <v>Referral</v>
      </c>
      <c r="N268" s="4" t="n">
        <f aca="false">ROUND(E268*F268,2)</f>
        <v>2332.28</v>
      </c>
      <c r="O268" s="2" t="str">
        <f aca="false">IF(COUNTIF($A$2:$A$1201,A268)&gt;1,"DUPLICATE","Unique")</f>
        <v>Unique</v>
      </c>
      <c r="P268" s="2" t="str">
        <f aca="false">IF(L268="","MISSING","OK")</f>
        <v>OK</v>
      </c>
      <c r="Q268" s="2" t="str">
        <f aca="false">IF(ISNUMBER(B268),"OK","BAD DATE")</f>
        <v>OK</v>
      </c>
      <c r="R268" s="2" t="str">
        <f aca="false">IF(ROUND(F268,2)=F268,"OK","FIX")</f>
        <v>OK</v>
      </c>
    </row>
    <row r="269" customFormat="false" ht="15" hidden="false" customHeight="false" outlineLevel="0" collapsed="false">
      <c r="A269" s="2" t="str">
        <f aca="false">TRIM(UPPER(Raw_Data!A269))</f>
        <v>ORD200267</v>
      </c>
      <c r="B269" s="3" t="n">
        <f aca="false">IF(ISNUMBER(Raw_Data!B269),Raw_Data!B269,DATEVALUE(Raw_Data!B269))</f>
        <v>45764</v>
      </c>
      <c r="C269" s="2" t="str">
        <f aca="false">TRIM(UPPER(Raw_Data!C269))</f>
        <v>C84480</v>
      </c>
      <c r="D269" s="2" t="str">
        <f aca="false">PROPER(TRIM(Raw_Data!D269))</f>
        <v>Chair</v>
      </c>
      <c r="E269" s="2" t="n">
        <f aca="false">Raw_Data!E269</f>
        <v>5</v>
      </c>
      <c r="F269" s="4" t="n">
        <f aca="false">ROUND(Raw_Data!F269,2)</f>
        <v>468.51</v>
      </c>
      <c r="G269" s="2" t="str">
        <f aca="false">PROPER(TRIM(Raw_Data!G269))</f>
        <v>803 Main St</v>
      </c>
      <c r="H269" s="2" t="str">
        <f aca="false">PROPER(TRIM(Raw_Data!H269))</f>
        <v>Debit Card</v>
      </c>
      <c r="I269" s="2" t="str">
        <f aca="false">PROPER(TRIM(Raw_Data!I269))</f>
        <v>Delivered</v>
      </c>
      <c r="J269" s="2" t="str">
        <f aca="false">TRIM(UPPER(Raw_Data!J269))</f>
        <v>TRK62361867</v>
      </c>
      <c r="K269" s="2" t="n">
        <f aca="false">Raw_Data!K269</f>
        <v>9</v>
      </c>
      <c r="L269" s="2" t="str">
        <f aca="false">IF(TRIM(Raw_Data!L269)="","No Coupon",TRIM(UPPER(Raw_Data!L269)))</f>
        <v>No Coupon</v>
      </c>
      <c r="M269" s="2" t="str">
        <f aca="false">PROPER(TRIM(Raw_Data!M269))</f>
        <v>Facebook</v>
      </c>
      <c r="N269" s="4" t="n">
        <f aca="false">ROUND(E269*F269,2)</f>
        <v>2342.55</v>
      </c>
      <c r="O269" s="2" t="str">
        <f aca="false">IF(COUNTIF($A$2:$A$1201,A269)&gt;1,"DUPLICATE","Unique")</f>
        <v>Unique</v>
      </c>
      <c r="P269" s="2" t="str">
        <f aca="false">IF(L269="","MISSING","OK")</f>
        <v>OK</v>
      </c>
      <c r="Q269" s="2" t="str">
        <f aca="false">IF(ISNUMBER(B269),"OK","BAD DATE")</f>
        <v>OK</v>
      </c>
      <c r="R269" s="2" t="str">
        <f aca="false">IF(ROUND(F269,2)=F269,"OK","FIX")</f>
        <v>OK</v>
      </c>
    </row>
    <row r="270" customFormat="false" ht="15" hidden="false" customHeight="false" outlineLevel="0" collapsed="false">
      <c r="A270" s="2" t="str">
        <f aca="false">TRIM(UPPER(Raw_Data!A270))</f>
        <v>ORD200268</v>
      </c>
      <c r="B270" s="3" t="n">
        <f aca="false">IF(ISNUMBER(Raw_Data!B270),Raw_Data!B270,DATEVALUE(Raw_Data!B270))</f>
        <v>45149</v>
      </c>
      <c r="C270" s="2" t="str">
        <f aca="false">TRIM(UPPER(Raw_Data!C270))</f>
        <v>C37032</v>
      </c>
      <c r="D270" s="2" t="str">
        <f aca="false">PROPER(TRIM(Raw_Data!D270))</f>
        <v>Phone</v>
      </c>
      <c r="E270" s="2" t="n">
        <f aca="false">Raw_Data!E270</f>
        <v>2</v>
      </c>
      <c r="F270" s="4" t="n">
        <f aca="false">ROUND(Raw_Data!F270,2)</f>
        <v>423.88</v>
      </c>
      <c r="G270" s="2" t="str">
        <f aca="false">PROPER(TRIM(Raw_Data!G270))</f>
        <v>655 Main St</v>
      </c>
      <c r="H270" s="2" t="str">
        <f aca="false">PROPER(TRIM(Raw_Data!H270))</f>
        <v>Debit Card</v>
      </c>
      <c r="I270" s="2" t="str">
        <f aca="false">PROPER(TRIM(Raw_Data!I270))</f>
        <v>Delivered</v>
      </c>
      <c r="J270" s="2" t="str">
        <f aca="false">TRIM(UPPER(Raw_Data!J270))</f>
        <v>TRK48639226</v>
      </c>
      <c r="K270" s="2" t="n">
        <f aca="false">Raw_Data!K270</f>
        <v>7</v>
      </c>
      <c r="L270" s="2" t="str">
        <f aca="false">IF(TRIM(Raw_Data!L270)="","No Coupon",TRIM(UPPER(Raw_Data!L270)))</f>
        <v>SAVE10</v>
      </c>
      <c r="M270" s="2" t="str">
        <f aca="false">PROPER(TRIM(Raw_Data!M270))</f>
        <v>Referral</v>
      </c>
      <c r="N270" s="4" t="n">
        <f aca="false">ROUND(E270*F270,2)</f>
        <v>847.76</v>
      </c>
      <c r="O270" s="2" t="str">
        <f aca="false">IF(COUNTIF($A$2:$A$1201,A270)&gt;1,"DUPLICATE","Unique")</f>
        <v>Unique</v>
      </c>
      <c r="P270" s="2" t="str">
        <f aca="false">IF(L270="","MISSING","OK")</f>
        <v>OK</v>
      </c>
      <c r="Q270" s="2" t="str">
        <f aca="false">IF(ISNUMBER(B270),"OK","BAD DATE")</f>
        <v>OK</v>
      </c>
      <c r="R270" s="2" t="str">
        <f aca="false">IF(ROUND(F270,2)=F270,"OK","FIX")</f>
        <v>OK</v>
      </c>
    </row>
    <row r="271" customFormat="false" ht="15" hidden="false" customHeight="false" outlineLevel="0" collapsed="false">
      <c r="A271" s="2" t="str">
        <f aca="false">TRIM(UPPER(Raw_Data!A271))</f>
        <v>ORD200269</v>
      </c>
      <c r="B271" s="3" t="n">
        <f aca="false">IF(ISNUMBER(Raw_Data!B271),Raw_Data!B271,DATEVALUE(Raw_Data!B271))</f>
        <v>45255</v>
      </c>
      <c r="C271" s="2" t="str">
        <f aca="false">TRIM(UPPER(Raw_Data!C271))</f>
        <v>C48942</v>
      </c>
      <c r="D271" s="2" t="str">
        <f aca="false">PROPER(TRIM(Raw_Data!D271))</f>
        <v>Tablet</v>
      </c>
      <c r="E271" s="2" t="n">
        <f aca="false">Raw_Data!E271</f>
        <v>4</v>
      </c>
      <c r="F271" s="4" t="n">
        <f aca="false">ROUND(Raw_Data!F271,2)</f>
        <v>663.67</v>
      </c>
      <c r="G271" s="2" t="str">
        <f aca="false">PROPER(TRIM(Raw_Data!G271))</f>
        <v>129 Main St</v>
      </c>
      <c r="H271" s="2" t="str">
        <f aca="false">PROPER(TRIM(Raw_Data!H271))</f>
        <v>Credit Card</v>
      </c>
      <c r="I271" s="2" t="str">
        <f aca="false">PROPER(TRIM(Raw_Data!I271))</f>
        <v>Pending</v>
      </c>
      <c r="J271" s="2" t="str">
        <f aca="false">TRIM(UPPER(Raw_Data!J271))</f>
        <v>TRK29355120</v>
      </c>
      <c r="K271" s="2" t="n">
        <f aca="false">Raw_Data!K271</f>
        <v>7</v>
      </c>
      <c r="L271" s="2" t="str">
        <f aca="false">IF(TRIM(Raw_Data!L271)="","No Coupon",TRIM(UPPER(Raw_Data!L271)))</f>
        <v>FREESHIP</v>
      </c>
      <c r="M271" s="2" t="str">
        <f aca="false">PROPER(TRIM(Raw_Data!M271))</f>
        <v>Google</v>
      </c>
      <c r="N271" s="4" t="n">
        <f aca="false">ROUND(E271*F271,2)</f>
        <v>2654.68</v>
      </c>
      <c r="O271" s="2" t="str">
        <f aca="false">IF(COUNTIF($A$2:$A$1201,A271)&gt;1,"DUPLICATE","Unique")</f>
        <v>Unique</v>
      </c>
      <c r="P271" s="2" t="str">
        <f aca="false">IF(L271="","MISSING","OK")</f>
        <v>OK</v>
      </c>
      <c r="Q271" s="2" t="str">
        <f aca="false">IF(ISNUMBER(B271),"OK","BAD DATE")</f>
        <v>OK</v>
      </c>
      <c r="R271" s="2" t="str">
        <f aca="false">IF(ROUND(F271,2)=F271,"OK","FIX")</f>
        <v>OK</v>
      </c>
    </row>
    <row r="272" customFormat="false" ht="15" hidden="false" customHeight="false" outlineLevel="0" collapsed="false">
      <c r="A272" s="2" t="str">
        <f aca="false">TRIM(UPPER(Raw_Data!A272))</f>
        <v>ORD200270</v>
      </c>
      <c r="B272" s="3" t="n">
        <f aca="false">IF(ISNUMBER(Raw_Data!B272),Raw_Data!B272,DATEVALUE(Raw_Data!B272))</f>
        <v>45081</v>
      </c>
      <c r="C272" s="2" t="str">
        <f aca="false">TRIM(UPPER(Raw_Data!C272))</f>
        <v>C13540</v>
      </c>
      <c r="D272" s="2" t="str">
        <f aca="false">PROPER(TRIM(Raw_Data!D272))</f>
        <v>Printer</v>
      </c>
      <c r="E272" s="2" t="n">
        <f aca="false">Raw_Data!E272</f>
        <v>4</v>
      </c>
      <c r="F272" s="4" t="n">
        <f aca="false">ROUND(Raw_Data!F272,2)</f>
        <v>309.91</v>
      </c>
      <c r="G272" s="2" t="str">
        <f aca="false">PROPER(TRIM(Raw_Data!G272))</f>
        <v>127 Main St</v>
      </c>
      <c r="H272" s="2" t="str">
        <f aca="false">PROPER(TRIM(Raw_Data!H272))</f>
        <v>Debit Card</v>
      </c>
      <c r="I272" s="2" t="str">
        <f aca="false">PROPER(TRIM(Raw_Data!I272))</f>
        <v>Shipped</v>
      </c>
      <c r="J272" s="2" t="str">
        <f aca="false">TRIM(UPPER(Raw_Data!J272))</f>
        <v>TRK81087373</v>
      </c>
      <c r="K272" s="2" t="n">
        <f aca="false">Raw_Data!K272</f>
        <v>5</v>
      </c>
      <c r="L272" s="2" t="str">
        <f aca="false">IF(TRIM(Raw_Data!L272)="","No Coupon",TRIM(UPPER(Raw_Data!L272)))</f>
        <v>WINTER15</v>
      </c>
      <c r="M272" s="2" t="str">
        <f aca="false">PROPER(TRIM(Raw_Data!M272))</f>
        <v>Google</v>
      </c>
      <c r="N272" s="4" t="n">
        <f aca="false">ROUND(E272*F272,2)</f>
        <v>1239.64</v>
      </c>
      <c r="O272" s="2" t="str">
        <f aca="false">IF(COUNTIF($A$2:$A$1201,A272)&gt;1,"DUPLICATE","Unique")</f>
        <v>Unique</v>
      </c>
      <c r="P272" s="2" t="str">
        <f aca="false">IF(L272="","MISSING","OK")</f>
        <v>OK</v>
      </c>
      <c r="Q272" s="2" t="str">
        <f aca="false">IF(ISNUMBER(B272),"OK","BAD DATE")</f>
        <v>OK</v>
      </c>
      <c r="R272" s="2" t="str">
        <f aca="false">IF(ROUND(F272,2)=F272,"OK","FIX")</f>
        <v>OK</v>
      </c>
    </row>
    <row r="273" customFormat="false" ht="15" hidden="false" customHeight="false" outlineLevel="0" collapsed="false">
      <c r="A273" s="2" t="str">
        <f aca="false">TRIM(UPPER(Raw_Data!A273))</f>
        <v>ORD200271</v>
      </c>
      <c r="B273" s="3" t="n">
        <f aca="false">IF(ISNUMBER(Raw_Data!B273),Raw_Data!B273,DATEVALUE(Raw_Data!B273))</f>
        <v>45013</v>
      </c>
      <c r="C273" s="2" t="str">
        <f aca="false">TRIM(UPPER(Raw_Data!C273))</f>
        <v>C59572</v>
      </c>
      <c r="D273" s="2" t="str">
        <f aca="false">PROPER(TRIM(Raw_Data!D273))</f>
        <v>Monitor</v>
      </c>
      <c r="E273" s="2" t="n">
        <f aca="false">Raw_Data!E273</f>
        <v>1</v>
      </c>
      <c r="F273" s="4" t="n">
        <f aca="false">ROUND(Raw_Data!F273,2)</f>
        <v>542.07</v>
      </c>
      <c r="G273" s="2" t="str">
        <f aca="false">PROPER(TRIM(Raw_Data!G273))</f>
        <v>791 Main St</v>
      </c>
      <c r="H273" s="2" t="str">
        <f aca="false">PROPER(TRIM(Raw_Data!H273))</f>
        <v>Cash</v>
      </c>
      <c r="I273" s="2" t="str">
        <f aca="false">PROPER(TRIM(Raw_Data!I273))</f>
        <v>Shipped</v>
      </c>
      <c r="J273" s="2" t="str">
        <f aca="false">TRIM(UPPER(Raw_Data!J273))</f>
        <v>TRK16792991</v>
      </c>
      <c r="K273" s="2" t="n">
        <f aca="false">Raw_Data!K273</f>
        <v>6</v>
      </c>
      <c r="L273" s="2" t="str">
        <f aca="false">IF(TRIM(Raw_Data!L273)="","No Coupon",TRIM(UPPER(Raw_Data!L273)))</f>
        <v>WINTER15</v>
      </c>
      <c r="M273" s="2" t="str">
        <f aca="false">PROPER(TRIM(Raw_Data!M273))</f>
        <v>Referral</v>
      </c>
      <c r="N273" s="4" t="n">
        <f aca="false">ROUND(E273*F273,2)</f>
        <v>542.07</v>
      </c>
      <c r="O273" s="2" t="str">
        <f aca="false">IF(COUNTIF($A$2:$A$1201,A273)&gt;1,"DUPLICATE","Unique")</f>
        <v>Unique</v>
      </c>
      <c r="P273" s="2" t="str">
        <f aca="false">IF(L273="","MISSING","OK")</f>
        <v>OK</v>
      </c>
      <c r="Q273" s="2" t="str">
        <f aca="false">IF(ISNUMBER(B273),"OK","BAD DATE")</f>
        <v>OK</v>
      </c>
      <c r="R273" s="2" t="str">
        <f aca="false">IF(ROUND(F273,2)=F273,"OK","FIX")</f>
        <v>OK</v>
      </c>
    </row>
    <row r="274" customFormat="false" ht="15" hidden="false" customHeight="false" outlineLevel="0" collapsed="false">
      <c r="A274" s="2" t="str">
        <f aca="false">TRIM(UPPER(Raw_Data!A274))</f>
        <v>ORD200272</v>
      </c>
      <c r="B274" s="3" t="n">
        <f aca="false">IF(ISNUMBER(Raw_Data!B274),Raw_Data!B274,DATEVALUE(Raw_Data!B274))</f>
        <v>45188</v>
      </c>
      <c r="C274" s="2" t="str">
        <f aca="false">TRIM(UPPER(Raw_Data!C274))</f>
        <v>C29758</v>
      </c>
      <c r="D274" s="2" t="str">
        <f aca="false">PROPER(TRIM(Raw_Data!D274))</f>
        <v>Chair</v>
      </c>
      <c r="E274" s="2" t="n">
        <f aca="false">Raw_Data!E274</f>
        <v>2</v>
      </c>
      <c r="F274" s="4" t="n">
        <f aca="false">ROUND(Raw_Data!F274,2)</f>
        <v>399.32</v>
      </c>
      <c r="G274" s="2" t="str">
        <f aca="false">PROPER(TRIM(Raw_Data!G274))</f>
        <v>119 Main St</v>
      </c>
      <c r="H274" s="2" t="str">
        <f aca="false">PROPER(TRIM(Raw_Data!H274))</f>
        <v>Online</v>
      </c>
      <c r="I274" s="2" t="str">
        <f aca="false">PROPER(TRIM(Raw_Data!I274))</f>
        <v>Pending</v>
      </c>
      <c r="J274" s="2" t="str">
        <f aca="false">TRIM(UPPER(Raw_Data!J274))</f>
        <v>TRK12990043</v>
      </c>
      <c r="K274" s="2" t="n">
        <f aca="false">Raw_Data!K274</f>
        <v>6</v>
      </c>
      <c r="L274" s="2" t="str">
        <f aca="false">IF(TRIM(Raw_Data!L274)="","No Coupon",TRIM(UPPER(Raw_Data!L274)))</f>
        <v>WINTER15</v>
      </c>
      <c r="M274" s="2" t="str">
        <f aca="false">PROPER(TRIM(Raw_Data!M274))</f>
        <v>Instagram</v>
      </c>
      <c r="N274" s="4" t="n">
        <f aca="false">ROUND(E274*F274,2)</f>
        <v>798.64</v>
      </c>
      <c r="O274" s="2" t="str">
        <f aca="false">IF(COUNTIF($A$2:$A$1201,A274)&gt;1,"DUPLICATE","Unique")</f>
        <v>Unique</v>
      </c>
      <c r="P274" s="2" t="str">
        <f aca="false">IF(L274="","MISSING","OK")</f>
        <v>OK</v>
      </c>
      <c r="Q274" s="2" t="str">
        <f aca="false">IF(ISNUMBER(B274),"OK","BAD DATE")</f>
        <v>OK</v>
      </c>
      <c r="R274" s="2" t="str">
        <f aca="false">IF(ROUND(F274,2)=F274,"OK","FIX")</f>
        <v>OK</v>
      </c>
    </row>
    <row r="275" customFormat="false" ht="15" hidden="false" customHeight="false" outlineLevel="0" collapsed="false">
      <c r="A275" s="2" t="str">
        <f aca="false">TRIM(UPPER(Raw_Data!A275))</f>
        <v>ORD200273</v>
      </c>
      <c r="B275" s="3" t="n">
        <f aca="false">IF(ISNUMBER(Raw_Data!B275),Raw_Data!B275,DATEVALUE(Raw_Data!B275))</f>
        <v>45592</v>
      </c>
      <c r="C275" s="2" t="str">
        <f aca="false">TRIM(UPPER(Raw_Data!C275))</f>
        <v>C11849</v>
      </c>
      <c r="D275" s="2" t="str">
        <f aca="false">PROPER(TRIM(Raw_Data!D275))</f>
        <v>Tablet</v>
      </c>
      <c r="E275" s="2" t="n">
        <f aca="false">Raw_Data!E275</f>
        <v>2</v>
      </c>
      <c r="F275" s="4" t="n">
        <f aca="false">ROUND(Raw_Data!F275,2)</f>
        <v>238.25</v>
      </c>
      <c r="G275" s="2" t="str">
        <f aca="false">PROPER(TRIM(Raw_Data!G275))</f>
        <v>974 Main St</v>
      </c>
      <c r="H275" s="2" t="str">
        <f aca="false">PROPER(TRIM(Raw_Data!H275))</f>
        <v>Online</v>
      </c>
      <c r="I275" s="2" t="str">
        <f aca="false">PROPER(TRIM(Raw_Data!I275))</f>
        <v>Cancelled</v>
      </c>
      <c r="J275" s="2" t="str">
        <f aca="false">TRIM(UPPER(Raw_Data!J275))</f>
        <v>TRK91195261</v>
      </c>
      <c r="K275" s="2" t="n">
        <f aca="false">Raw_Data!K275</f>
        <v>7</v>
      </c>
      <c r="L275" s="2" t="str">
        <f aca="false">IF(TRIM(Raw_Data!L275)="","No Coupon",TRIM(UPPER(Raw_Data!L275)))</f>
        <v>FREESHIP</v>
      </c>
      <c r="M275" s="2" t="str">
        <f aca="false">PROPER(TRIM(Raw_Data!M275))</f>
        <v>Email</v>
      </c>
      <c r="N275" s="4" t="n">
        <f aca="false">ROUND(E275*F275,2)</f>
        <v>476.5</v>
      </c>
      <c r="O275" s="2" t="str">
        <f aca="false">IF(COUNTIF($A$2:$A$1201,A275)&gt;1,"DUPLICATE","Unique")</f>
        <v>Unique</v>
      </c>
      <c r="P275" s="2" t="str">
        <f aca="false">IF(L275="","MISSING","OK")</f>
        <v>OK</v>
      </c>
      <c r="Q275" s="2" t="str">
        <f aca="false">IF(ISNUMBER(B275),"OK","BAD DATE")</f>
        <v>OK</v>
      </c>
      <c r="R275" s="2" t="str">
        <f aca="false">IF(ROUND(F275,2)=F275,"OK","FIX")</f>
        <v>OK</v>
      </c>
    </row>
    <row r="276" customFormat="false" ht="15" hidden="false" customHeight="false" outlineLevel="0" collapsed="false">
      <c r="A276" s="2" t="str">
        <f aca="false">TRIM(UPPER(Raw_Data!A276))</f>
        <v>ORD200274</v>
      </c>
      <c r="B276" s="3" t="n">
        <f aca="false">IF(ISNUMBER(Raw_Data!B276),Raw_Data!B276,DATEVALUE(Raw_Data!B276))</f>
        <v>44961</v>
      </c>
      <c r="C276" s="2" t="str">
        <f aca="false">TRIM(UPPER(Raw_Data!C276))</f>
        <v>C50967</v>
      </c>
      <c r="D276" s="2" t="str">
        <f aca="false">PROPER(TRIM(Raw_Data!D276))</f>
        <v>Phone</v>
      </c>
      <c r="E276" s="2" t="n">
        <f aca="false">Raw_Data!E276</f>
        <v>2</v>
      </c>
      <c r="F276" s="4" t="n">
        <f aca="false">ROUND(Raw_Data!F276,2)</f>
        <v>182.4</v>
      </c>
      <c r="G276" s="2" t="str">
        <f aca="false">PROPER(TRIM(Raw_Data!G276))</f>
        <v>884 Main St</v>
      </c>
      <c r="H276" s="2" t="str">
        <f aca="false">PROPER(TRIM(Raw_Data!H276))</f>
        <v>Gift Card</v>
      </c>
      <c r="I276" s="2" t="str">
        <f aca="false">PROPER(TRIM(Raw_Data!I276))</f>
        <v>Cancelled</v>
      </c>
      <c r="J276" s="2" t="str">
        <f aca="false">TRIM(UPPER(Raw_Data!J276))</f>
        <v>TRK65300814</v>
      </c>
      <c r="K276" s="2" t="n">
        <f aca="false">Raw_Data!K276</f>
        <v>5</v>
      </c>
      <c r="L276" s="2" t="str">
        <f aca="false">IF(TRIM(Raw_Data!L276)="","No Coupon",TRIM(UPPER(Raw_Data!L276)))</f>
        <v>SAVE10</v>
      </c>
      <c r="M276" s="2" t="str">
        <f aca="false">PROPER(TRIM(Raw_Data!M276))</f>
        <v>Referral</v>
      </c>
      <c r="N276" s="4" t="n">
        <f aca="false">ROUND(E276*F276,2)</f>
        <v>364.8</v>
      </c>
      <c r="O276" s="2" t="str">
        <f aca="false">IF(COUNTIF($A$2:$A$1201,A276)&gt;1,"DUPLICATE","Unique")</f>
        <v>Unique</v>
      </c>
      <c r="P276" s="2" t="str">
        <f aca="false">IF(L276="","MISSING","OK")</f>
        <v>OK</v>
      </c>
      <c r="Q276" s="2" t="str">
        <f aca="false">IF(ISNUMBER(B276),"OK","BAD DATE")</f>
        <v>OK</v>
      </c>
      <c r="R276" s="2" t="str">
        <f aca="false">IF(ROUND(F276,2)=F276,"OK","FIX")</f>
        <v>OK</v>
      </c>
    </row>
    <row r="277" customFormat="false" ht="15" hidden="false" customHeight="false" outlineLevel="0" collapsed="false">
      <c r="A277" s="2" t="str">
        <f aca="false">TRIM(UPPER(Raw_Data!A277))</f>
        <v>ORD200275</v>
      </c>
      <c r="B277" s="3" t="n">
        <f aca="false">IF(ISNUMBER(Raw_Data!B277),Raw_Data!B277,DATEVALUE(Raw_Data!B277))</f>
        <v>45234</v>
      </c>
      <c r="C277" s="2" t="str">
        <f aca="false">TRIM(UPPER(Raw_Data!C277))</f>
        <v>C80735</v>
      </c>
      <c r="D277" s="2" t="str">
        <f aca="false">PROPER(TRIM(Raw_Data!D277))</f>
        <v>Chair</v>
      </c>
      <c r="E277" s="2" t="n">
        <f aca="false">Raw_Data!E277</f>
        <v>2</v>
      </c>
      <c r="F277" s="4" t="n">
        <f aca="false">ROUND(Raw_Data!F277,2)</f>
        <v>65.07</v>
      </c>
      <c r="G277" s="2" t="str">
        <f aca="false">PROPER(TRIM(Raw_Data!G277))</f>
        <v>360 Main St</v>
      </c>
      <c r="H277" s="2" t="str">
        <f aca="false">PROPER(TRIM(Raw_Data!H277))</f>
        <v>Credit Card</v>
      </c>
      <c r="I277" s="2" t="str">
        <f aca="false">PROPER(TRIM(Raw_Data!I277))</f>
        <v>Cancelled</v>
      </c>
      <c r="J277" s="2" t="str">
        <f aca="false">TRIM(UPPER(Raw_Data!J277))</f>
        <v>TRK99880231</v>
      </c>
      <c r="K277" s="2" t="n">
        <f aca="false">Raw_Data!K277</f>
        <v>4</v>
      </c>
      <c r="L277" s="2" t="str">
        <f aca="false">IF(TRIM(Raw_Data!L277)="","No Coupon",TRIM(UPPER(Raw_Data!L277)))</f>
        <v>SAVE10</v>
      </c>
      <c r="M277" s="2" t="str">
        <f aca="false">PROPER(TRIM(Raw_Data!M277))</f>
        <v>Google</v>
      </c>
      <c r="N277" s="4" t="n">
        <f aca="false">ROUND(E277*F277,2)</f>
        <v>130.14</v>
      </c>
      <c r="O277" s="2" t="str">
        <f aca="false">IF(COUNTIF($A$2:$A$1201,A277)&gt;1,"DUPLICATE","Unique")</f>
        <v>Unique</v>
      </c>
      <c r="P277" s="2" t="str">
        <f aca="false">IF(L277="","MISSING","OK")</f>
        <v>OK</v>
      </c>
      <c r="Q277" s="2" t="str">
        <f aca="false">IF(ISNUMBER(B277),"OK","BAD DATE")</f>
        <v>OK</v>
      </c>
      <c r="R277" s="2" t="str">
        <f aca="false">IF(ROUND(F277,2)=F277,"OK","FIX")</f>
        <v>OK</v>
      </c>
    </row>
    <row r="278" customFormat="false" ht="15" hidden="false" customHeight="false" outlineLevel="0" collapsed="false">
      <c r="A278" s="2" t="str">
        <f aca="false">TRIM(UPPER(Raw_Data!A278))</f>
        <v>ORD200276</v>
      </c>
      <c r="B278" s="3" t="n">
        <f aca="false">IF(ISNUMBER(Raw_Data!B278),Raw_Data!B278,DATEVALUE(Raw_Data!B278))</f>
        <v>45745</v>
      </c>
      <c r="C278" s="2" t="str">
        <f aca="false">TRIM(UPPER(Raw_Data!C278))</f>
        <v>C99050</v>
      </c>
      <c r="D278" s="2" t="str">
        <f aca="false">PROPER(TRIM(Raw_Data!D278))</f>
        <v>Printer</v>
      </c>
      <c r="E278" s="2" t="n">
        <f aca="false">Raw_Data!E278</f>
        <v>2</v>
      </c>
      <c r="F278" s="4" t="n">
        <f aca="false">ROUND(Raw_Data!F278,2)</f>
        <v>600.57</v>
      </c>
      <c r="G278" s="2" t="str">
        <f aca="false">PROPER(TRIM(Raw_Data!G278))</f>
        <v>654 Main St</v>
      </c>
      <c r="H278" s="2" t="str">
        <f aca="false">PROPER(TRIM(Raw_Data!H278))</f>
        <v>Debit Card</v>
      </c>
      <c r="I278" s="2" t="str">
        <f aca="false">PROPER(TRIM(Raw_Data!I278))</f>
        <v>Returned</v>
      </c>
      <c r="J278" s="2" t="str">
        <f aca="false">TRIM(UPPER(Raw_Data!J278))</f>
        <v>TRK56927089</v>
      </c>
      <c r="K278" s="2" t="n">
        <f aca="false">Raw_Data!K278</f>
        <v>3</v>
      </c>
      <c r="L278" s="2" t="str">
        <f aca="false">IF(TRIM(Raw_Data!L278)="","No Coupon",TRIM(UPPER(Raw_Data!L278)))</f>
        <v>WINTER15</v>
      </c>
      <c r="M278" s="2" t="str">
        <f aca="false">PROPER(TRIM(Raw_Data!M278))</f>
        <v>Instagram</v>
      </c>
      <c r="N278" s="4" t="n">
        <f aca="false">ROUND(E278*F278,2)</f>
        <v>1201.14</v>
      </c>
      <c r="O278" s="2" t="str">
        <f aca="false">IF(COUNTIF($A$2:$A$1201,A278)&gt;1,"DUPLICATE","Unique")</f>
        <v>Unique</v>
      </c>
      <c r="P278" s="2" t="str">
        <f aca="false">IF(L278="","MISSING","OK")</f>
        <v>OK</v>
      </c>
      <c r="Q278" s="2" t="str">
        <f aca="false">IF(ISNUMBER(B278),"OK","BAD DATE")</f>
        <v>OK</v>
      </c>
      <c r="R278" s="2" t="str">
        <f aca="false">IF(ROUND(F278,2)=F278,"OK","FIX")</f>
        <v>OK</v>
      </c>
    </row>
    <row r="279" customFormat="false" ht="15" hidden="false" customHeight="false" outlineLevel="0" collapsed="false">
      <c r="A279" s="2" t="str">
        <f aca="false">TRIM(UPPER(Raw_Data!A279))</f>
        <v>ORD200277</v>
      </c>
      <c r="B279" s="3" t="n">
        <f aca="false">IF(ISNUMBER(Raw_Data!B279),Raw_Data!B279,DATEVALUE(Raw_Data!B279))</f>
        <v>45544</v>
      </c>
      <c r="C279" s="2" t="str">
        <f aca="false">TRIM(UPPER(Raw_Data!C279))</f>
        <v>C11210</v>
      </c>
      <c r="D279" s="2" t="str">
        <f aca="false">PROPER(TRIM(Raw_Data!D279))</f>
        <v>Chair</v>
      </c>
      <c r="E279" s="2" t="n">
        <f aca="false">Raw_Data!E279</f>
        <v>5</v>
      </c>
      <c r="F279" s="4" t="n">
        <f aca="false">ROUND(Raw_Data!F279,2)</f>
        <v>90.92</v>
      </c>
      <c r="G279" s="2" t="str">
        <f aca="false">PROPER(TRIM(Raw_Data!G279))</f>
        <v>910 Main St</v>
      </c>
      <c r="H279" s="2" t="str">
        <f aca="false">PROPER(TRIM(Raw_Data!H279))</f>
        <v>Credit Card</v>
      </c>
      <c r="I279" s="2" t="str">
        <f aca="false">PROPER(TRIM(Raw_Data!I279))</f>
        <v>Delivered</v>
      </c>
      <c r="J279" s="2" t="str">
        <f aca="false">TRIM(UPPER(Raw_Data!J279))</f>
        <v>TRK44929965</v>
      </c>
      <c r="K279" s="2" t="n">
        <f aca="false">Raw_Data!K279</f>
        <v>9</v>
      </c>
      <c r="L279" s="2" t="str">
        <f aca="false">IF(TRIM(Raw_Data!L279)="","No Coupon",TRIM(UPPER(Raw_Data!L279)))</f>
        <v>SAVE10</v>
      </c>
      <c r="M279" s="2" t="str">
        <f aca="false">PROPER(TRIM(Raw_Data!M279))</f>
        <v>Facebook</v>
      </c>
      <c r="N279" s="4" t="n">
        <f aca="false">ROUND(E279*F279,2)</f>
        <v>454.6</v>
      </c>
      <c r="O279" s="2" t="str">
        <f aca="false">IF(COUNTIF($A$2:$A$1201,A279)&gt;1,"DUPLICATE","Unique")</f>
        <v>Unique</v>
      </c>
      <c r="P279" s="2" t="str">
        <f aca="false">IF(L279="","MISSING","OK")</f>
        <v>OK</v>
      </c>
      <c r="Q279" s="2" t="str">
        <f aca="false">IF(ISNUMBER(B279),"OK","BAD DATE")</f>
        <v>OK</v>
      </c>
      <c r="R279" s="2" t="str">
        <f aca="false">IF(ROUND(F279,2)=F279,"OK","FIX")</f>
        <v>OK</v>
      </c>
    </row>
    <row r="280" customFormat="false" ht="15" hidden="false" customHeight="false" outlineLevel="0" collapsed="false">
      <c r="A280" s="2" t="str">
        <f aca="false">TRIM(UPPER(Raw_Data!A280))</f>
        <v>ORD200278</v>
      </c>
      <c r="B280" s="3" t="n">
        <f aca="false">IF(ISNUMBER(Raw_Data!B280),Raw_Data!B280,DATEVALUE(Raw_Data!B280))</f>
        <v>45614</v>
      </c>
      <c r="C280" s="2" t="str">
        <f aca="false">TRIM(UPPER(Raw_Data!C280))</f>
        <v>C46015</v>
      </c>
      <c r="D280" s="2" t="str">
        <f aca="false">PROPER(TRIM(Raw_Data!D280))</f>
        <v>Laptop</v>
      </c>
      <c r="E280" s="2" t="n">
        <f aca="false">Raw_Data!E280</f>
        <v>5</v>
      </c>
      <c r="F280" s="4" t="n">
        <f aca="false">ROUND(Raw_Data!F280,2)</f>
        <v>362.46</v>
      </c>
      <c r="G280" s="2" t="str">
        <f aca="false">PROPER(TRIM(Raw_Data!G280))</f>
        <v>299 Main St</v>
      </c>
      <c r="H280" s="2" t="str">
        <f aca="false">PROPER(TRIM(Raw_Data!H280))</f>
        <v>Cash</v>
      </c>
      <c r="I280" s="2" t="str">
        <f aca="false">PROPER(TRIM(Raw_Data!I280))</f>
        <v>Delivered</v>
      </c>
      <c r="J280" s="2" t="str">
        <f aca="false">TRIM(UPPER(Raw_Data!J280))</f>
        <v>TRK46598430</v>
      </c>
      <c r="K280" s="2" t="n">
        <f aca="false">Raw_Data!K280</f>
        <v>6</v>
      </c>
      <c r="L280" s="2" t="str">
        <f aca="false">IF(TRIM(Raw_Data!L280)="","No Coupon",TRIM(UPPER(Raw_Data!L280)))</f>
        <v>FREESHIP</v>
      </c>
      <c r="M280" s="2" t="str">
        <f aca="false">PROPER(TRIM(Raw_Data!M280))</f>
        <v>Instagram</v>
      </c>
      <c r="N280" s="4" t="n">
        <f aca="false">ROUND(E280*F280,2)</f>
        <v>1812.3</v>
      </c>
      <c r="O280" s="2" t="str">
        <f aca="false">IF(COUNTIF($A$2:$A$1201,A280)&gt;1,"DUPLICATE","Unique")</f>
        <v>Unique</v>
      </c>
      <c r="P280" s="2" t="str">
        <f aca="false">IF(L280="","MISSING","OK")</f>
        <v>OK</v>
      </c>
      <c r="Q280" s="2" t="str">
        <f aca="false">IF(ISNUMBER(B280),"OK","BAD DATE")</f>
        <v>OK</v>
      </c>
      <c r="R280" s="2" t="str">
        <f aca="false">IF(ROUND(F280,2)=F280,"OK","FIX")</f>
        <v>OK</v>
      </c>
    </row>
    <row r="281" customFormat="false" ht="15" hidden="false" customHeight="false" outlineLevel="0" collapsed="false">
      <c r="A281" s="2" t="str">
        <f aca="false">TRIM(UPPER(Raw_Data!A281))</f>
        <v>ORD200279</v>
      </c>
      <c r="B281" s="3" t="n">
        <f aca="false">IF(ISNUMBER(Raw_Data!B281),Raw_Data!B281,DATEVALUE(Raw_Data!B281))</f>
        <v>45219</v>
      </c>
      <c r="C281" s="2" t="str">
        <f aca="false">TRIM(UPPER(Raw_Data!C281))</f>
        <v>C69167</v>
      </c>
      <c r="D281" s="2" t="str">
        <f aca="false">PROPER(TRIM(Raw_Data!D281))</f>
        <v>Chair</v>
      </c>
      <c r="E281" s="2" t="n">
        <f aca="false">Raw_Data!E281</f>
        <v>3</v>
      </c>
      <c r="F281" s="4" t="n">
        <f aca="false">ROUND(Raw_Data!F281,2)</f>
        <v>55.01</v>
      </c>
      <c r="G281" s="2" t="str">
        <f aca="false">PROPER(TRIM(Raw_Data!G281))</f>
        <v>263 Main St</v>
      </c>
      <c r="H281" s="2" t="str">
        <f aca="false">PROPER(TRIM(Raw_Data!H281))</f>
        <v>Online</v>
      </c>
      <c r="I281" s="2" t="str">
        <f aca="false">PROPER(TRIM(Raw_Data!I281))</f>
        <v>Pending</v>
      </c>
      <c r="J281" s="2" t="str">
        <f aca="false">TRIM(UPPER(Raw_Data!J281))</f>
        <v>TRK12425655</v>
      </c>
      <c r="K281" s="2" t="n">
        <f aca="false">Raw_Data!K281</f>
        <v>7</v>
      </c>
      <c r="L281" s="2" t="str">
        <f aca="false">IF(TRIM(Raw_Data!L281)="","No Coupon",TRIM(UPPER(Raw_Data!L281)))</f>
        <v>WINTER15</v>
      </c>
      <c r="M281" s="2" t="str">
        <f aca="false">PROPER(TRIM(Raw_Data!M281))</f>
        <v>Email</v>
      </c>
      <c r="N281" s="4" t="n">
        <f aca="false">ROUND(E281*F281,2)</f>
        <v>165.03</v>
      </c>
      <c r="O281" s="2" t="str">
        <f aca="false">IF(COUNTIF($A$2:$A$1201,A281)&gt;1,"DUPLICATE","Unique")</f>
        <v>Unique</v>
      </c>
      <c r="P281" s="2" t="str">
        <f aca="false">IF(L281="","MISSING","OK")</f>
        <v>OK</v>
      </c>
      <c r="Q281" s="2" t="str">
        <f aca="false">IF(ISNUMBER(B281),"OK","BAD DATE")</f>
        <v>OK</v>
      </c>
      <c r="R281" s="2" t="str">
        <f aca="false">IF(ROUND(F281,2)=F281,"OK","FIX")</f>
        <v>OK</v>
      </c>
    </row>
    <row r="282" customFormat="false" ht="15" hidden="false" customHeight="false" outlineLevel="0" collapsed="false">
      <c r="A282" s="2" t="str">
        <f aca="false">TRIM(UPPER(Raw_Data!A282))</f>
        <v>ORD200280</v>
      </c>
      <c r="B282" s="3" t="n">
        <f aca="false">IF(ISNUMBER(Raw_Data!B282),Raw_Data!B282,DATEVALUE(Raw_Data!B282))</f>
        <v>45012</v>
      </c>
      <c r="C282" s="2" t="str">
        <f aca="false">TRIM(UPPER(Raw_Data!C282))</f>
        <v>C55388</v>
      </c>
      <c r="D282" s="2" t="str">
        <f aca="false">PROPER(TRIM(Raw_Data!D282))</f>
        <v>Tablet</v>
      </c>
      <c r="E282" s="2" t="n">
        <f aca="false">Raw_Data!E282</f>
        <v>3</v>
      </c>
      <c r="F282" s="4" t="n">
        <f aca="false">ROUND(Raw_Data!F282,2)</f>
        <v>404.62</v>
      </c>
      <c r="G282" s="2" t="str">
        <f aca="false">PROPER(TRIM(Raw_Data!G282))</f>
        <v>740 Main St</v>
      </c>
      <c r="H282" s="2" t="str">
        <f aca="false">PROPER(TRIM(Raw_Data!H282))</f>
        <v>Gift Card</v>
      </c>
      <c r="I282" s="2" t="str">
        <f aca="false">PROPER(TRIM(Raw_Data!I282))</f>
        <v>Delivered</v>
      </c>
      <c r="J282" s="2" t="str">
        <f aca="false">TRIM(UPPER(Raw_Data!J282))</f>
        <v>TRK75741001</v>
      </c>
      <c r="K282" s="2" t="n">
        <f aca="false">Raw_Data!K282</f>
        <v>6</v>
      </c>
      <c r="L282" s="2" t="str">
        <f aca="false">IF(TRIM(Raw_Data!L282)="","No Coupon",TRIM(UPPER(Raw_Data!L282)))</f>
        <v>FREESHIP</v>
      </c>
      <c r="M282" s="2" t="str">
        <f aca="false">PROPER(TRIM(Raw_Data!M282))</f>
        <v>Instagram</v>
      </c>
      <c r="N282" s="4" t="n">
        <f aca="false">ROUND(E282*F282,2)</f>
        <v>1213.86</v>
      </c>
      <c r="O282" s="2" t="str">
        <f aca="false">IF(COUNTIF($A$2:$A$1201,A282)&gt;1,"DUPLICATE","Unique")</f>
        <v>Unique</v>
      </c>
      <c r="P282" s="2" t="str">
        <f aca="false">IF(L282="","MISSING","OK")</f>
        <v>OK</v>
      </c>
      <c r="Q282" s="2" t="str">
        <f aca="false">IF(ISNUMBER(B282),"OK","BAD DATE")</f>
        <v>OK</v>
      </c>
      <c r="R282" s="2" t="str">
        <f aca="false">IF(ROUND(F282,2)=F282,"OK","FIX")</f>
        <v>OK</v>
      </c>
    </row>
    <row r="283" customFormat="false" ht="15" hidden="false" customHeight="false" outlineLevel="0" collapsed="false">
      <c r="A283" s="2" t="str">
        <f aca="false">TRIM(UPPER(Raw_Data!A283))</f>
        <v>ORD200281</v>
      </c>
      <c r="B283" s="3" t="n">
        <f aca="false">IF(ISNUMBER(Raw_Data!B283),Raw_Data!B283,DATEVALUE(Raw_Data!B283))</f>
        <v>45134</v>
      </c>
      <c r="C283" s="2" t="str">
        <f aca="false">TRIM(UPPER(Raw_Data!C283))</f>
        <v>C87181</v>
      </c>
      <c r="D283" s="2" t="str">
        <f aca="false">PROPER(TRIM(Raw_Data!D283))</f>
        <v>Desk</v>
      </c>
      <c r="E283" s="2" t="n">
        <f aca="false">Raw_Data!E283</f>
        <v>4</v>
      </c>
      <c r="F283" s="4" t="n">
        <f aca="false">ROUND(Raw_Data!F283,2)</f>
        <v>654.79</v>
      </c>
      <c r="G283" s="2" t="str">
        <f aca="false">PROPER(TRIM(Raw_Data!G283))</f>
        <v>195 Main St</v>
      </c>
      <c r="H283" s="2" t="str">
        <f aca="false">PROPER(TRIM(Raw_Data!H283))</f>
        <v>Cash</v>
      </c>
      <c r="I283" s="2" t="str">
        <f aca="false">PROPER(TRIM(Raw_Data!I283))</f>
        <v>Pending</v>
      </c>
      <c r="J283" s="2" t="str">
        <f aca="false">TRIM(UPPER(Raw_Data!J283))</f>
        <v>TRK60093390</v>
      </c>
      <c r="K283" s="2" t="n">
        <f aca="false">Raw_Data!K283</f>
        <v>9</v>
      </c>
      <c r="L283" s="2" t="str">
        <f aca="false">IF(TRIM(Raw_Data!L283)="","No Coupon",TRIM(UPPER(Raw_Data!L283)))</f>
        <v>No Coupon</v>
      </c>
      <c r="M283" s="2" t="str">
        <f aca="false">PROPER(TRIM(Raw_Data!M283))</f>
        <v>Referral</v>
      </c>
      <c r="N283" s="4" t="n">
        <f aca="false">ROUND(E283*F283,2)</f>
        <v>2619.16</v>
      </c>
      <c r="O283" s="2" t="str">
        <f aca="false">IF(COUNTIF($A$2:$A$1201,A283)&gt;1,"DUPLICATE","Unique")</f>
        <v>Unique</v>
      </c>
      <c r="P283" s="2" t="str">
        <f aca="false">IF(L283="","MISSING","OK")</f>
        <v>OK</v>
      </c>
      <c r="Q283" s="2" t="str">
        <f aca="false">IF(ISNUMBER(B283),"OK","BAD DATE")</f>
        <v>OK</v>
      </c>
      <c r="R283" s="2" t="str">
        <f aca="false">IF(ROUND(F283,2)=F283,"OK","FIX")</f>
        <v>OK</v>
      </c>
    </row>
    <row r="284" customFormat="false" ht="15" hidden="false" customHeight="false" outlineLevel="0" collapsed="false">
      <c r="A284" s="2" t="str">
        <f aca="false">TRIM(UPPER(Raw_Data!A284))</f>
        <v>ORD200282</v>
      </c>
      <c r="B284" s="3" t="n">
        <f aca="false">IF(ISNUMBER(Raw_Data!B284),Raw_Data!B284,DATEVALUE(Raw_Data!B284))</f>
        <v>45769</v>
      </c>
      <c r="C284" s="2" t="str">
        <f aca="false">TRIM(UPPER(Raw_Data!C284))</f>
        <v>C30411</v>
      </c>
      <c r="D284" s="2" t="str">
        <f aca="false">PROPER(TRIM(Raw_Data!D284))</f>
        <v>Printer</v>
      </c>
      <c r="E284" s="2" t="n">
        <f aca="false">Raw_Data!E284</f>
        <v>4</v>
      </c>
      <c r="F284" s="4" t="n">
        <f aca="false">ROUND(Raw_Data!F284,2)</f>
        <v>637.79</v>
      </c>
      <c r="G284" s="2" t="str">
        <f aca="false">PROPER(TRIM(Raw_Data!G284))</f>
        <v>375 Main St</v>
      </c>
      <c r="H284" s="2" t="str">
        <f aca="false">PROPER(TRIM(Raw_Data!H284))</f>
        <v>Gift Card</v>
      </c>
      <c r="I284" s="2" t="str">
        <f aca="false">PROPER(TRIM(Raw_Data!I284))</f>
        <v>Cancelled</v>
      </c>
      <c r="J284" s="2" t="str">
        <f aca="false">TRIM(UPPER(Raw_Data!J284))</f>
        <v>TRK71810536</v>
      </c>
      <c r="K284" s="2" t="n">
        <f aca="false">Raw_Data!K284</f>
        <v>9</v>
      </c>
      <c r="L284" s="2" t="str">
        <f aca="false">IF(TRIM(Raw_Data!L284)="","No Coupon",TRIM(UPPER(Raw_Data!L284)))</f>
        <v>FREESHIP</v>
      </c>
      <c r="M284" s="2" t="str">
        <f aca="false">PROPER(TRIM(Raw_Data!M284))</f>
        <v>Google</v>
      </c>
      <c r="N284" s="4" t="n">
        <f aca="false">ROUND(E284*F284,2)</f>
        <v>2551.16</v>
      </c>
      <c r="O284" s="2" t="str">
        <f aca="false">IF(COUNTIF($A$2:$A$1201,A284)&gt;1,"DUPLICATE","Unique")</f>
        <v>Unique</v>
      </c>
      <c r="P284" s="2" t="str">
        <f aca="false">IF(L284="","MISSING","OK")</f>
        <v>OK</v>
      </c>
      <c r="Q284" s="2" t="str">
        <f aca="false">IF(ISNUMBER(B284),"OK","BAD DATE")</f>
        <v>OK</v>
      </c>
      <c r="R284" s="2" t="str">
        <f aca="false">IF(ROUND(F284,2)=F284,"OK","FIX")</f>
        <v>OK</v>
      </c>
    </row>
    <row r="285" customFormat="false" ht="15" hidden="false" customHeight="false" outlineLevel="0" collapsed="false">
      <c r="A285" s="2" t="str">
        <f aca="false">TRIM(UPPER(Raw_Data!A285))</f>
        <v>ORD200283</v>
      </c>
      <c r="B285" s="3" t="n">
        <f aca="false">IF(ISNUMBER(Raw_Data!B285),Raw_Data!B285,DATEVALUE(Raw_Data!B285))</f>
        <v>45716</v>
      </c>
      <c r="C285" s="2" t="str">
        <f aca="false">TRIM(UPPER(Raw_Data!C285))</f>
        <v>C39638</v>
      </c>
      <c r="D285" s="2" t="str">
        <f aca="false">PROPER(TRIM(Raw_Data!D285))</f>
        <v>Laptop</v>
      </c>
      <c r="E285" s="2" t="n">
        <f aca="false">Raw_Data!E285</f>
        <v>4</v>
      </c>
      <c r="F285" s="4" t="n">
        <f aca="false">ROUND(Raw_Data!F285,2)</f>
        <v>540.33</v>
      </c>
      <c r="G285" s="2" t="str">
        <f aca="false">PROPER(TRIM(Raw_Data!G285))</f>
        <v>990 Main St</v>
      </c>
      <c r="H285" s="2" t="str">
        <f aca="false">PROPER(TRIM(Raw_Data!H285))</f>
        <v>Cash</v>
      </c>
      <c r="I285" s="2" t="str">
        <f aca="false">PROPER(TRIM(Raw_Data!I285))</f>
        <v>Shipped</v>
      </c>
      <c r="J285" s="2" t="str">
        <f aca="false">TRIM(UPPER(Raw_Data!J285))</f>
        <v>TRK69745608</v>
      </c>
      <c r="K285" s="2" t="n">
        <f aca="false">Raw_Data!K285</f>
        <v>6</v>
      </c>
      <c r="L285" s="2" t="str">
        <f aca="false">IF(TRIM(Raw_Data!L285)="","No Coupon",TRIM(UPPER(Raw_Data!L285)))</f>
        <v>No Coupon</v>
      </c>
      <c r="M285" s="2" t="str">
        <f aca="false">PROPER(TRIM(Raw_Data!M285))</f>
        <v>Google</v>
      </c>
      <c r="N285" s="4" t="n">
        <f aca="false">ROUND(E285*F285,2)</f>
        <v>2161.32</v>
      </c>
      <c r="O285" s="2" t="str">
        <f aca="false">IF(COUNTIF($A$2:$A$1201,A285)&gt;1,"DUPLICATE","Unique")</f>
        <v>Unique</v>
      </c>
      <c r="P285" s="2" t="str">
        <f aca="false">IF(L285="","MISSING","OK")</f>
        <v>OK</v>
      </c>
      <c r="Q285" s="2" t="str">
        <f aca="false">IF(ISNUMBER(B285),"OK","BAD DATE")</f>
        <v>OK</v>
      </c>
      <c r="R285" s="2" t="str">
        <f aca="false">IF(ROUND(F285,2)=F285,"OK","FIX")</f>
        <v>OK</v>
      </c>
    </row>
    <row r="286" customFormat="false" ht="15" hidden="false" customHeight="false" outlineLevel="0" collapsed="false">
      <c r="A286" s="2" t="str">
        <f aca="false">TRIM(UPPER(Raw_Data!A286))</f>
        <v>ORD200284</v>
      </c>
      <c r="B286" s="3" t="n">
        <f aca="false">IF(ISNUMBER(Raw_Data!B286),Raw_Data!B286,DATEVALUE(Raw_Data!B286))</f>
        <v>44973</v>
      </c>
      <c r="C286" s="2" t="str">
        <f aca="false">TRIM(UPPER(Raw_Data!C286))</f>
        <v>C27203</v>
      </c>
      <c r="D286" s="2" t="str">
        <f aca="false">PROPER(TRIM(Raw_Data!D286))</f>
        <v>Laptop</v>
      </c>
      <c r="E286" s="2" t="n">
        <f aca="false">Raw_Data!E286</f>
        <v>5</v>
      </c>
      <c r="F286" s="4" t="n">
        <f aca="false">ROUND(Raw_Data!F286,2)</f>
        <v>208.17</v>
      </c>
      <c r="G286" s="2" t="str">
        <f aca="false">PROPER(TRIM(Raw_Data!G286))</f>
        <v>516 Main St</v>
      </c>
      <c r="H286" s="2" t="str">
        <f aca="false">PROPER(TRIM(Raw_Data!H286))</f>
        <v>Credit Card</v>
      </c>
      <c r="I286" s="2" t="str">
        <f aca="false">PROPER(TRIM(Raw_Data!I286))</f>
        <v>Returned</v>
      </c>
      <c r="J286" s="2" t="str">
        <f aca="false">TRIM(UPPER(Raw_Data!J286))</f>
        <v>TRK22023906</v>
      </c>
      <c r="K286" s="2" t="n">
        <f aca="false">Raw_Data!K286</f>
        <v>6</v>
      </c>
      <c r="L286" s="2" t="str">
        <f aca="false">IF(TRIM(Raw_Data!L286)="","No Coupon",TRIM(UPPER(Raw_Data!L286)))</f>
        <v>SAVE10</v>
      </c>
      <c r="M286" s="2" t="str">
        <f aca="false">PROPER(TRIM(Raw_Data!M286))</f>
        <v>Facebook</v>
      </c>
      <c r="N286" s="4" t="n">
        <f aca="false">ROUND(E286*F286,2)</f>
        <v>1040.85</v>
      </c>
      <c r="O286" s="2" t="str">
        <f aca="false">IF(COUNTIF($A$2:$A$1201,A286)&gt;1,"DUPLICATE","Unique")</f>
        <v>Unique</v>
      </c>
      <c r="P286" s="2" t="str">
        <f aca="false">IF(L286="","MISSING","OK")</f>
        <v>OK</v>
      </c>
      <c r="Q286" s="2" t="str">
        <f aca="false">IF(ISNUMBER(B286),"OK","BAD DATE")</f>
        <v>OK</v>
      </c>
      <c r="R286" s="2" t="str">
        <f aca="false">IF(ROUND(F286,2)=F286,"OK","FIX")</f>
        <v>OK</v>
      </c>
    </row>
    <row r="287" customFormat="false" ht="15" hidden="false" customHeight="false" outlineLevel="0" collapsed="false">
      <c r="A287" s="2" t="str">
        <f aca="false">TRIM(UPPER(Raw_Data!A287))</f>
        <v>ORD200285</v>
      </c>
      <c r="B287" s="3" t="n">
        <f aca="false">IF(ISNUMBER(Raw_Data!B287),Raw_Data!B287,DATEVALUE(Raw_Data!B287))</f>
        <v>45818</v>
      </c>
      <c r="C287" s="2" t="str">
        <f aca="false">TRIM(UPPER(Raw_Data!C287))</f>
        <v>C67583</v>
      </c>
      <c r="D287" s="2" t="str">
        <f aca="false">PROPER(TRIM(Raw_Data!D287))</f>
        <v>Phone</v>
      </c>
      <c r="E287" s="2" t="n">
        <f aca="false">Raw_Data!E287</f>
        <v>1</v>
      </c>
      <c r="F287" s="4" t="n">
        <f aca="false">ROUND(Raw_Data!F287,2)</f>
        <v>338.31</v>
      </c>
      <c r="G287" s="2" t="str">
        <f aca="false">PROPER(TRIM(Raw_Data!G287))</f>
        <v>974 Main St</v>
      </c>
      <c r="H287" s="2" t="str">
        <f aca="false">PROPER(TRIM(Raw_Data!H287))</f>
        <v>Online</v>
      </c>
      <c r="I287" s="2" t="str">
        <f aca="false">PROPER(TRIM(Raw_Data!I287))</f>
        <v>Delivered</v>
      </c>
      <c r="J287" s="2" t="str">
        <f aca="false">TRIM(UPPER(Raw_Data!J287))</f>
        <v>TRK93281700</v>
      </c>
      <c r="K287" s="2" t="n">
        <f aca="false">Raw_Data!K287</f>
        <v>3</v>
      </c>
      <c r="L287" s="2" t="str">
        <f aca="false">IF(TRIM(Raw_Data!L287)="","No Coupon",TRIM(UPPER(Raw_Data!L287)))</f>
        <v>No Coupon</v>
      </c>
      <c r="M287" s="2" t="str">
        <f aca="false">PROPER(TRIM(Raw_Data!M287))</f>
        <v>Google</v>
      </c>
      <c r="N287" s="4" t="n">
        <f aca="false">ROUND(E287*F287,2)</f>
        <v>338.31</v>
      </c>
      <c r="O287" s="2" t="str">
        <f aca="false">IF(COUNTIF($A$2:$A$1201,A287)&gt;1,"DUPLICATE","Unique")</f>
        <v>Unique</v>
      </c>
      <c r="P287" s="2" t="str">
        <f aca="false">IF(L287="","MISSING","OK")</f>
        <v>OK</v>
      </c>
      <c r="Q287" s="2" t="str">
        <f aca="false">IF(ISNUMBER(B287),"OK","BAD DATE")</f>
        <v>OK</v>
      </c>
      <c r="R287" s="2" t="str">
        <f aca="false">IF(ROUND(F287,2)=F287,"OK","FIX")</f>
        <v>OK</v>
      </c>
    </row>
    <row r="288" customFormat="false" ht="15" hidden="false" customHeight="false" outlineLevel="0" collapsed="false">
      <c r="A288" s="2" t="str">
        <f aca="false">TRIM(UPPER(Raw_Data!A288))</f>
        <v>ORD200286</v>
      </c>
      <c r="B288" s="3" t="n">
        <f aca="false">IF(ISNUMBER(Raw_Data!B288),Raw_Data!B288,DATEVALUE(Raw_Data!B288))</f>
        <v>45754</v>
      </c>
      <c r="C288" s="2" t="str">
        <f aca="false">TRIM(UPPER(Raw_Data!C288))</f>
        <v>C70554</v>
      </c>
      <c r="D288" s="2" t="str">
        <f aca="false">PROPER(TRIM(Raw_Data!D288))</f>
        <v>Monitor</v>
      </c>
      <c r="E288" s="2" t="n">
        <f aca="false">Raw_Data!E288</f>
        <v>3</v>
      </c>
      <c r="F288" s="4" t="n">
        <f aca="false">ROUND(Raw_Data!F288,2)</f>
        <v>139.45</v>
      </c>
      <c r="G288" s="2" t="str">
        <f aca="false">PROPER(TRIM(Raw_Data!G288))</f>
        <v>187 Main St</v>
      </c>
      <c r="H288" s="2" t="str">
        <f aca="false">PROPER(TRIM(Raw_Data!H288))</f>
        <v>Gift Card</v>
      </c>
      <c r="I288" s="2" t="str">
        <f aca="false">PROPER(TRIM(Raw_Data!I288))</f>
        <v>Returned</v>
      </c>
      <c r="J288" s="2" t="str">
        <f aca="false">TRIM(UPPER(Raw_Data!J288))</f>
        <v>TRK61086952</v>
      </c>
      <c r="K288" s="2" t="n">
        <f aca="false">Raw_Data!K288</f>
        <v>8</v>
      </c>
      <c r="L288" s="2" t="str">
        <f aca="false">IF(TRIM(Raw_Data!L288)="","No Coupon",TRIM(UPPER(Raw_Data!L288)))</f>
        <v>WINTER15</v>
      </c>
      <c r="M288" s="2" t="str">
        <f aca="false">PROPER(TRIM(Raw_Data!M288))</f>
        <v>Google</v>
      </c>
      <c r="N288" s="4" t="n">
        <f aca="false">ROUND(E288*F288,2)</f>
        <v>418.35</v>
      </c>
      <c r="O288" s="2" t="str">
        <f aca="false">IF(COUNTIF($A$2:$A$1201,A288)&gt;1,"DUPLICATE","Unique")</f>
        <v>Unique</v>
      </c>
      <c r="P288" s="2" t="str">
        <f aca="false">IF(L288="","MISSING","OK")</f>
        <v>OK</v>
      </c>
      <c r="Q288" s="2" t="str">
        <f aca="false">IF(ISNUMBER(B288),"OK","BAD DATE")</f>
        <v>OK</v>
      </c>
      <c r="R288" s="2" t="str">
        <f aca="false">IF(ROUND(F288,2)=F288,"OK","FIX")</f>
        <v>OK</v>
      </c>
    </row>
    <row r="289" customFormat="false" ht="15" hidden="false" customHeight="false" outlineLevel="0" collapsed="false">
      <c r="A289" s="2" t="str">
        <f aca="false">TRIM(UPPER(Raw_Data!A289))</f>
        <v>ORD200287</v>
      </c>
      <c r="B289" s="3" t="n">
        <f aca="false">IF(ISNUMBER(Raw_Data!B289),Raw_Data!B289,DATEVALUE(Raw_Data!B289))</f>
        <v>45254</v>
      </c>
      <c r="C289" s="2" t="str">
        <f aca="false">TRIM(UPPER(Raw_Data!C289))</f>
        <v>C70437</v>
      </c>
      <c r="D289" s="2" t="str">
        <f aca="false">PROPER(TRIM(Raw_Data!D289))</f>
        <v>Chair</v>
      </c>
      <c r="E289" s="2" t="n">
        <f aca="false">Raw_Data!E289</f>
        <v>4</v>
      </c>
      <c r="F289" s="4" t="n">
        <f aca="false">ROUND(Raw_Data!F289,2)</f>
        <v>655.18</v>
      </c>
      <c r="G289" s="2" t="str">
        <f aca="false">PROPER(TRIM(Raw_Data!G289))</f>
        <v>630 Main St</v>
      </c>
      <c r="H289" s="2" t="str">
        <f aca="false">PROPER(TRIM(Raw_Data!H289))</f>
        <v>Online</v>
      </c>
      <c r="I289" s="2" t="str">
        <f aca="false">PROPER(TRIM(Raw_Data!I289))</f>
        <v>Shipped</v>
      </c>
      <c r="J289" s="2" t="str">
        <f aca="false">TRIM(UPPER(Raw_Data!J289))</f>
        <v>TRK26628830</v>
      </c>
      <c r="K289" s="2" t="n">
        <f aca="false">Raw_Data!K289</f>
        <v>5</v>
      </c>
      <c r="L289" s="2" t="str">
        <f aca="false">IF(TRIM(Raw_Data!L289)="","No Coupon",TRIM(UPPER(Raw_Data!L289)))</f>
        <v>No Coupon</v>
      </c>
      <c r="M289" s="2" t="str">
        <f aca="false">PROPER(TRIM(Raw_Data!M289))</f>
        <v>Facebook</v>
      </c>
      <c r="N289" s="4" t="n">
        <f aca="false">ROUND(E289*F289,2)</f>
        <v>2620.72</v>
      </c>
      <c r="O289" s="2" t="str">
        <f aca="false">IF(COUNTIF($A$2:$A$1201,A289)&gt;1,"DUPLICATE","Unique")</f>
        <v>Unique</v>
      </c>
      <c r="P289" s="2" t="str">
        <f aca="false">IF(L289="","MISSING","OK")</f>
        <v>OK</v>
      </c>
      <c r="Q289" s="2" t="str">
        <f aca="false">IF(ISNUMBER(B289),"OK","BAD DATE")</f>
        <v>OK</v>
      </c>
      <c r="R289" s="2" t="str">
        <f aca="false">IF(ROUND(F289,2)=F289,"OK","FIX")</f>
        <v>OK</v>
      </c>
    </row>
    <row r="290" customFormat="false" ht="15" hidden="false" customHeight="false" outlineLevel="0" collapsed="false">
      <c r="A290" s="2" t="str">
        <f aca="false">TRIM(UPPER(Raw_Data!A290))</f>
        <v>ORD200288</v>
      </c>
      <c r="B290" s="3" t="n">
        <f aca="false">IF(ISNUMBER(Raw_Data!B290),Raw_Data!B290,DATEVALUE(Raw_Data!B290))</f>
        <v>44997</v>
      </c>
      <c r="C290" s="2" t="str">
        <f aca="false">TRIM(UPPER(Raw_Data!C290))</f>
        <v>C97643</v>
      </c>
      <c r="D290" s="2" t="str">
        <f aca="false">PROPER(TRIM(Raw_Data!D290))</f>
        <v>Laptop</v>
      </c>
      <c r="E290" s="2" t="n">
        <f aca="false">Raw_Data!E290</f>
        <v>4</v>
      </c>
      <c r="F290" s="4" t="n">
        <f aca="false">ROUND(Raw_Data!F290,2)</f>
        <v>512.75</v>
      </c>
      <c r="G290" s="2" t="str">
        <f aca="false">PROPER(TRIM(Raw_Data!G290))</f>
        <v>537 Main St</v>
      </c>
      <c r="H290" s="2" t="str">
        <f aca="false">PROPER(TRIM(Raw_Data!H290))</f>
        <v>Debit Card</v>
      </c>
      <c r="I290" s="2" t="str">
        <f aca="false">PROPER(TRIM(Raw_Data!I290))</f>
        <v>Returned</v>
      </c>
      <c r="J290" s="2" t="str">
        <f aca="false">TRIM(UPPER(Raw_Data!J290))</f>
        <v>TRK60831391</v>
      </c>
      <c r="K290" s="2" t="n">
        <f aca="false">Raw_Data!K290</f>
        <v>8</v>
      </c>
      <c r="L290" s="2" t="str">
        <f aca="false">IF(TRIM(Raw_Data!L290)="","No Coupon",TRIM(UPPER(Raw_Data!L290)))</f>
        <v>WINTER15</v>
      </c>
      <c r="M290" s="2" t="str">
        <f aca="false">PROPER(TRIM(Raw_Data!M290))</f>
        <v>Google</v>
      </c>
      <c r="N290" s="4" t="n">
        <f aca="false">ROUND(E290*F290,2)</f>
        <v>2051</v>
      </c>
      <c r="O290" s="2" t="str">
        <f aca="false">IF(COUNTIF($A$2:$A$1201,A290)&gt;1,"DUPLICATE","Unique")</f>
        <v>Unique</v>
      </c>
      <c r="P290" s="2" t="str">
        <f aca="false">IF(L290="","MISSING","OK")</f>
        <v>OK</v>
      </c>
      <c r="Q290" s="2" t="str">
        <f aca="false">IF(ISNUMBER(B290),"OK","BAD DATE")</f>
        <v>OK</v>
      </c>
      <c r="R290" s="2" t="str">
        <f aca="false">IF(ROUND(F290,2)=F290,"OK","FIX")</f>
        <v>OK</v>
      </c>
    </row>
    <row r="291" customFormat="false" ht="15" hidden="false" customHeight="false" outlineLevel="0" collapsed="false">
      <c r="A291" s="2" t="str">
        <f aca="false">TRIM(UPPER(Raw_Data!A291))</f>
        <v>ORD200289</v>
      </c>
      <c r="B291" s="3" t="n">
        <f aca="false">IF(ISNUMBER(Raw_Data!B291),Raw_Data!B291,DATEVALUE(Raw_Data!B291))</f>
        <v>45133</v>
      </c>
      <c r="C291" s="2" t="str">
        <f aca="false">TRIM(UPPER(Raw_Data!C291))</f>
        <v>C17136</v>
      </c>
      <c r="D291" s="2" t="str">
        <f aca="false">PROPER(TRIM(Raw_Data!D291))</f>
        <v>Chair</v>
      </c>
      <c r="E291" s="2" t="n">
        <f aca="false">Raw_Data!E291</f>
        <v>4</v>
      </c>
      <c r="F291" s="4" t="n">
        <f aca="false">ROUND(Raw_Data!F291,2)</f>
        <v>160.49</v>
      </c>
      <c r="G291" s="2" t="str">
        <f aca="false">PROPER(TRIM(Raw_Data!G291))</f>
        <v>333 Main St</v>
      </c>
      <c r="H291" s="2" t="str">
        <f aca="false">PROPER(TRIM(Raw_Data!H291))</f>
        <v>Credit Card</v>
      </c>
      <c r="I291" s="2" t="str">
        <f aca="false">PROPER(TRIM(Raw_Data!I291))</f>
        <v>Shipped</v>
      </c>
      <c r="J291" s="2" t="str">
        <f aca="false">TRIM(UPPER(Raw_Data!J291))</f>
        <v>TRK55362541</v>
      </c>
      <c r="K291" s="2" t="n">
        <f aca="false">Raw_Data!K291</f>
        <v>8</v>
      </c>
      <c r="L291" s="2" t="str">
        <f aca="false">IF(TRIM(Raw_Data!L291)="","No Coupon",TRIM(UPPER(Raw_Data!L291)))</f>
        <v>WINTER15</v>
      </c>
      <c r="M291" s="2" t="str">
        <f aca="false">PROPER(TRIM(Raw_Data!M291))</f>
        <v>Referral</v>
      </c>
      <c r="N291" s="4" t="n">
        <f aca="false">ROUND(E291*F291,2)</f>
        <v>641.96</v>
      </c>
      <c r="O291" s="2" t="str">
        <f aca="false">IF(COUNTIF($A$2:$A$1201,A291)&gt;1,"DUPLICATE","Unique")</f>
        <v>Unique</v>
      </c>
      <c r="P291" s="2" t="str">
        <f aca="false">IF(L291="","MISSING","OK")</f>
        <v>OK</v>
      </c>
      <c r="Q291" s="2" t="str">
        <f aca="false">IF(ISNUMBER(B291),"OK","BAD DATE")</f>
        <v>OK</v>
      </c>
      <c r="R291" s="2" t="str">
        <f aca="false">IF(ROUND(F291,2)=F291,"OK","FIX")</f>
        <v>OK</v>
      </c>
    </row>
    <row r="292" customFormat="false" ht="15" hidden="false" customHeight="false" outlineLevel="0" collapsed="false">
      <c r="A292" s="2" t="str">
        <f aca="false">TRIM(UPPER(Raw_Data!A292))</f>
        <v>ORD200290</v>
      </c>
      <c r="B292" s="3" t="n">
        <f aca="false">IF(ISNUMBER(Raw_Data!B292),Raw_Data!B292,DATEVALUE(Raw_Data!B292))</f>
        <v>45051</v>
      </c>
      <c r="C292" s="2" t="str">
        <f aca="false">TRIM(UPPER(Raw_Data!C292))</f>
        <v>C24901</v>
      </c>
      <c r="D292" s="2" t="str">
        <f aca="false">PROPER(TRIM(Raw_Data!D292))</f>
        <v>Chair</v>
      </c>
      <c r="E292" s="2" t="n">
        <f aca="false">Raw_Data!E292</f>
        <v>3</v>
      </c>
      <c r="F292" s="4" t="n">
        <f aca="false">ROUND(Raw_Data!F292,2)</f>
        <v>99.9</v>
      </c>
      <c r="G292" s="2" t="str">
        <f aca="false">PROPER(TRIM(Raw_Data!G292))</f>
        <v>258 Main St</v>
      </c>
      <c r="H292" s="2" t="str">
        <f aca="false">PROPER(TRIM(Raw_Data!H292))</f>
        <v>Cash</v>
      </c>
      <c r="I292" s="2" t="str">
        <f aca="false">PROPER(TRIM(Raw_Data!I292))</f>
        <v>Delivered</v>
      </c>
      <c r="J292" s="2" t="str">
        <f aca="false">TRIM(UPPER(Raw_Data!J292))</f>
        <v>TRK14029489</v>
      </c>
      <c r="K292" s="2" t="n">
        <f aca="false">Raw_Data!K292</f>
        <v>8</v>
      </c>
      <c r="L292" s="2" t="str">
        <f aca="false">IF(TRIM(Raw_Data!L292)="","No Coupon",TRIM(UPPER(Raw_Data!L292)))</f>
        <v>FREESHIP</v>
      </c>
      <c r="M292" s="2" t="str">
        <f aca="false">PROPER(TRIM(Raw_Data!M292))</f>
        <v>Facebook</v>
      </c>
      <c r="N292" s="4" t="n">
        <f aca="false">ROUND(E292*F292,2)</f>
        <v>299.7</v>
      </c>
      <c r="O292" s="2" t="str">
        <f aca="false">IF(COUNTIF($A$2:$A$1201,A292)&gt;1,"DUPLICATE","Unique")</f>
        <v>Unique</v>
      </c>
      <c r="P292" s="2" t="str">
        <f aca="false">IF(L292="","MISSING","OK")</f>
        <v>OK</v>
      </c>
      <c r="Q292" s="2" t="str">
        <f aca="false">IF(ISNUMBER(B292),"OK","BAD DATE")</f>
        <v>OK</v>
      </c>
      <c r="R292" s="2" t="str">
        <f aca="false">IF(ROUND(F292,2)=F292,"OK","FIX")</f>
        <v>OK</v>
      </c>
    </row>
    <row r="293" customFormat="false" ht="15" hidden="false" customHeight="false" outlineLevel="0" collapsed="false">
      <c r="A293" s="2" t="str">
        <f aca="false">TRIM(UPPER(Raw_Data!A293))</f>
        <v>ORD200291</v>
      </c>
      <c r="B293" s="3" t="n">
        <f aca="false">IF(ISNUMBER(Raw_Data!B293),Raw_Data!B293,DATEVALUE(Raw_Data!B293))</f>
        <v>45424</v>
      </c>
      <c r="C293" s="2" t="str">
        <f aca="false">TRIM(UPPER(Raw_Data!C293))</f>
        <v>C61521</v>
      </c>
      <c r="D293" s="2" t="str">
        <f aca="false">PROPER(TRIM(Raw_Data!D293))</f>
        <v>Phone</v>
      </c>
      <c r="E293" s="2" t="n">
        <f aca="false">Raw_Data!E293</f>
        <v>2</v>
      </c>
      <c r="F293" s="4" t="n">
        <f aca="false">ROUND(Raw_Data!F293,2)</f>
        <v>345.01</v>
      </c>
      <c r="G293" s="2" t="str">
        <f aca="false">PROPER(TRIM(Raw_Data!G293))</f>
        <v>670 Main St</v>
      </c>
      <c r="H293" s="2" t="str">
        <f aca="false">PROPER(TRIM(Raw_Data!H293))</f>
        <v>Credit Card</v>
      </c>
      <c r="I293" s="2" t="str">
        <f aca="false">PROPER(TRIM(Raw_Data!I293))</f>
        <v>Delivered</v>
      </c>
      <c r="J293" s="2" t="str">
        <f aca="false">TRIM(UPPER(Raw_Data!J293))</f>
        <v>TRK93676567</v>
      </c>
      <c r="K293" s="2" t="n">
        <f aca="false">Raw_Data!K293</f>
        <v>6</v>
      </c>
      <c r="L293" s="2" t="str">
        <f aca="false">IF(TRIM(Raw_Data!L293)="","No Coupon",TRIM(UPPER(Raw_Data!L293)))</f>
        <v>FREESHIP</v>
      </c>
      <c r="M293" s="2" t="str">
        <f aca="false">PROPER(TRIM(Raw_Data!M293))</f>
        <v>Google</v>
      </c>
      <c r="N293" s="4" t="n">
        <f aca="false">ROUND(E293*F293,2)</f>
        <v>690.02</v>
      </c>
      <c r="O293" s="2" t="str">
        <f aca="false">IF(COUNTIF($A$2:$A$1201,A293)&gt;1,"DUPLICATE","Unique")</f>
        <v>Unique</v>
      </c>
      <c r="P293" s="2" t="str">
        <f aca="false">IF(L293="","MISSING","OK")</f>
        <v>OK</v>
      </c>
      <c r="Q293" s="2" t="str">
        <f aca="false">IF(ISNUMBER(B293),"OK","BAD DATE")</f>
        <v>OK</v>
      </c>
      <c r="R293" s="2" t="str">
        <f aca="false">IF(ROUND(F293,2)=F293,"OK","FIX")</f>
        <v>OK</v>
      </c>
    </row>
    <row r="294" customFormat="false" ht="15" hidden="false" customHeight="false" outlineLevel="0" collapsed="false">
      <c r="A294" s="2" t="str">
        <f aca="false">TRIM(UPPER(Raw_Data!A294))</f>
        <v>ORD200292</v>
      </c>
      <c r="B294" s="3" t="n">
        <f aca="false">IF(ISNUMBER(Raw_Data!B294),Raw_Data!B294,DATEVALUE(Raw_Data!B294))</f>
        <v>45672</v>
      </c>
      <c r="C294" s="2" t="str">
        <f aca="false">TRIM(UPPER(Raw_Data!C294))</f>
        <v>C39639</v>
      </c>
      <c r="D294" s="2" t="str">
        <f aca="false">PROPER(TRIM(Raw_Data!D294))</f>
        <v>Monitor</v>
      </c>
      <c r="E294" s="2" t="n">
        <f aca="false">Raw_Data!E294</f>
        <v>1</v>
      </c>
      <c r="F294" s="4" t="n">
        <f aca="false">ROUND(Raw_Data!F294,2)</f>
        <v>65.95</v>
      </c>
      <c r="G294" s="2" t="str">
        <f aca="false">PROPER(TRIM(Raw_Data!G294))</f>
        <v>185 Main St</v>
      </c>
      <c r="H294" s="2" t="str">
        <f aca="false">PROPER(TRIM(Raw_Data!H294))</f>
        <v>Credit Card</v>
      </c>
      <c r="I294" s="2" t="str">
        <f aca="false">PROPER(TRIM(Raw_Data!I294))</f>
        <v>Delivered</v>
      </c>
      <c r="J294" s="2" t="str">
        <f aca="false">TRIM(UPPER(Raw_Data!J294))</f>
        <v>TRK31042152</v>
      </c>
      <c r="K294" s="2" t="n">
        <f aca="false">Raw_Data!K294</f>
        <v>5</v>
      </c>
      <c r="L294" s="2" t="str">
        <f aca="false">IF(TRIM(Raw_Data!L294)="","No Coupon",TRIM(UPPER(Raw_Data!L294)))</f>
        <v>No Coupon</v>
      </c>
      <c r="M294" s="2" t="str">
        <f aca="false">PROPER(TRIM(Raw_Data!M294))</f>
        <v>Facebook</v>
      </c>
      <c r="N294" s="4" t="n">
        <f aca="false">ROUND(E294*F294,2)</f>
        <v>65.95</v>
      </c>
      <c r="O294" s="2" t="str">
        <f aca="false">IF(COUNTIF($A$2:$A$1201,A294)&gt;1,"DUPLICATE","Unique")</f>
        <v>Unique</v>
      </c>
      <c r="P294" s="2" t="str">
        <f aca="false">IF(L294="","MISSING","OK")</f>
        <v>OK</v>
      </c>
      <c r="Q294" s="2" t="str">
        <f aca="false">IF(ISNUMBER(B294),"OK","BAD DATE")</f>
        <v>OK</v>
      </c>
      <c r="R294" s="2" t="str">
        <f aca="false">IF(ROUND(F294,2)=F294,"OK","FIX")</f>
        <v>OK</v>
      </c>
    </row>
    <row r="295" customFormat="false" ht="15" hidden="false" customHeight="false" outlineLevel="0" collapsed="false">
      <c r="A295" s="2" t="str">
        <f aca="false">TRIM(UPPER(Raw_Data!A295))</f>
        <v>ORD200293</v>
      </c>
      <c r="B295" s="3" t="n">
        <f aca="false">IF(ISNUMBER(Raw_Data!B295),Raw_Data!B295,DATEVALUE(Raw_Data!B295))</f>
        <v>44973</v>
      </c>
      <c r="C295" s="2" t="str">
        <f aca="false">TRIM(UPPER(Raw_Data!C295))</f>
        <v>C33220</v>
      </c>
      <c r="D295" s="2" t="str">
        <f aca="false">PROPER(TRIM(Raw_Data!D295))</f>
        <v>Tablet</v>
      </c>
      <c r="E295" s="2" t="n">
        <f aca="false">Raw_Data!E295</f>
        <v>4</v>
      </c>
      <c r="F295" s="4" t="n">
        <f aca="false">ROUND(Raw_Data!F295,2)</f>
        <v>463.04</v>
      </c>
      <c r="G295" s="2" t="str">
        <f aca="false">PROPER(TRIM(Raw_Data!G295))</f>
        <v>564 Main St</v>
      </c>
      <c r="H295" s="2" t="str">
        <f aca="false">PROPER(TRIM(Raw_Data!H295))</f>
        <v>Gift Card</v>
      </c>
      <c r="I295" s="2" t="str">
        <f aca="false">PROPER(TRIM(Raw_Data!I295))</f>
        <v>Returned</v>
      </c>
      <c r="J295" s="2" t="str">
        <f aca="false">TRIM(UPPER(Raw_Data!J295))</f>
        <v>TRK40450219</v>
      </c>
      <c r="K295" s="2" t="n">
        <f aca="false">Raw_Data!K295</f>
        <v>9</v>
      </c>
      <c r="L295" s="2" t="str">
        <f aca="false">IF(TRIM(Raw_Data!L295)="","No Coupon",TRIM(UPPER(Raw_Data!L295)))</f>
        <v>No Coupon</v>
      </c>
      <c r="M295" s="2" t="str">
        <f aca="false">PROPER(TRIM(Raw_Data!M295))</f>
        <v>Instagram</v>
      </c>
      <c r="N295" s="4" t="n">
        <f aca="false">ROUND(E295*F295,2)</f>
        <v>1852.16</v>
      </c>
      <c r="O295" s="2" t="str">
        <f aca="false">IF(COUNTIF($A$2:$A$1201,A295)&gt;1,"DUPLICATE","Unique")</f>
        <v>Unique</v>
      </c>
      <c r="P295" s="2" t="str">
        <f aca="false">IF(L295="","MISSING","OK")</f>
        <v>OK</v>
      </c>
      <c r="Q295" s="2" t="str">
        <f aca="false">IF(ISNUMBER(B295),"OK","BAD DATE")</f>
        <v>OK</v>
      </c>
      <c r="R295" s="2" t="str">
        <f aca="false">IF(ROUND(F295,2)=F295,"OK","FIX")</f>
        <v>OK</v>
      </c>
    </row>
    <row r="296" customFormat="false" ht="15" hidden="false" customHeight="false" outlineLevel="0" collapsed="false">
      <c r="A296" s="2" t="str">
        <f aca="false">TRIM(UPPER(Raw_Data!A296))</f>
        <v>ORD200294</v>
      </c>
      <c r="B296" s="3" t="n">
        <f aca="false">IF(ISNUMBER(Raw_Data!B296),Raw_Data!B296,DATEVALUE(Raw_Data!B296))</f>
        <v>45748</v>
      </c>
      <c r="C296" s="2" t="str">
        <f aca="false">TRIM(UPPER(Raw_Data!C296))</f>
        <v>C65414</v>
      </c>
      <c r="D296" s="2" t="str">
        <f aca="false">PROPER(TRIM(Raw_Data!D296))</f>
        <v>Phone</v>
      </c>
      <c r="E296" s="2" t="n">
        <f aca="false">Raw_Data!E296</f>
        <v>2</v>
      </c>
      <c r="F296" s="4" t="n">
        <f aca="false">ROUND(Raw_Data!F296,2)</f>
        <v>297.71</v>
      </c>
      <c r="G296" s="2" t="str">
        <f aca="false">PROPER(TRIM(Raw_Data!G296))</f>
        <v>208 Main St</v>
      </c>
      <c r="H296" s="2" t="str">
        <f aca="false">PROPER(TRIM(Raw_Data!H296))</f>
        <v>Online</v>
      </c>
      <c r="I296" s="2" t="str">
        <f aca="false">PROPER(TRIM(Raw_Data!I296))</f>
        <v>Shipped</v>
      </c>
      <c r="J296" s="2" t="str">
        <f aca="false">TRIM(UPPER(Raw_Data!J296))</f>
        <v>TRK67562517</v>
      </c>
      <c r="K296" s="2" t="n">
        <f aca="false">Raw_Data!K296</f>
        <v>7</v>
      </c>
      <c r="L296" s="2" t="str">
        <f aca="false">IF(TRIM(Raw_Data!L296)="","No Coupon",TRIM(UPPER(Raw_Data!L296)))</f>
        <v>SAVE10</v>
      </c>
      <c r="M296" s="2" t="str">
        <f aca="false">PROPER(TRIM(Raw_Data!M296))</f>
        <v>Referral</v>
      </c>
      <c r="N296" s="4" t="n">
        <f aca="false">ROUND(E296*F296,2)</f>
        <v>595.42</v>
      </c>
      <c r="O296" s="2" t="str">
        <f aca="false">IF(COUNTIF($A$2:$A$1201,A296)&gt;1,"DUPLICATE","Unique")</f>
        <v>Unique</v>
      </c>
      <c r="P296" s="2" t="str">
        <f aca="false">IF(L296="","MISSING","OK")</f>
        <v>OK</v>
      </c>
      <c r="Q296" s="2" t="str">
        <f aca="false">IF(ISNUMBER(B296),"OK","BAD DATE")</f>
        <v>OK</v>
      </c>
      <c r="R296" s="2" t="str">
        <f aca="false">IF(ROUND(F296,2)=F296,"OK","FIX")</f>
        <v>OK</v>
      </c>
    </row>
    <row r="297" customFormat="false" ht="15" hidden="false" customHeight="false" outlineLevel="0" collapsed="false">
      <c r="A297" s="2" t="str">
        <f aca="false">TRIM(UPPER(Raw_Data!A297))</f>
        <v>ORD200295</v>
      </c>
      <c r="B297" s="3" t="n">
        <f aca="false">IF(ISNUMBER(Raw_Data!B297),Raw_Data!B297,DATEVALUE(Raw_Data!B297))</f>
        <v>44951</v>
      </c>
      <c r="C297" s="2" t="str">
        <f aca="false">TRIM(UPPER(Raw_Data!C297))</f>
        <v>C49009</v>
      </c>
      <c r="D297" s="2" t="str">
        <f aca="false">PROPER(TRIM(Raw_Data!D297))</f>
        <v>Printer</v>
      </c>
      <c r="E297" s="2" t="n">
        <f aca="false">Raw_Data!E297</f>
        <v>5</v>
      </c>
      <c r="F297" s="4" t="n">
        <f aca="false">ROUND(Raw_Data!F297,2)</f>
        <v>107.48</v>
      </c>
      <c r="G297" s="2" t="str">
        <f aca="false">PROPER(TRIM(Raw_Data!G297))</f>
        <v>278 Main St</v>
      </c>
      <c r="H297" s="2" t="str">
        <f aca="false">PROPER(TRIM(Raw_Data!H297))</f>
        <v>Debit Card</v>
      </c>
      <c r="I297" s="2" t="str">
        <f aca="false">PROPER(TRIM(Raw_Data!I297))</f>
        <v>Cancelled</v>
      </c>
      <c r="J297" s="2" t="str">
        <f aca="false">TRIM(UPPER(Raw_Data!J297))</f>
        <v>TRK46285799</v>
      </c>
      <c r="K297" s="2" t="n">
        <f aca="false">Raw_Data!K297</f>
        <v>9</v>
      </c>
      <c r="L297" s="2" t="str">
        <f aca="false">IF(TRIM(Raw_Data!L297)="","No Coupon",TRIM(UPPER(Raw_Data!L297)))</f>
        <v>FREESHIP</v>
      </c>
      <c r="M297" s="2" t="str">
        <f aca="false">PROPER(TRIM(Raw_Data!M297))</f>
        <v>Email</v>
      </c>
      <c r="N297" s="4" t="n">
        <f aca="false">ROUND(E297*F297,2)</f>
        <v>537.4</v>
      </c>
      <c r="O297" s="2" t="str">
        <f aca="false">IF(COUNTIF($A$2:$A$1201,A297)&gt;1,"DUPLICATE","Unique")</f>
        <v>Unique</v>
      </c>
      <c r="P297" s="2" t="str">
        <f aca="false">IF(L297="","MISSING","OK")</f>
        <v>OK</v>
      </c>
      <c r="Q297" s="2" t="str">
        <f aca="false">IF(ISNUMBER(B297),"OK","BAD DATE")</f>
        <v>OK</v>
      </c>
      <c r="R297" s="2" t="str">
        <f aca="false">IF(ROUND(F297,2)=F297,"OK","FIX")</f>
        <v>OK</v>
      </c>
    </row>
    <row r="298" customFormat="false" ht="15" hidden="false" customHeight="false" outlineLevel="0" collapsed="false">
      <c r="A298" s="2" t="str">
        <f aca="false">TRIM(UPPER(Raw_Data!A298))</f>
        <v>ORD200296</v>
      </c>
      <c r="B298" s="3" t="n">
        <f aca="false">IF(ISNUMBER(Raw_Data!B298),Raw_Data!B298,DATEVALUE(Raw_Data!B298))</f>
        <v>45462</v>
      </c>
      <c r="C298" s="2" t="str">
        <f aca="false">TRIM(UPPER(Raw_Data!C298))</f>
        <v>C48453</v>
      </c>
      <c r="D298" s="2" t="str">
        <f aca="false">PROPER(TRIM(Raw_Data!D298))</f>
        <v>Desk</v>
      </c>
      <c r="E298" s="2" t="n">
        <f aca="false">Raw_Data!E298</f>
        <v>5</v>
      </c>
      <c r="F298" s="4" t="n">
        <f aca="false">ROUND(Raw_Data!F298,2)</f>
        <v>638.8</v>
      </c>
      <c r="G298" s="2" t="str">
        <f aca="false">PROPER(TRIM(Raw_Data!G298))</f>
        <v>434 Main St</v>
      </c>
      <c r="H298" s="2" t="str">
        <f aca="false">PROPER(TRIM(Raw_Data!H298))</f>
        <v>Debit Card</v>
      </c>
      <c r="I298" s="2" t="str">
        <f aca="false">PROPER(TRIM(Raw_Data!I298))</f>
        <v>Cancelled</v>
      </c>
      <c r="J298" s="2" t="str">
        <f aca="false">TRIM(UPPER(Raw_Data!J298))</f>
        <v>TRK52110494</v>
      </c>
      <c r="K298" s="2" t="n">
        <f aca="false">Raw_Data!K298</f>
        <v>10</v>
      </c>
      <c r="L298" s="2" t="str">
        <f aca="false">IF(TRIM(Raw_Data!L298)="","No Coupon",TRIM(UPPER(Raw_Data!L298)))</f>
        <v>WINTER15</v>
      </c>
      <c r="M298" s="2" t="str">
        <f aca="false">PROPER(TRIM(Raw_Data!M298))</f>
        <v>Referral</v>
      </c>
      <c r="N298" s="4" t="n">
        <f aca="false">ROUND(E298*F298,2)</f>
        <v>3194</v>
      </c>
      <c r="O298" s="2" t="str">
        <f aca="false">IF(COUNTIF($A$2:$A$1201,A298)&gt;1,"DUPLICATE","Unique")</f>
        <v>Unique</v>
      </c>
      <c r="P298" s="2" t="str">
        <f aca="false">IF(L298="","MISSING","OK")</f>
        <v>OK</v>
      </c>
      <c r="Q298" s="2" t="str">
        <f aca="false">IF(ISNUMBER(B298),"OK","BAD DATE")</f>
        <v>OK</v>
      </c>
      <c r="R298" s="2" t="str">
        <f aca="false">IF(ROUND(F298,2)=F298,"OK","FIX")</f>
        <v>OK</v>
      </c>
    </row>
    <row r="299" customFormat="false" ht="15" hidden="false" customHeight="false" outlineLevel="0" collapsed="false">
      <c r="A299" s="2" t="str">
        <f aca="false">TRIM(UPPER(Raw_Data!A299))</f>
        <v>ORD200297</v>
      </c>
      <c r="B299" s="3" t="n">
        <f aca="false">IF(ISNUMBER(Raw_Data!B299),Raw_Data!B299,DATEVALUE(Raw_Data!B299))</f>
        <v>44979</v>
      </c>
      <c r="C299" s="2" t="str">
        <f aca="false">TRIM(UPPER(Raw_Data!C299))</f>
        <v>C68078</v>
      </c>
      <c r="D299" s="2" t="str">
        <f aca="false">PROPER(TRIM(Raw_Data!D299))</f>
        <v>Desk</v>
      </c>
      <c r="E299" s="2" t="n">
        <f aca="false">Raw_Data!E299</f>
        <v>2</v>
      </c>
      <c r="F299" s="4" t="n">
        <f aca="false">ROUND(Raw_Data!F299,2)</f>
        <v>493.88</v>
      </c>
      <c r="G299" s="2" t="str">
        <f aca="false">PROPER(TRIM(Raw_Data!G299))</f>
        <v>252 Main St</v>
      </c>
      <c r="H299" s="2" t="str">
        <f aca="false">PROPER(TRIM(Raw_Data!H299))</f>
        <v>Credit Card</v>
      </c>
      <c r="I299" s="2" t="str">
        <f aca="false">PROPER(TRIM(Raw_Data!I299))</f>
        <v>Returned</v>
      </c>
      <c r="J299" s="2" t="str">
        <f aca="false">TRIM(UPPER(Raw_Data!J299))</f>
        <v>TRK64862812</v>
      </c>
      <c r="K299" s="2" t="n">
        <f aca="false">Raw_Data!K299</f>
        <v>7</v>
      </c>
      <c r="L299" s="2" t="str">
        <f aca="false">IF(TRIM(Raw_Data!L299)="","No Coupon",TRIM(UPPER(Raw_Data!L299)))</f>
        <v>SAVE10</v>
      </c>
      <c r="M299" s="2" t="str">
        <f aca="false">PROPER(TRIM(Raw_Data!M299))</f>
        <v>Instagram</v>
      </c>
      <c r="N299" s="4" t="n">
        <f aca="false">ROUND(E299*F299,2)</f>
        <v>987.76</v>
      </c>
      <c r="O299" s="2" t="str">
        <f aca="false">IF(COUNTIF($A$2:$A$1201,A299)&gt;1,"DUPLICATE","Unique")</f>
        <v>Unique</v>
      </c>
      <c r="P299" s="2" t="str">
        <f aca="false">IF(L299="","MISSING","OK")</f>
        <v>OK</v>
      </c>
      <c r="Q299" s="2" t="str">
        <f aca="false">IF(ISNUMBER(B299),"OK","BAD DATE")</f>
        <v>OK</v>
      </c>
      <c r="R299" s="2" t="str">
        <f aca="false">IF(ROUND(F299,2)=F299,"OK","FIX")</f>
        <v>OK</v>
      </c>
    </row>
    <row r="300" customFormat="false" ht="15" hidden="false" customHeight="false" outlineLevel="0" collapsed="false">
      <c r="A300" s="2" t="str">
        <f aca="false">TRIM(UPPER(Raw_Data!A300))</f>
        <v>ORD200298</v>
      </c>
      <c r="B300" s="3" t="n">
        <f aca="false">IF(ISNUMBER(Raw_Data!B300),Raw_Data!B300,DATEVALUE(Raw_Data!B300))</f>
        <v>45279</v>
      </c>
      <c r="C300" s="2" t="str">
        <f aca="false">TRIM(UPPER(Raw_Data!C300))</f>
        <v>C19402</v>
      </c>
      <c r="D300" s="2" t="str">
        <f aca="false">PROPER(TRIM(Raw_Data!D300))</f>
        <v>Printer</v>
      </c>
      <c r="E300" s="2" t="n">
        <f aca="false">Raw_Data!E300</f>
        <v>4</v>
      </c>
      <c r="F300" s="4" t="n">
        <f aca="false">ROUND(Raw_Data!F300,2)</f>
        <v>301.17</v>
      </c>
      <c r="G300" s="2" t="str">
        <f aca="false">PROPER(TRIM(Raw_Data!G300))</f>
        <v>267 Main St</v>
      </c>
      <c r="H300" s="2" t="str">
        <f aca="false">PROPER(TRIM(Raw_Data!H300))</f>
        <v>Online</v>
      </c>
      <c r="I300" s="2" t="str">
        <f aca="false">PROPER(TRIM(Raw_Data!I300))</f>
        <v>Cancelled</v>
      </c>
      <c r="J300" s="2" t="str">
        <f aca="false">TRIM(UPPER(Raw_Data!J300))</f>
        <v>TRK97825212</v>
      </c>
      <c r="K300" s="2" t="n">
        <f aca="false">Raw_Data!K300</f>
        <v>6</v>
      </c>
      <c r="L300" s="2" t="str">
        <f aca="false">IF(TRIM(Raw_Data!L300)="","No Coupon",TRIM(UPPER(Raw_Data!L300)))</f>
        <v>No Coupon</v>
      </c>
      <c r="M300" s="2" t="str">
        <f aca="false">PROPER(TRIM(Raw_Data!M300))</f>
        <v>Email</v>
      </c>
      <c r="N300" s="4" t="n">
        <f aca="false">ROUND(E300*F300,2)</f>
        <v>1204.68</v>
      </c>
      <c r="O300" s="2" t="str">
        <f aca="false">IF(COUNTIF($A$2:$A$1201,A300)&gt;1,"DUPLICATE","Unique")</f>
        <v>Unique</v>
      </c>
      <c r="P300" s="2" t="str">
        <f aca="false">IF(L300="","MISSING","OK")</f>
        <v>OK</v>
      </c>
      <c r="Q300" s="2" t="str">
        <f aca="false">IF(ISNUMBER(B300),"OK","BAD DATE")</f>
        <v>OK</v>
      </c>
      <c r="R300" s="2" t="str">
        <f aca="false">IF(ROUND(F300,2)=F300,"OK","FIX")</f>
        <v>OK</v>
      </c>
    </row>
    <row r="301" customFormat="false" ht="15" hidden="false" customHeight="false" outlineLevel="0" collapsed="false">
      <c r="A301" s="2" t="str">
        <f aca="false">TRIM(UPPER(Raw_Data!A301))</f>
        <v>ORD200299</v>
      </c>
      <c r="B301" s="3" t="n">
        <f aca="false">IF(ISNUMBER(Raw_Data!B301),Raw_Data!B301,DATEVALUE(Raw_Data!B301))</f>
        <v>45311</v>
      </c>
      <c r="C301" s="2" t="str">
        <f aca="false">TRIM(UPPER(Raw_Data!C301))</f>
        <v>C30711</v>
      </c>
      <c r="D301" s="2" t="str">
        <f aca="false">PROPER(TRIM(Raw_Data!D301))</f>
        <v>Monitor</v>
      </c>
      <c r="E301" s="2" t="n">
        <f aca="false">Raw_Data!E301</f>
        <v>1</v>
      </c>
      <c r="F301" s="4" t="n">
        <f aca="false">ROUND(Raw_Data!F301,2)</f>
        <v>278.66</v>
      </c>
      <c r="G301" s="2" t="str">
        <f aca="false">PROPER(TRIM(Raw_Data!G301))</f>
        <v>856 Main St</v>
      </c>
      <c r="H301" s="2" t="str">
        <f aca="false">PROPER(TRIM(Raw_Data!H301))</f>
        <v>Gift Card</v>
      </c>
      <c r="I301" s="2" t="str">
        <f aca="false">PROPER(TRIM(Raw_Data!I301))</f>
        <v>Cancelled</v>
      </c>
      <c r="J301" s="2" t="str">
        <f aca="false">TRIM(UPPER(Raw_Data!J301))</f>
        <v>TRK42696593</v>
      </c>
      <c r="K301" s="2" t="n">
        <f aca="false">Raw_Data!K301</f>
        <v>2</v>
      </c>
      <c r="L301" s="2" t="str">
        <f aca="false">IF(TRIM(Raw_Data!L301)="","No Coupon",TRIM(UPPER(Raw_Data!L301)))</f>
        <v>FREESHIP</v>
      </c>
      <c r="M301" s="2" t="str">
        <f aca="false">PROPER(TRIM(Raw_Data!M301))</f>
        <v>Instagram</v>
      </c>
      <c r="N301" s="4" t="n">
        <f aca="false">ROUND(E301*F301,2)</f>
        <v>278.66</v>
      </c>
      <c r="O301" s="2" t="str">
        <f aca="false">IF(COUNTIF($A$2:$A$1201,A301)&gt;1,"DUPLICATE","Unique")</f>
        <v>Unique</v>
      </c>
      <c r="P301" s="2" t="str">
        <f aca="false">IF(L301="","MISSING","OK")</f>
        <v>OK</v>
      </c>
      <c r="Q301" s="2" t="str">
        <f aca="false">IF(ISNUMBER(B301),"OK","BAD DATE")</f>
        <v>OK</v>
      </c>
      <c r="R301" s="2" t="str">
        <f aca="false">IF(ROUND(F301,2)=F301,"OK","FIX")</f>
        <v>OK</v>
      </c>
    </row>
    <row r="302" customFormat="false" ht="15" hidden="false" customHeight="false" outlineLevel="0" collapsed="false">
      <c r="A302" s="2" t="str">
        <f aca="false">TRIM(UPPER(Raw_Data!A302))</f>
        <v>ORD200300</v>
      </c>
      <c r="B302" s="3" t="n">
        <f aca="false">IF(ISNUMBER(Raw_Data!B302),Raw_Data!B302,DATEVALUE(Raw_Data!B302))</f>
        <v>45537</v>
      </c>
      <c r="C302" s="2" t="str">
        <f aca="false">TRIM(UPPER(Raw_Data!C302))</f>
        <v>C39000</v>
      </c>
      <c r="D302" s="2" t="str">
        <f aca="false">PROPER(TRIM(Raw_Data!D302))</f>
        <v>Phone</v>
      </c>
      <c r="E302" s="2" t="n">
        <f aca="false">Raw_Data!E302</f>
        <v>1</v>
      </c>
      <c r="F302" s="4" t="n">
        <f aca="false">ROUND(Raw_Data!F302,2)</f>
        <v>287.46</v>
      </c>
      <c r="G302" s="2" t="str">
        <f aca="false">PROPER(TRIM(Raw_Data!G302))</f>
        <v>894 Main St</v>
      </c>
      <c r="H302" s="2" t="str">
        <f aca="false">PROPER(TRIM(Raw_Data!H302))</f>
        <v>Debit Card</v>
      </c>
      <c r="I302" s="2" t="str">
        <f aca="false">PROPER(TRIM(Raw_Data!I302))</f>
        <v>Returned</v>
      </c>
      <c r="J302" s="2" t="str">
        <f aca="false">TRIM(UPPER(Raw_Data!J302))</f>
        <v>TRK33753945</v>
      </c>
      <c r="K302" s="2" t="n">
        <f aca="false">Raw_Data!K302</f>
        <v>3</v>
      </c>
      <c r="L302" s="2" t="str">
        <f aca="false">IF(TRIM(Raw_Data!L302)="","No Coupon",TRIM(UPPER(Raw_Data!L302)))</f>
        <v>FREESHIP</v>
      </c>
      <c r="M302" s="2" t="str">
        <f aca="false">PROPER(TRIM(Raw_Data!M302))</f>
        <v>Facebook</v>
      </c>
      <c r="N302" s="4" t="n">
        <f aca="false">ROUND(E302*F302,2)</f>
        <v>287.46</v>
      </c>
      <c r="O302" s="2" t="str">
        <f aca="false">IF(COUNTIF($A$2:$A$1201,A302)&gt;1,"DUPLICATE","Unique")</f>
        <v>Unique</v>
      </c>
      <c r="P302" s="2" t="str">
        <f aca="false">IF(L302="","MISSING","OK")</f>
        <v>OK</v>
      </c>
      <c r="Q302" s="2" t="str">
        <f aca="false">IF(ISNUMBER(B302),"OK","BAD DATE")</f>
        <v>OK</v>
      </c>
      <c r="R302" s="2" t="str">
        <f aca="false">IF(ROUND(F302,2)=F302,"OK","FIX")</f>
        <v>OK</v>
      </c>
    </row>
    <row r="303" customFormat="false" ht="15" hidden="false" customHeight="false" outlineLevel="0" collapsed="false">
      <c r="A303" s="2" t="str">
        <f aca="false">TRIM(UPPER(Raw_Data!A303))</f>
        <v>ORD200301</v>
      </c>
      <c r="B303" s="3" t="n">
        <f aca="false">IF(ISNUMBER(Raw_Data!B303),Raw_Data!B303,DATEVALUE(Raw_Data!B303))</f>
        <v>45057</v>
      </c>
      <c r="C303" s="2" t="str">
        <f aca="false">TRIM(UPPER(Raw_Data!C303))</f>
        <v>C31105</v>
      </c>
      <c r="D303" s="2" t="str">
        <f aca="false">PROPER(TRIM(Raw_Data!D303))</f>
        <v>Chair</v>
      </c>
      <c r="E303" s="2" t="n">
        <f aca="false">Raw_Data!E303</f>
        <v>1</v>
      </c>
      <c r="F303" s="4" t="n">
        <f aca="false">ROUND(Raw_Data!F303,2)</f>
        <v>583.99</v>
      </c>
      <c r="G303" s="2" t="str">
        <f aca="false">PROPER(TRIM(Raw_Data!G303))</f>
        <v>726 Main St</v>
      </c>
      <c r="H303" s="2" t="str">
        <f aca="false">PROPER(TRIM(Raw_Data!H303))</f>
        <v>Cash</v>
      </c>
      <c r="I303" s="2" t="str">
        <f aca="false">PROPER(TRIM(Raw_Data!I303))</f>
        <v>Cancelled</v>
      </c>
      <c r="J303" s="2" t="str">
        <f aca="false">TRIM(UPPER(Raw_Data!J303))</f>
        <v>TRK40149095</v>
      </c>
      <c r="K303" s="2" t="n">
        <f aca="false">Raw_Data!K303</f>
        <v>2</v>
      </c>
      <c r="L303" s="2" t="str">
        <f aca="false">IF(TRIM(Raw_Data!L303)="","No Coupon",TRIM(UPPER(Raw_Data!L303)))</f>
        <v>SAVE10</v>
      </c>
      <c r="M303" s="2" t="str">
        <f aca="false">PROPER(TRIM(Raw_Data!M303))</f>
        <v>Email</v>
      </c>
      <c r="N303" s="4" t="n">
        <f aca="false">ROUND(E303*F303,2)</f>
        <v>583.99</v>
      </c>
      <c r="O303" s="2" t="str">
        <f aca="false">IF(COUNTIF($A$2:$A$1201,A303)&gt;1,"DUPLICATE","Unique")</f>
        <v>Unique</v>
      </c>
      <c r="P303" s="2" t="str">
        <f aca="false">IF(L303="","MISSING","OK")</f>
        <v>OK</v>
      </c>
      <c r="Q303" s="2" t="str">
        <f aca="false">IF(ISNUMBER(B303),"OK","BAD DATE")</f>
        <v>OK</v>
      </c>
      <c r="R303" s="2" t="str">
        <f aca="false">IF(ROUND(F303,2)=F303,"OK","FIX")</f>
        <v>OK</v>
      </c>
    </row>
    <row r="304" customFormat="false" ht="15" hidden="false" customHeight="false" outlineLevel="0" collapsed="false">
      <c r="A304" s="2" t="str">
        <f aca="false">TRIM(UPPER(Raw_Data!A304))</f>
        <v>ORD200302</v>
      </c>
      <c r="B304" s="3" t="n">
        <f aca="false">IF(ISNUMBER(Raw_Data!B304),Raw_Data!B304,DATEVALUE(Raw_Data!B304))</f>
        <v>45062</v>
      </c>
      <c r="C304" s="2" t="str">
        <f aca="false">TRIM(UPPER(Raw_Data!C304))</f>
        <v>C29432</v>
      </c>
      <c r="D304" s="2" t="str">
        <f aca="false">PROPER(TRIM(Raw_Data!D304))</f>
        <v>Chair</v>
      </c>
      <c r="E304" s="2" t="n">
        <f aca="false">Raw_Data!E304</f>
        <v>3</v>
      </c>
      <c r="F304" s="4" t="n">
        <f aca="false">ROUND(Raw_Data!F304,2)</f>
        <v>468.74</v>
      </c>
      <c r="G304" s="2" t="str">
        <f aca="false">PROPER(TRIM(Raw_Data!G304))</f>
        <v>121 Main St</v>
      </c>
      <c r="H304" s="2" t="str">
        <f aca="false">PROPER(TRIM(Raw_Data!H304))</f>
        <v>Cash</v>
      </c>
      <c r="I304" s="2" t="str">
        <f aca="false">PROPER(TRIM(Raw_Data!I304))</f>
        <v>Pending</v>
      </c>
      <c r="J304" s="2" t="str">
        <f aca="false">TRIM(UPPER(Raw_Data!J304))</f>
        <v>TRK44142517</v>
      </c>
      <c r="K304" s="2" t="n">
        <f aca="false">Raw_Data!K304</f>
        <v>4</v>
      </c>
      <c r="L304" s="2" t="str">
        <f aca="false">IF(TRIM(Raw_Data!L304)="","No Coupon",TRIM(UPPER(Raw_Data!L304)))</f>
        <v>FREESHIP</v>
      </c>
      <c r="M304" s="2" t="str">
        <f aca="false">PROPER(TRIM(Raw_Data!M304))</f>
        <v>Instagram</v>
      </c>
      <c r="N304" s="4" t="n">
        <f aca="false">ROUND(E304*F304,2)</f>
        <v>1406.22</v>
      </c>
      <c r="O304" s="2" t="str">
        <f aca="false">IF(COUNTIF($A$2:$A$1201,A304)&gt;1,"DUPLICATE","Unique")</f>
        <v>Unique</v>
      </c>
      <c r="P304" s="2" t="str">
        <f aca="false">IF(L304="","MISSING","OK")</f>
        <v>OK</v>
      </c>
      <c r="Q304" s="2" t="str">
        <f aca="false">IF(ISNUMBER(B304),"OK","BAD DATE")</f>
        <v>OK</v>
      </c>
      <c r="R304" s="2" t="str">
        <f aca="false">IF(ROUND(F304,2)=F304,"OK","FIX")</f>
        <v>OK</v>
      </c>
    </row>
    <row r="305" customFormat="false" ht="15" hidden="false" customHeight="false" outlineLevel="0" collapsed="false">
      <c r="A305" s="2" t="str">
        <f aca="false">TRIM(UPPER(Raw_Data!A305))</f>
        <v>ORD200303</v>
      </c>
      <c r="B305" s="3" t="n">
        <f aca="false">IF(ISNUMBER(Raw_Data!B305),Raw_Data!B305,DATEVALUE(Raw_Data!B305))</f>
        <v>45633</v>
      </c>
      <c r="C305" s="2" t="str">
        <f aca="false">TRIM(UPPER(Raw_Data!C305))</f>
        <v>C48531</v>
      </c>
      <c r="D305" s="2" t="str">
        <f aca="false">PROPER(TRIM(Raw_Data!D305))</f>
        <v>Tablet</v>
      </c>
      <c r="E305" s="2" t="n">
        <f aca="false">Raw_Data!E305</f>
        <v>1</v>
      </c>
      <c r="F305" s="4" t="n">
        <f aca="false">ROUND(Raw_Data!F305,2)</f>
        <v>30.54</v>
      </c>
      <c r="G305" s="2" t="str">
        <f aca="false">PROPER(TRIM(Raw_Data!G305))</f>
        <v>368 Main St</v>
      </c>
      <c r="H305" s="2" t="str">
        <f aca="false">PROPER(TRIM(Raw_Data!H305))</f>
        <v>Debit Card</v>
      </c>
      <c r="I305" s="2" t="str">
        <f aca="false">PROPER(TRIM(Raw_Data!I305))</f>
        <v>Returned</v>
      </c>
      <c r="J305" s="2" t="str">
        <f aca="false">TRIM(UPPER(Raw_Data!J305))</f>
        <v>TRK95462192</v>
      </c>
      <c r="K305" s="2" t="n">
        <f aca="false">Raw_Data!K305</f>
        <v>1</v>
      </c>
      <c r="L305" s="2" t="str">
        <f aca="false">IF(TRIM(Raw_Data!L305)="","No Coupon",TRIM(UPPER(Raw_Data!L305)))</f>
        <v>No Coupon</v>
      </c>
      <c r="M305" s="2" t="str">
        <f aca="false">PROPER(TRIM(Raw_Data!M305))</f>
        <v>Google</v>
      </c>
      <c r="N305" s="4" t="n">
        <f aca="false">ROUND(E305*F305,2)</f>
        <v>30.54</v>
      </c>
      <c r="O305" s="2" t="str">
        <f aca="false">IF(COUNTIF($A$2:$A$1201,A305)&gt;1,"DUPLICATE","Unique")</f>
        <v>Unique</v>
      </c>
      <c r="P305" s="2" t="str">
        <f aca="false">IF(L305="","MISSING","OK")</f>
        <v>OK</v>
      </c>
      <c r="Q305" s="2" t="str">
        <f aca="false">IF(ISNUMBER(B305),"OK","BAD DATE")</f>
        <v>OK</v>
      </c>
      <c r="R305" s="2" t="str">
        <f aca="false">IF(ROUND(F305,2)=F305,"OK","FIX")</f>
        <v>OK</v>
      </c>
    </row>
    <row r="306" customFormat="false" ht="15" hidden="false" customHeight="false" outlineLevel="0" collapsed="false">
      <c r="A306" s="2" t="str">
        <f aca="false">TRIM(UPPER(Raw_Data!A306))</f>
        <v>ORD200304</v>
      </c>
      <c r="B306" s="3" t="n">
        <f aca="false">IF(ISNUMBER(Raw_Data!B306),Raw_Data!B306,DATEVALUE(Raw_Data!B306))</f>
        <v>45583</v>
      </c>
      <c r="C306" s="2" t="str">
        <f aca="false">TRIM(UPPER(Raw_Data!C306))</f>
        <v>C86762</v>
      </c>
      <c r="D306" s="2" t="str">
        <f aca="false">PROPER(TRIM(Raw_Data!D306))</f>
        <v>Monitor</v>
      </c>
      <c r="E306" s="2" t="n">
        <f aca="false">Raw_Data!E306</f>
        <v>5</v>
      </c>
      <c r="F306" s="4" t="n">
        <f aca="false">ROUND(Raw_Data!F306,2)</f>
        <v>408.73</v>
      </c>
      <c r="G306" s="2" t="str">
        <f aca="false">PROPER(TRIM(Raw_Data!G306))</f>
        <v>326 Main St</v>
      </c>
      <c r="H306" s="2" t="str">
        <f aca="false">PROPER(TRIM(Raw_Data!H306))</f>
        <v>Gift Card</v>
      </c>
      <c r="I306" s="2" t="str">
        <f aca="false">PROPER(TRIM(Raw_Data!I306))</f>
        <v>Delivered</v>
      </c>
      <c r="J306" s="2" t="str">
        <f aca="false">TRIM(UPPER(Raw_Data!J306))</f>
        <v>TRK75686292</v>
      </c>
      <c r="K306" s="2" t="n">
        <f aca="false">Raw_Data!K306</f>
        <v>10</v>
      </c>
      <c r="L306" s="2" t="str">
        <f aca="false">IF(TRIM(Raw_Data!L306)="","No Coupon",TRIM(UPPER(Raw_Data!L306)))</f>
        <v>FREESHIP</v>
      </c>
      <c r="M306" s="2" t="str">
        <f aca="false">PROPER(TRIM(Raw_Data!M306))</f>
        <v>Instagram</v>
      </c>
      <c r="N306" s="4" t="n">
        <f aca="false">ROUND(E306*F306,2)</f>
        <v>2043.65</v>
      </c>
      <c r="O306" s="2" t="str">
        <f aca="false">IF(COUNTIF($A$2:$A$1201,A306)&gt;1,"DUPLICATE","Unique")</f>
        <v>Unique</v>
      </c>
      <c r="P306" s="2" t="str">
        <f aca="false">IF(L306="","MISSING","OK")</f>
        <v>OK</v>
      </c>
      <c r="Q306" s="2" t="str">
        <f aca="false">IF(ISNUMBER(B306),"OK","BAD DATE")</f>
        <v>OK</v>
      </c>
      <c r="R306" s="2" t="str">
        <f aca="false">IF(ROUND(F306,2)=F306,"OK","FIX")</f>
        <v>OK</v>
      </c>
    </row>
    <row r="307" customFormat="false" ht="15" hidden="false" customHeight="false" outlineLevel="0" collapsed="false">
      <c r="A307" s="2" t="str">
        <f aca="false">TRIM(UPPER(Raw_Data!A307))</f>
        <v>ORD200305</v>
      </c>
      <c r="B307" s="3" t="n">
        <f aca="false">IF(ISNUMBER(Raw_Data!B307),Raw_Data!B307,DATEVALUE(Raw_Data!B307))</f>
        <v>45255</v>
      </c>
      <c r="C307" s="2" t="str">
        <f aca="false">TRIM(UPPER(Raw_Data!C307))</f>
        <v>C63822</v>
      </c>
      <c r="D307" s="2" t="str">
        <f aca="false">PROPER(TRIM(Raw_Data!D307))</f>
        <v>Laptop</v>
      </c>
      <c r="E307" s="2" t="n">
        <f aca="false">Raw_Data!E307</f>
        <v>4</v>
      </c>
      <c r="F307" s="4" t="n">
        <f aca="false">ROUND(Raw_Data!F307,2)</f>
        <v>126.89</v>
      </c>
      <c r="G307" s="2" t="str">
        <f aca="false">PROPER(TRIM(Raw_Data!G307))</f>
        <v>235 Main St</v>
      </c>
      <c r="H307" s="2" t="str">
        <f aca="false">PROPER(TRIM(Raw_Data!H307))</f>
        <v>Cash</v>
      </c>
      <c r="I307" s="2" t="str">
        <f aca="false">PROPER(TRIM(Raw_Data!I307))</f>
        <v>Pending</v>
      </c>
      <c r="J307" s="2" t="str">
        <f aca="false">TRIM(UPPER(Raw_Data!J307))</f>
        <v>TRK59353216</v>
      </c>
      <c r="K307" s="2" t="n">
        <f aca="false">Raw_Data!K307</f>
        <v>9</v>
      </c>
      <c r="L307" s="2" t="str">
        <f aca="false">IF(TRIM(Raw_Data!L307)="","No Coupon",TRIM(UPPER(Raw_Data!L307)))</f>
        <v>FREESHIP</v>
      </c>
      <c r="M307" s="2" t="str">
        <f aca="false">PROPER(TRIM(Raw_Data!M307))</f>
        <v>Instagram</v>
      </c>
      <c r="N307" s="4" t="n">
        <f aca="false">ROUND(E307*F307,2)</f>
        <v>507.56</v>
      </c>
      <c r="O307" s="2" t="str">
        <f aca="false">IF(COUNTIF($A$2:$A$1201,A307)&gt;1,"DUPLICATE","Unique")</f>
        <v>Unique</v>
      </c>
      <c r="P307" s="2" t="str">
        <f aca="false">IF(L307="","MISSING","OK")</f>
        <v>OK</v>
      </c>
      <c r="Q307" s="2" t="str">
        <f aca="false">IF(ISNUMBER(B307),"OK","BAD DATE")</f>
        <v>OK</v>
      </c>
      <c r="R307" s="2" t="str">
        <f aca="false">IF(ROUND(F307,2)=F307,"OK","FIX")</f>
        <v>OK</v>
      </c>
    </row>
    <row r="308" customFormat="false" ht="15" hidden="false" customHeight="false" outlineLevel="0" collapsed="false">
      <c r="A308" s="2" t="str">
        <f aca="false">TRIM(UPPER(Raw_Data!A308))</f>
        <v>ORD200306</v>
      </c>
      <c r="B308" s="3" t="n">
        <f aca="false">IF(ISNUMBER(Raw_Data!B308),Raw_Data!B308,DATEVALUE(Raw_Data!B308))</f>
        <v>45450</v>
      </c>
      <c r="C308" s="2" t="str">
        <f aca="false">TRIM(UPPER(Raw_Data!C308))</f>
        <v>C70495</v>
      </c>
      <c r="D308" s="2" t="str">
        <f aca="false">PROPER(TRIM(Raw_Data!D308))</f>
        <v>Printer</v>
      </c>
      <c r="E308" s="2" t="n">
        <f aca="false">Raw_Data!E308</f>
        <v>2</v>
      </c>
      <c r="F308" s="4" t="n">
        <f aca="false">ROUND(Raw_Data!F308,2)</f>
        <v>57.07</v>
      </c>
      <c r="G308" s="2" t="str">
        <f aca="false">PROPER(TRIM(Raw_Data!G308))</f>
        <v>238 Main St</v>
      </c>
      <c r="H308" s="2" t="str">
        <f aca="false">PROPER(TRIM(Raw_Data!H308))</f>
        <v>Debit Card</v>
      </c>
      <c r="I308" s="2" t="str">
        <f aca="false">PROPER(TRIM(Raw_Data!I308))</f>
        <v>Returned</v>
      </c>
      <c r="J308" s="2" t="str">
        <f aca="false">TRIM(UPPER(Raw_Data!J308))</f>
        <v>TRK65511225</v>
      </c>
      <c r="K308" s="2" t="n">
        <f aca="false">Raw_Data!K308</f>
        <v>3</v>
      </c>
      <c r="L308" s="2" t="str">
        <f aca="false">IF(TRIM(Raw_Data!L308)="","No Coupon",TRIM(UPPER(Raw_Data!L308)))</f>
        <v>SAVE10</v>
      </c>
      <c r="M308" s="2" t="str">
        <f aca="false">PROPER(TRIM(Raw_Data!M308))</f>
        <v>Instagram</v>
      </c>
      <c r="N308" s="4" t="n">
        <f aca="false">ROUND(E308*F308,2)</f>
        <v>114.14</v>
      </c>
      <c r="O308" s="2" t="str">
        <f aca="false">IF(COUNTIF($A$2:$A$1201,A308)&gt;1,"DUPLICATE","Unique")</f>
        <v>Unique</v>
      </c>
      <c r="P308" s="2" t="str">
        <f aca="false">IF(L308="","MISSING","OK")</f>
        <v>OK</v>
      </c>
      <c r="Q308" s="2" t="str">
        <f aca="false">IF(ISNUMBER(B308),"OK","BAD DATE")</f>
        <v>OK</v>
      </c>
      <c r="R308" s="2" t="str">
        <f aca="false">IF(ROUND(F308,2)=F308,"OK","FIX")</f>
        <v>OK</v>
      </c>
    </row>
    <row r="309" customFormat="false" ht="15" hidden="false" customHeight="false" outlineLevel="0" collapsed="false">
      <c r="A309" s="2" t="str">
        <f aca="false">TRIM(UPPER(Raw_Data!A309))</f>
        <v>ORD200307</v>
      </c>
      <c r="B309" s="3" t="n">
        <f aca="false">IF(ISNUMBER(Raw_Data!B309),Raw_Data!B309,DATEVALUE(Raw_Data!B309))</f>
        <v>45108</v>
      </c>
      <c r="C309" s="2" t="str">
        <f aca="false">TRIM(UPPER(Raw_Data!C309))</f>
        <v>C92407</v>
      </c>
      <c r="D309" s="2" t="str">
        <f aca="false">PROPER(TRIM(Raw_Data!D309))</f>
        <v>Laptop</v>
      </c>
      <c r="E309" s="2" t="n">
        <f aca="false">Raw_Data!E309</f>
        <v>3</v>
      </c>
      <c r="F309" s="4" t="n">
        <f aca="false">ROUND(Raw_Data!F309,2)</f>
        <v>557.41</v>
      </c>
      <c r="G309" s="2" t="str">
        <f aca="false">PROPER(TRIM(Raw_Data!G309))</f>
        <v>135 Main St</v>
      </c>
      <c r="H309" s="2" t="str">
        <f aca="false">PROPER(TRIM(Raw_Data!H309))</f>
        <v>Online</v>
      </c>
      <c r="I309" s="2" t="str">
        <f aca="false">PROPER(TRIM(Raw_Data!I309))</f>
        <v>Delivered</v>
      </c>
      <c r="J309" s="2" t="str">
        <f aca="false">TRIM(UPPER(Raw_Data!J309))</f>
        <v>TRK11755610</v>
      </c>
      <c r="K309" s="2" t="n">
        <f aca="false">Raw_Data!K309</f>
        <v>4</v>
      </c>
      <c r="L309" s="2" t="str">
        <f aca="false">IF(TRIM(Raw_Data!L309)="","No Coupon",TRIM(UPPER(Raw_Data!L309)))</f>
        <v>No Coupon</v>
      </c>
      <c r="M309" s="2" t="str">
        <f aca="false">PROPER(TRIM(Raw_Data!M309))</f>
        <v>Email</v>
      </c>
      <c r="N309" s="4" t="n">
        <f aca="false">ROUND(E309*F309,2)</f>
        <v>1672.23</v>
      </c>
      <c r="O309" s="2" t="str">
        <f aca="false">IF(COUNTIF($A$2:$A$1201,A309)&gt;1,"DUPLICATE","Unique")</f>
        <v>Unique</v>
      </c>
      <c r="P309" s="2" t="str">
        <f aca="false">IF(L309="","MISSING","OK")</f>
        <v>OK</v>
      </c>
      <c r="Q309" s="2" t="str">
        <f aca="false">IF(ISNUMBER(B309),"OK","BAD DATE")</f>
        <v>OK</v>
      </c>
      <c r="R309" s="2" t="str">
        <f aca="false">IF(ROUND(F309,2)=F309,"OK","FIX")</f>
        <v>OK</v>
      </c>
    </row>
    <row r="310" customFormat="false" ht="15" hidden="false" customHeight="false" outlineLevel="0" collapsed="false">
      <c r="A310" s="2" t="str">
        <f aca="false">TRIM(UPPER(Raw_Data!A310))</f>
        <v>ORD200308</v>
      </c>
      <c r="B310" s="3" t="n">
        <f aca="false">IF(ISNUMBER(Raw_Data!B310),Raw_Data!B310,DATEVALUE(Raw_Data!B310))</f>
        <v>45271</v>
      </c>
      <c r="C310" s="2" t="str">
        <f aca="false">TRIM(UPPER(Raw_Data!C310))</f>
        <v>C75888</v>
      </c>
      <c r="D310" s="2" t="str">
        <f aca="false">PROPER(TRIM(Raw_Data!D310))</f>
        <v>Printer</v>
      </c>
      <c r="E310" s="2" t="n">
        <f aca="false">Raw_Data!E310</f>
        <v>3</v>
      </c>
      <c r="F310" s="4" t="n">
        <f aca="false">ROUND(Raw_Data!F310,2)</f>
        <v>448.9</v>
      </c>
      <c r="G310" s="2" t="str">
        <f aca="false">PROPER(TRIM(Raw_Data!G310))</f>
        <v>790 Main St</v>
      </c>
      <c r="H310" s="2" t="str">
        <f aca="false">PROPER(TRIM(Raw_Data!H310))</f>
        <v>Debit Card</v>
      </c>
      <c r="I310" s="2" t="str">
        <f aca="false">PROPER(TRIM(Raw_Data!I310))</f>
        <v>Returned</v>
      </c>
      <c r="J310" s="2" t="str">
        <f aca="false">TRIM(UPPER(Raw_Data!J310))</f>
        <v>TRK98467398</v>
      </c>
      <c r="K310" s="2" t="n">
        <f aca="false">Raw_Data!K310</f>
        <v>7</v>
      </c>
      <c r="L310" s="2" t="str">
        <f aca="false">IF(TRIM(Raw_Data!L310)="","No Coupon",TRIM(UPPER(Raw_Data!L310)))</f>
        <v>SAVE10</v>
      </c>
      <c r="M310" s="2" t="str">
        <f aca="false">PROPER(TRIM(Raw_Data!M310))</f>
        <v>Instagram</v>
      </c>
      <c r="N310" s="4" t="n">
        <f aca="false">ROUND(E310*F310,2)</f>
        <v>1346.7</v>
      </c>
      <c r="O310" s="2" t="str">
        <f aca="false">IF(COUNTIF($A$2:$A$1201,A310)&gt;1,"DUPLICATE","Unique")</f>
        <v>Unique</v>
      </c>
      <c r="P310" s="2" t="str">
        <f aca="false">IF(L310="","MISSING","OK")</f>
        <v>OK</v>
      </c>
      <c r="Q310" s="2" t="str">
        <f aca="false">IF(ISNUMBER(B310),"OK","BAD DATE")</f>
        <v>OK</v>
      </c>
      <c r="R310" s="2" t="str">
        <f aca="false">IF(ROUND(F310,2)=F310,"OK","FIX")</f>
        <v>OK</v>
      </c>
    </row>
    <row r="311" customFormat="false" ht="15" hidden="false" customHeight="false" outlineLevel="0" collapsed="false">
      <c r="A311" s="2" t="str">
        <f aca="false">TRIM(UPPER(Raw_Data!A311))</f>
        <v>ORD200309</v>
      </c>
      <c r="B311" s="3" t="n">
        <f aca="false">IF(ISNUMBER(Raw_Data!B311),Raw_Data!B311,DATEVALUE(Raw_Data!B311))</f>
        <v>45202</v>
      </c>
      <c r="C311" s="2" t="str">
        <f aca="false">TRIM(UPPER(Raw_Data!C311))</f>
        <v>C63153</v>
      </c>
      <c r="D311" s="2" t="str">
        <f aca="false">PROPER(TRIM(Raw_Data!D311))</f>
        <v>Chair</v>
      </c>
      <c r="E311" s="2" t="n">
        <f aca="false">Raw_Data!E311</f>
        <v>4</v>
      </c>
      <c r="F311" s="4" t="n">
        <f aca="false">ROUND(Raw_Data!F311,2)</f>
        <v>549.76</v>
      </c>
      <c r="G311" s="2" t="str">
        <f aca="false">PROPER(TRIM(Raw_Data!G311))</f>
        <v>625 Main St</v>
      </c>
      <c r="H311" s="2" t="str">
        <f aca="false">PROPER(TRIM(Raw_Data!H311))</f>
        <v>Debit Card</v>
      </c>
      <c r="I311" s="2" t="str">
        <f aca="false">PROPER(TRIM(Raw_Data!I311))</f>
        <v>Delivered</v>
      </c>
      <c r="J311" s="2" t="str">
        <f aca="false">TRIM(UPPER(Raw_Data!J311))</f>
        <v>TRK38033305</v>
      </c>
      <c r="K311" s="2" t="n">
        <f aca="false">Raw_Data!K311</f>
        <v>4</v>
      </c>
      <c r="L311" s="2" t="str">
        <f aca="false">IF(TRIM(Raw_Data!L311)="","No Coupon",TRIM(UPPER(Raw_Data!L311)))</f>
        <v>FREESHIP</v>
      </c>
      <c r="M311" s="2" t="str">
        <f aca="false">PROPER(TRIM(Raw_Data!M311))</f>
        <v>Facebook</v>
      </c>
      <c r="N311" s="4" t="n">
        <f aca="false">ROUND(E311*F311,2)</f>
        <v>2199.04</v>
      </c>
      <c r="O311" s="2" t="str">
        <f aca="false">IF(COUNTIF($A$2:$A$1201,A311)&gt;1,"DUPLICATE","Unique")</f>
        <v>Unique</v>
      </c>
      <c r="P311" s="2" t="str">
        <f aca="false">IF(L311="","MISSING","OK")</f>
        <v>OK</v>
      </c>
      <c r="Q311" s="2" t="str">
        <f aca="false">IF(ISNUMBER(B311),"OK","BAD DATE")</f>
        <v>OK</v>
      </c>
      <c r="R311" s="2" t="str">
        <f aca="false">IF(ROUND(F311,2)=F311,"OK","FIX")</f>
        <v>OK</v>
      </c>
    </row>
    <row r="312" customFormat="false" ht="15" hidden="false" customHeight="false" outlineLevel="0" collapsed="false">
      <c r="A312" s="2" t="str">
        <f aca="false">TRIM(UPPER(Raw_Data!A312))</f>
        <v>ORD200310</v>
      </c>
      <c r="B312" s="3" t="n">
        <f aca="false">IF(ISNUMBER(Raw_Data!B312),Raw_Data!B312,DATEVALUE(Raw_Data!B312))</f>
        <v>45346</v>
      </c>
      <c r="C312" s="2" t="str">
        <f aca="false">TRIM(UPPER(Raw_Data!C312))</f>
        <v>C85863</v>
      </c>
      <c r="D312" s="2" t="str">
        <f aca="false">PROPER(TRIM(Raw_Data!D312))</f>
        <v>Printer</v>
      </c>
      <c r="E312" s="2" t="n">
        <f aca="false">Raw_Data!E312</f>
        <v>3</v>
      </c>
      <c r="F312" s="4" t="n">
        <f aca="false">ROUND(Raw_Data!F312,2)</f>
        <v>132.48</v>
      </c>
      <c r="G312" s="2" t="str">
        <f aca="false">PROPER(TRIM(Raw_Data!G312))</f>
        <v>968 Main St</v>
      </c>
      <c r="H312" s="2" t="str">
        <f aca="false">PROPER(TRIM(Raw_Data!H312))</f>
        <v>Online</v>
      </c>
      <c r="I312" s="2" t="str">
        <f aca="false">PROPER(TRIM(Raw_Data!I312))</f>
        <v>Shipped</v>
      </c>
      <c r="J312" s="2" t="str">
        <f aca="false">TRIM(UPPER(Raw_Data!J312))</f>
        <v>TRK16094218</v>
      </c>
      <c r="K312" s="2" t="n">
        <f aca="false">Raw_Data!K312</f>
        <v>4</v>
      </c>
      <c r="L312" s="2" t="str">
        <f aca="false">IF(TRIM(Raw_Data!L312)="","No Coupon",TRIM(UPPER(Raw_Data!L312)))</f>
        <v>No Coupon</v>
      </c>
      <c r="M312" s="2" t="str">
        <f aca="false">PROPER(TRIM(Raw_Data!M312))</f>
        <v>Referral</v>
      </c>
      <c r="N312" s="4" t="n">
        <f aca="false">ROUND(E312*F312,2)</f>
        <v>397.44</v>
      </c>
      <c r="O312" s="2" t="str">
        <f aca="false">IF(COUNTIF($A$2:$A$1201,A312)&gt;1,"DUPLICATE","Unique")</f>
        <v>Unique</v>
      </c>
      <c r="P312" s="2" t="str">
        <f aca="false">IF(L312="","MISSING","OK")</f>
        <v>OK</v>
      </c>
      <c r="Q312" s="2" t="str">
        <f aca="false">IF(ISNUMBER(B312),"OK","BAD DATE")</f>
        <v>OK</v>
      </c>
      <c r="R312" s="2" t="str">
        <f aca="false">IF(ROUND(F312,2)=F312,"OK","FIX")</f>
        <v>OK</v>
      </c>
    </row>
    <row r="313" customFormat="false" ht="15" hidden="false" customHeight="false" outlineLevel="0" collapsed="false">
      <c r="A313" s="2" t="str">
        <f aca="false">TRIM(UPPER(Raw_Data!A313))</f>
        <v>ORD200311</v>
      </c>
      <c r="B313" s="3" t="n">
        <f aca="false">IF(ISNUMBER(Raw_Data!B313),Raw_Data!B313,DATEVALUE(Raw_Data!B313))</f>
        <v>45794</v>
      </c>
      <c r="C313" s="2" t="str">
        <f aca="false">TRIM(UPPER(Raw_Data!C313))</f>
        <v>C71698</v>
      </c>
      <c r="D313" s="2" t="str">
        <f aca="false">PROPER(TRIM(Raw_Data!D313))</f>
        <v>Desk</v>
      </c>
      <c r="E313" s="2" t="n">
        <f aca="false">Raw_Data!E313</f>
        <v>5</v>
      </c>
      <c r="F313" s="4" t="n">
        <f aca="false">ROUND(Raw_Data!F313,2)</f>
        <v>489.37</v>
      </c>
      <c r="G313" s="2" t="str">
        <f aca="false">PROPER(TRIM(Raw_Data!G313))</f>
        <v>274 Main St</v>
      </c>
      <c r="H313" s="2" t="str">
        <f aca="false">PROPER(TRIM(Raw_Data!H313))</f>
        <v>Online</v>
      </c>
      <c r="I313" s="2" t="str">
        <f aca="false">PROPER(TRIM(Raw_Data!I313))</f>
        <v>Returned</v>
      </c>
      <c r="J313" s="2" t="str">
        <f aca="false">TRIM(UPPER(Raw_Data!J313))</f>
        <v>TRK34786818</v>
      </c>
      <c r="K313" s="2" t="n">
        <f aca="false">Raw_Data!K313</f>
        <v>8</v>
      </c>
      <c r="L313" s="2" t="str">
        <f aca="false">IF(TRIM(Raw_Data!L313)="","No Coupon",TRIM(UPPER(Raw_Data!L313)))</f>
        <v>No Coupon</v>
      </c>
      <c r="M313" s="2" t="str">
        <f aca="false">PROPER(TRIM(Raw_Data!M313))</f>
        <v>Instagram</v>
      </c>
      <c r="N313" s="4" t="n">
        <f aca="false">ROUND(E313*F313,2)</f>
        <v>2446.85</v>
      </c>
      <c r="O313" s="2" t="str">
        <f aca="false">IF(COUNTIF($A$2:$A$1201,A313)&gt;1,"DUPLICATE","Unique")</f>
        <v>Unique</v>
      </c>
      <c r="P313" s="2" t="str">
        <f aca="false">IF(L313="","MISSING","OK")</f>
        <v>OK</v>
      </c>
      <c r="Q313" s="2" t="str">
        <f aca="false">IF(ISNUMBER(B313),"OK","BAD DATE")</f>
        <v>OK</v>
      </c>
      <c r="R313" s="2" t="str">
        <f aca="false">IF(ROUND(F313,2)=F313,"OK","FIX")</f>
        <v>OK</v>
      </c>
    </row>
    <row r="314" customFormat="false" ht="15" hidden="false" customHeight="false" outlineLevel="0" collapsed="false">
      <c r="A314" s="2" t="str">
        <f aca="false">TRIM(UPPER(Raw_Data!A314))</f>
        <v>ORD200312</v>
      </c>
      <c r="B314" s="3" t="n">
        <f aca="false">IF(ISNUMBER(Raw_Data!B314),Raw_Data!B314,DATEVALUE(Raw_Data!B314))</f>
        <v>45801</v>
      </c>
      <c r="C314" s="2" t="str">
        <f aca="false">TRIM(UPPER(Raw_Data!C314))</f>
        <v>C35397</v>
      </c>
      <c r="D314" s="2" t="str">
        <f aca="false">PROPER(TRIM(Raw_Data!D314))</f>
        <v>Printer</v>
      </c>
      <c r="E314" s="2" t="n">
        <f aca="false">Raw_Data!E314</f>
        <v>5</v>
      </c>
      <c r="F314" s="4" t="n">
        <f aca="false">ROUND(Raw_Data!F314,2)</f>
        <v>66.31</v>
      </c>
      <c r="G314" s="2" t="str">
        <f aca="false">PROPER(TRIM(Raw_Data!G314))</f>
        <v>579 Main St</v>
      </c>
      <c r="H314" s="2" t="str">
        <f aca="false">PROPER(TRIM(Raw_Data!H314))</f>
        <v>Gift Card</v>
      </c>
      <c r="I314" s="2" t="str">
        <f aca="false">PROPER(TRIM(Raw_Data!I314))</f>
        <v>Pending</v>
      </c>
      <c r="J314" s="2" t="str">
        <f aca="false">TRIM(UPPER(Raw_Data!J314))</f>
        <v>TRK64742535</v>
      </c>
      <c r="K314" s="2" t="n">
        <f aca="false">Raw_Data!K314</f>
        <v>7</v>
      </c>
      <c r="L314" s="2" t="str">
        <f aca="false">IF(TRIM(Raw_Data!L314)="","No Coupon",TRIM(UPPER(Raw_Data!L314)))</f>
        <v>FREESHIP</v>
      </c>
      <c r="M314" s="2" t="str">
        <f aca="false">PROPER(TRIM(Raw_Data!M314))</f>
        <v>Referral</v>
      </c>
      <c r="N314" s="4" t="n">
        <f aca="false">ROUND(E314*F314,2)</f>
        <v>331.55</v>
      </c>
      <c r="O314" s="2" t="str">
        <f aca="false">IF(COUNTIF($A$2:$A$1201,A314)&gt;1,"DUPLICATE","Unique")</f>
        <v>Unique</v>
      </c>
      <c r="P314" s="2" t="str">
        <f aca="false">IF(L314="","MISSING","OK")</f>
        <v>OK</v>
      </c>
      <c r="Q314" s="2" t="str">
        <f aca="false">IF(ISNUMBER(B314),"OK","BAD DATE")</f>
        <v>OK</v>
      </c>
      <c r="R314" s="2" t="str">
        <f aca="false">IF(ROUND(F314,2)=F314,"OK","FIX")</f>
        <v>OK</v>
      </c>
    </row>
    <row r="315" customFormat="false" ht="15" hidden="false" customHeight="false" outlineLevel="0" collapsed="false">
      <c r="A315" s="2" t="str">
        <f aca="false">TRIM(UPPER(Raw_Data!A315))</f>
        <v>ORD200313</v>
      </c>
      <c r="B315" s="3" t="n">
        <f aca="false">IF(ISNUMBER(Raw_Data!B315),Raw_Data!B315,DATEVALUE(Raw_Data!B315))</f>
        <v>45116</v>
      </c>
      <c r="C315" s="2" t="str">
        <f aca="false">TRIM(UPPER(Raw_Data!C315))</f>
        <v>C67687</v>
      </c>
      <c r="D315" s="2" t="str">
        <f aca="false">PROPER(TRIM(Raw_Data!D315))</f>
        <v>Chair</v>
      </c>
      <c r="E315" s="2" t="n">
        <f aca="false">Raw_Data!E315</f>
        <v>2</v>
      </c>
      <c r="F315" s="4" t="n">
        <f aca="false">ROUND(Raw_Data!F315,2)</f>
        <v>434.3</v>
      </c>
      <c r="G315" s="2" t="str">
        <f aca="false">PROPER(TRIM(Raw_Data!G315))</f>
        <v>978 Main St</v>
      </c>
      <c r="H315" s="2" t="str">
        <f aca="false">PROPER(TRIM(Raw_Data!H315))</f>
        <v>Cash</v>
      </c>
      <c r="I315" s="2" t="str">
        <f aca="false">PROPER(TRIM(Raw_Data!I315))</f>
        <v>Delivered</v>
      </c>
      <c r="J315" s="2" t="str">
        <f aca="false">TRIM(UPPER(Raw_Data!J315))</f>
        <v>TRK22838735</v>
      </c>
      <c r="K315" s="2" t="n">
        <f aca="false">Raw_Data!K315</f>
        <v>7</v>
      </c>
      <c r="L315" s="2" t="str">
        <f aca="false">IF(TRIM(Raw_Data!L315)="","No Coupon",TRIM(UPPER(Raw_Data!L315)))</f>
        <v>SAVE10</v>
      </c>
      <c r="M315" s="2" t="str">
        <f aca="false">PROPER(TRIM(Raw_Data!M315))</f>
        <v>Instagram</v>
      </c>
      <c r="N315" s="4" t="n">
        <f aca="false">ROUND(E315*F315,2)</f>
        <v>868.6</v>
      </c>
      <c r="O315" s="2" t="str">
        <f aca="false">IF(COUNTIF($A$2:$A$1201,A315)&gt;1,"DUPLICATE","Unique")</f>
        <v>Unique</v>
      </c>
      <c r="P315" s="2" t="str">
        <f aca="false">IF(L315="","MISSING","OK")</f>
        <v>OK</v>
      </c>
      <c r="Q315" s="2" t="str">
        <f aca="false">IF(ISNUMBER(B315),"OK","BAD DATE")</f>
        <v>OK</v>
      </c>
      <c r="R315" s="2" t="str">
        <f aca="false">IF(ROUND(F315,2)=F315,"OK","FIX")</f>
        <v>OK</v>
      </c>
    </row>
    <row r="316" customFormat="false" ht="15" hidden="false" customHeight="false" outlineLevel="0" collapsed="false">
      <c r="A316" s="2" t="str">
        <f aca="false">TRIM(UPPER(Raw_Data!A316))</f>
        <v>ORD200314</v>
      </c>
      <c r="B316" s="3" t="n">
        <f aca="false">IF(ISNUMBER(Raw_Data!B316),Raw_Data!B316,DATEVALUE(Raw_Data!B316))</f>
        <v>45203</v>
      </c>
      <c r="C316" s="2" t="str">
        <f aca="false">TRIM(UPPER(Raw_Data!C316))</f>
        <v>C29931</v>
      </c>
      <c r="D316" s="2" t="str">
        <f aca="false">PROPER(TRIM(Raw_Data!D316))</f>
        <v>Desk</v>
      </c>
      <c r="E316" s="2" t="n">
        <f aca="false">Raw_Data!E316</f>
        <v>4</v>
      </c>
      <c r="F316" s="4" t="n">
        <f aca="false">ROUND(Raw_Data!F316,2)</f>
        <v>153.09</v>
      </c>
      <c r="G316" s="2" t="str">
        <f aca="false">PROPER(TRIM(Raw_Data!G316))</f>
        <v>540 Main St</v>
      </c>
      <c r="H316" s="2" t="str">
        <f aca="false">PROPER(TRIM(Raw_Data!H316))</f>
        <v>Online</v>
      </c>
      <c r="I316" s="2" t="str">
        <f aca="false">PROPER(TRIM(Raw_Data!I316))</f>
        <v>Delivered</v>
      </c>
      <c r="J316" s="2" t="str">
        <f aca="false">TRIM(UPPER(Raw_Data!J316))</f>
        <v>TRK48712417</v>
      </c>
      <c r="K316" s="2" t="n">
        <f aca="false">Raw_Data!K316</f>
        <v>4</v>
      </c>
      <c r="L316" s="2" t="str">
        <f aca="false">IF(TRIM(Raw_Data!L316)="","No Coupon",TRIM(UPPER(Raw_Data!L316)))</f>
        <v>FREESHIP</v>
      </c>
      <c r="M316" s="2" t="str">
        <f aca="false">PROPER(TRIM(Raw_Data!M316))</f>
        <v>Referral</v>
      </c>
      <c r="N316" s="4" t="n">
        <f aca="false">ROUND(E316*F316,2)</f>
        <v>612.36</v>
      </c>
      <c r="O316" s="2" t="str">
        <f aca="false">IF(COUNTIF($A$2:$A$1201,A316)&gt;1,"DUPLICATE","Unique")</f>
        <v>Unique</v>
      </c>
      <c r="P316" s="2" t="str">
        <f aca="false">IF(L316="","MISSING","OK")</f>
        <v>OK</v>
      </c>
      <c r="Q316" s="2" t="str">
        <f aca="false">IF(ISNUMBER(B316),"OK","BAD DATE")</f>
        <v>OK</v>
      </c>
      <c r="R316" s="2" t="str">
        <f aca="false">IF(ROUND(F316,2)=F316,"OK","FIX")</f>
        <v>OK</v>
      </c>
    </row>
    <row r="317" customFormat="false" ht="15" hidden="false" customHeight="false" outlineLevel="0" collapsed="false">
      <c r="A317" s="2" t="str">
        <f aca="false">TRIM(UPPER(Raw_Data!A317))</f>
        <v>ORD200315</v>
      </c>
      <c r="B317" s="3" t="n">
        <f aca="false">IF(ISNUMBER(Raw_Data!B317),Raw_Data!B317,DATEVALUE(Raw_Data!B317))</f>
        <v>45789</v>
      </c>
      <c r="C317" s="2" t="str">
        <f aca="false">TRIM(UPPER(Raw_Data!C317))</f>
        <v>C59139</v>
      </c>
      <c r="D317" s="2" t="str">
        <f aca="false">PROPER(TRIM(Raw_Data!D317))</f>
        <v>Tablet</v>
      </c>
      <c r="E317" s="2" t="n">
        <f aca="false">Raw_Data!E317</f>
        <v>5</v>
      </c>
      <c r="F317" s="4" t="n">
        <f aca="false">ROUND(Raw_Data!F317,2)</f>
        <v>91.67</v>
      </c>
      <c r="G317" s="2" t="str">
        <f aca="false">PROPER(TRIM(Raw_Data!G317))</f>
        <v>301 Main St</v>
      </c>
      <c r="H317" s="2" t="str">
        <f aca="false">PROPER(TRIM(Raw_Data!H317))</f>
        <v>Online</v>
      </c>
      <c r="I317" s="2" t="str">
        <f aca="false">PROPER(TRIM(Raw_Data!I317))</f>
        <v>Cancelled</v>
      </c>
      <c r="J317" s="2" t="str">
        <f aca="false">TRIM(UPPER(Raw_Data!J317))</f>
        <v>TRK45507090</v>
      </c>
      <c r="K317" s="2" t="n">
        <f aca="false">Raw_Data!K317</f>
        <v>9</v>
      </c>
      <c r="L317" s="2" t="str">
        <f aca="false">IF(TRIM(Raw_Data!L317)="","No Coupon",TRIM(UPPER(Raw_Data!L317)))</f>
        <v>FREESHIP</v>
      </c>
      <c r="M317" s="2" t="str">
        <f aca="false">PROPER(TRIM(Raw_Data!M317))</f>
        <v>Email</v>
      </c>
      <c r="N317" s="4" t="n">
        <f aca="false">ROUND(E317*F317,2)</f>
        <v>458.35</v>
      </c>
      <c r="O317" s="2" t="str">
        <f aca="false">IF(COUNTIF($A$2:$A$1201,A317)&gt;1,"DUPLICATE","Unique")</f>
        <v>Unique</v>
      </c>
      <c r="P317" s="2" t="str">
        <f aca="false">IF(L317="","MISSING","OK")</f>
        <v>OK</v>
      </c>
      <c r="Q317" s="2" t="str">
        <f aca="false">IF(ISNUMBER(B317),"OK","BAD DATE")</f>
        <v>OK</v>
      </c>
      <c r="R317" s="2" t="str">
        <f aca="false">IF(ROUND(F317,2)=F317,"OK","FIX")</f>
        <v>OK</v>
      </c>
    </row>
    <row r="318" customFormat="false" ht="15" hidden="false" customHeight="false" outlineLevel="0" collapsed="false">
      <c r="A318" s="2" t="str">
        <f aca="false">TRIM(UPPER(Raw_Data!A318))</f>
        <v>ORD200316</v>
      </c>
      <c r="B318" s="3" t="n">
        <f aca="false">IF(ISNUMBER(Raw_Data!B318),Raw_Data!B318,DATEVALUE(Raw_Data!B318))</f>
        <v>45201</v>
      </c>
      <c r="C318" s="2" t="str">
        <f aca="false">TRIM(UPPER(Raw_Data!C318))</f>
        <v>C66078</v>
      </c>
      <c r="D318" s="2" t="str">
        <f aca="false">PROPER(TRIM(Raw_Data!D318))</f>
        <v>Desk</v>
      </c>
      <c r="E318" s="2" t="n">
        <f aca="false">Raw_Data!E318</f>
        <v>4</v>
      </c>
      <c r="F318" s="4" t="n">
        <f aca="false">ROUND(Raw_Data!F318,2)</f>
        <v>275.28</v>
      </c>
      <c r="G318" s="2" t="str">
        <f aca="false">PROPER(TRIM(Raw_Data!G318))</f>
        <v>101 Main St</v>
      </c>
      <c r="H318" s="2" t="str">
        <f aca="false">PROPER(TRIM(Raw_Data!H318))</f>
        <v>Gift Card</v>
      </c>
      <c r="I318" s="2" t="str">
        <f aca="false">PROPER(TRIM(Raw_Data!I318))</f>
        <v>Shipped</v>
      </c>
      <c r="J318" s="2" t="str">
        <f aca="false">TRIM(UPPER(Raw_Data!J318))</f>
        <v>TRK86474559</v>
      </c>
      <c r="K318" s="2" t="n">
        <f aca="false">Raw_Data!K318</f>
        <v>9</v>
      </c>
      <c r="L318" s="2" t="str">
        <f aca="false">IF(TRIM(Raw_Data!L318)="","No Coupon",TRIM(UPPER(Raw_Data!L318)))</f>
        <v>WINTER15</v>
      </c>
      <c r="M318" s="2" t="str">
        <f aca="false">PROPER(TRIM(Raw_Data!M318))</f>
        <v>Facebook</v>
      </c>
      <c r="N318" s="4" t="n">
        <f aca="false">ROUND(E318*F318,2)</f>
        <v>1101.12</v>
      </c>
      <c r="O318" s="2" t="str">
        <f aca="false">IF(COUNTIF($A$2:$A$1201,A318)&gt;1,"DUPLICATE","Unique")</f>
        <v>Unique</v>
      </c>
      <c r="P318" s="2" t="str">
        <f aca="false">IF(L318="","MISSING","OK")</f>
        <v>OK</v>
      </c>
      <c r="Q318" s="2" t="str">
        <f aca="false">IF(ISNUMBER(B318),"OK","BAD DATE")</f>
        <v>OK</v>
      </c>
      <c r="R318" s="2" t="str">
        <f aca="false">IF(ROUND(F318,2)=F318,"OK","FIX")</f>
        <v>OK</v>
      </c>
    </row>
    <row r="319" customFormat="false" ht="15" hidden="false" customHeight="false" outlineLevel="0" collapsed="false">
      <c r="A319" s="2" t="str">
        <f aca="false">TRIM(UPPER(Raw_Data!A319))</f>
        <v>ORD200317</v>
      </c>
      <c r="B319" s="3" t="n">
        <f aca="false">IF(ISNUMBER(Raw_Data!B319),Raw_Data!B319,DATEVALUE(Raw_Data!B319))</f>
        <v>45026</v>
      </c>
      <c r="C319" s="2" t="str">
        <f aca="false">TRIM(UPPER(Raw_Data!C319))</f>
        <v>C88370</v>
      </c>
      <c r="D319" s="2" t="str">
        <f aca="false">PROPER(TRIM(Raw_Data!D319))</f>
        <v>Monitor</v>
      </c>
      <c r="E319" s="2" t="n">
        <f aca="false">Raw_Data!E319</f>
        <v>2</v>
      </c>
      <c r="F319" s="4" t="n">
        <f aca="false">ROUND(Raw_Data!F319,2)</f>
        <v>139.95</v>
      </c>
      <c r="G319" s="2" t="str">
        <f aca="false">PROPER(TRIM(Raw_Data!G319))</f>
        <v>339 Main St</v>
      </c>
      <c r="H319" s="2" t="str">
        <f aca="false">PROPER(TRIM(Raw_Data!H319))</f>
        <v>Online</v>
      </c>
      <c r="I319" s="2" t="str">
        <f aca="false">PROPER(TRIM(Raw_Data!I319))</f>
        <v>Returned</v>
      </c>
      <c r="J319" s="2" t="str">
        <f aca="false">TRIM(UPPER(Raw_Data!J319))</f>
        <v>TRK22575151</v>
      </c>
      <c r="K319" s="2" t="n">
        <f aca="false">Raw_Data!K319</f>
        <v>5</v>
      </c>
      <c r="L319" s="2" t="str">
        <f aca="false">IF(TRIM(Raw_Data!L319)="","No Coupon",TRIM(UPPER(Raw_Data!L319)))</f>
        <v>No Coupon</v>
      </c>
      <c r="M319" s="2" t="str">
        <f aca="false">PROPER(TRIM(Raw_Data!M319))</f>
        <v>Instagram</v>
      </c>
      <c r="N319" s="4" t="n">
        <f aca="false">ROUND(E319*F319,2)</f>
        <v>279.9</v>
      </c>
      <c r="O319" s="2" t="str">
        <f aca="false">IF(COUNTIF($A$2:$A$1201,A319)&gt;1,"DUPLICATE","Unique")</f>
        <v>Unique</v>
      </c>
      <c r="P319" s="2" t="str">
        <f aca="false">IF(L319="","MISSING","OK")</f>
        <v>OK</v>
      </c>
      <c r="Q319" s="2" t="str">
        <f aca="false">IF(ISNUMBER(B319),"OK","BAD DATE")</f>
        <v>OK</v>
      </c>
      <c r="R319" s="2" t="str">
        <f aca="false">IF(ROUND(F319,2)=F319,"OK","FIX")</f>
        <v>OK</v>
      </c>
    </row>
    <row r="320" customFormat="false" ht="15" hidden="false" customHeight="false" outlineLevel="0" collapsed="false">
      <c r="A320" s="2" t="str">
        <f aca="false">TRIM(UPPER(Raw_Data!A320))</f>
        <v>ORD200318</v>
      </c>
      <c r="B320" s="3" t="n">
        <f aca="false">IF(ISNUMBER(Raw_Data!B320),Raw_Data!B320,DATEVALUE(Raw_Data!B320))</f>
        <v>45500</v>
      </c>
      <c r="C320" s="2" t="str">
        <f aca="false">TRIM(UPPER(Raw_Data!C320))</f>
        <v>C93375</v>
      </c>
      <c r="D320" s="2" t="str">
        <f aca="false">PROPER(TRIM(Raw_Data!D320))</f>
        <v>Chair</v>
      </c>
      <c r="E320" s="2" t="n">
        <f aca="false">Raw_Data!E320</f>
        <v>3</v>
      </c>
      <c r="F320" s="4" t="n">
        <f aca="false">ROUND(Raw_Data!F320,2)</f>
        <v>148.72</v>
      </c>
      <c r="G320" s="2" t="str">
        <f aca="false">PROPER(TRIM(Raw_Data!G320))</f>
        <v>317 Main St</v>
      </c>
      <c r="H320" s="2" t="str">
        <f aca="false">PROPER(TRIM(Raw_Data!H320))</f>
        <v>Debit Card</v>
      </c>
      <c r="I320" s="2" t="str">
        <f aca="false">PROPER(TRIM(Raw_Data!I320))</f>
        <v>Cancelled</v>
      </c>
      <c r="J320" s="2" t="str">
        <f aca="false">TRIM(UPPER(Raw_Data!J320))</f>
        <v>TRK95706967</v>
      </c>
      <c r="K320" s="2" t="n">
        <f aca="false">Raw_Data!K320</f>
        <v>7</v>
      </c>
      <c r="L320" s="2" t="str">
        <f aca="false">IF(TRIM(Raw_Data!L320)="","No Coupon",TRIM(UPPER(Raw_Data!L320)))</f>
        <v>SAVE10</v>
      </c>
      <c r="M320" s="2" t="str">
        <f aca="false">PROPER(TRIM(Raw_Data!M320))</f>
        <v>Google</v>
      </c>
      <c r="N320" s="4" t="n">
        <f aca="false">ROUND(E320*F320,2)</f>
        <v>446.16</v>
      </c>
      <c r="O320" s="2" t="str">
        <f aca="false">IF(COUNTIF($A$2:$A$1201,A320)&gt;1,"DUPLICATE","Unique")</f>
        <v>Unique</v>
      </c>
      <c r="P320" s="2" t="str">
        <f aca="false">IF(L320="","MISSING","OK")</f>
        <v>OK</v>
      </c>
      <c r="Q320" s="2" t="str">
        <f aca="false">IF(ISNUMBER(B320),"OK","BAD DATE")</f>
        <v>OK</v>
      </c>
      <c r="R320" s="2" t="str">
        <f aca="false">IF(ROUND(F320,2)=F320,"OK","FIX")</f>
        <v>OK</v>
      </c>
    </row>
    <row r="321" customFormat="false" ht="15" hidden="false" customHeight="false" outlineLevel="0" collapsed="false">
      <c r="A321" s="2" t="str">
        <f aca="false">TRIM(UPPER(Raw_Data!A321))</f>
        <v>ORD200319</v>
      </c>
      <c r="B321" s="3" t="n">
        <f aca="false">IF(ISNUMBER(Raw_Data!B321),Raw_Data!B321,DATEVALUE(Raw_Data!B321))</f>
        <v>45262</v>
      </c>
      <c r="C321" s="2" t="str">
        <f aca="false">TRIM(UPPER(Raw_Data!C321))</f>
        <v>C53049</v>
      </c>
      <c r="D321" s="2" t="str">
        <f aca="false">PROPER(TRIM(Raw_Data!D321))</f>
        <v>Laptop</v>
      </c>
      <c r="E321" s="2" t="n">
        <f aca="false">Raw_Data!E321</f>
        <v>2</v>
      </c>
      <c r="F321" s="4" t="n">
        <f aca="false">ROUND(Raw_Data!F321,2)</f>
        <v>563.06</v>
      </c>
      <c r="G321" s="2" t="str">
        <f aca="false">PROPER(TRIM(Raw_Data!G321))</f>
        <v>413 Main St</v>
      </c>
      <c r="H321" s="2" t="str">
        <f aca="false">PROPER(TRIM(Raw_Data!H321))</f>
        <v>Cash</v>
      </c>
      <c r="I321" s="2" t="str">
        <f aca="false">PROPER(TRIM(Raw_Data!I321))</f>
        <v>Returned</v>
      </c>
      <c r="J321" s="2" t="str">
        <f aca="false">TRIM(UPPER(Raw_Data!J321))</f>
        <v>TRK48974907</v>
      </c>
      <c r="K321" s="2" t="n">
        <f aca="false">Raw_Data!K321</f>
        <v>6</v>
      </c>
      <c r="L321" s="2" t="str">
        <f aca="false">IF(TRIM(Raw_Data!L321)="","No Coupon",TRIM(UPPER(Raw_Data!L321)))</f>
        <v>No Coupon</v>
      </c>
      <c r="M321" s="2" t="str">
        <f aca="false">PROPER(TRIM(Raw_Data!M321))</f>
        <v>Instagram</v>
      </c>
      <c r="N321" s="4" t="n">
        <f aca="false">ROUND(E321*F321,2)</f>
        <v>1126.12</v>
      </c>
      <c r="O321" s="2" t="str">
        <f aca="false">IF(COUNTIF($A$2:$A$1201,A321)&gt;1,"DUPLICATE","Unique")</f>
        <v>Unique</v>
      </c>
      <c r="P321" s="2" t="str">
        <f aca="false">IF(L321="","MISSING","OK")</f>
        <v>OK</v>
      </c>
      <c r="Q321" s="2" t="str">
        <f aca="false">IF(ISNUMBER(B321),"OK","BAD DATE")</f>
        <v>OK</v>
      </c>
      <c r="R321" s="2" t="str">
        <f aca="false">IF(ROUND(F321,2)=F321,"OK","FIX")</f>
        <v>OK</v>
      </c>
    </row>
    <row r="322" customFormat="false" ht="15" hidden="false" customHeight="false" outlineLevel="0" collapsed="false">
      <c r="A322" s="2" t="str">
        <f aca="false">TRIM(UPPER(Raw_Data!A322))</f>
        <v>ORD200320</v>
      </c>
      <c r="B322" s="3" t="n">
        <f aca="false">IF(ISNUMBER(Raw_Data!B322),Raw_Data!B322,DATEVALUE(Raw_Data!B322))</f>
        <v>45645</v>
      </c>
      <c r="C322" s="2" t="str">
        <f aca="false">TRIM(UPPER(Raw_Data!C322))</f>
        <v>C55590</v>
      </c>
      <c r="D322" s="2" t="str">
        <f aca="false">PROPER(TRIM(Raw_Data!D322))</f>
        <v>Printer</v>
      </c>
      <c r="E322" s="2" t="n">
        <f aca="false">Raw_Data!E322</f>
        <v>1</v>
      </c>
      <c r="F322" s="4" t="n">
        <f aca="false">ROUND(Raw_Data!F322,2)</f>
        <v>625.51</v>
      </c>
      <c r="G322" s="2" t="str">
        <f aca="false">PROPER(TRIM(Raw_Data!G322))</f>
        <v>772 Main St</v>
      </c>
      <c r="H322" s="2" t="str">
        <f aca="false">PROPER(TRIM(Raw_Data!H322))</f>
        <v>Credit Card</v>
      </c>
      <c r="I322" s="2" t="str">
        <f aca="false">PROPER(TRIM(Raw_Data!I322))</f>
        <v>Shipped</v>
      </c>
      <c r="J322" s="2" t="str">
        <f aca="false">TRIM(UPPER(Raw_Data!J322))</f>
        <v>TRK48792951</v>
      </c>
      <c r="K322" s="2" t="n">
        <f aca="false">Raw_Data!K322</f>
        <v>1</v>
      </c>
      <c r="L322" s="2" t="str">
        <f aca="false">IF(TRIM(Raw_Data!L322)="","No Coupon",TRIM(UPPER(Raw_Data!L322)))</f>
        <v>FREESHIP</v>
      </c>
      <c r="M322" s="2" t="str">
        <f aca="false">PROPER(TRIM(Raw_Data!M322))</f>
        <v>Facebook</v>
      </c>
      <c r="N322" s="4" t="n">
        <f aca="false">ROUND(E322*F322,2)</f>
        <v>625.51</v>
      </c>
      <c r="O322" s="2" t="str">
        <f aca="false">IF(COUNTIF($A$2:$A$1201,A322)&gt;1,"DUPLICATE","Unique")</f>
        <v>Unique</v>
      </c>
      <c r="P322" s="2" t="str">
        <f aca="false">IF(L322="","MISSING","OK")</f>
        <v>OK</v>
      </c>
      <c r="Q322" s="2" t="str">
        <f aca="false">IF(ISNUMBER(B322),"OK","BAD DATE")</f>
        <v>OK</v>
      </c>
      <c r="R322" s="2" t="str">
        <f aca="false">IF(ROUND(F322,2)=F322,"OK","FIX")</f>
        <v>OK</v>
      </c>
    </row>
    <row r="323" customFormat="false" ht="15" hidden="false" customHeight="false" outlineLevel="0" collapsed="false">
      <c r="A323" s="2" t="str">
        <f aca="false">TRIM(UPPER(Raw_Data!A323))</f>
        <v>ORD200321</v>
      </c>
      <c r="B323" s="3" t="n">
        <f aca="false">IF(ISNUMBER(Raw_Data!B323),Raw_Data!B323,DATEVALUE(Raw_Data!B323))</f>
        <v>45147</v>
      </c>
      <c r="C323" s="2" t="str">
        <f aca="false">TRIM(UPPER(Raw_Data!C323))</f>
        <v>C47086</v>
      </c>
      <c r="D323" s="2" t="str">
        <f aca="false">PROPER(TRIM(Raw_Data!D323))</f>
        <v>Phone</v>
      </c>
      <c r="E323" s="2" t="n">
        <f aca="false">Raw_Data!E323</f>
        <v>4</v>
      </c>
      <c r="F323" s="4" t="n">
        <f aca="false">ROUND(Raw_Data!F323,2)</f>
        <v>152.29</v>
      </c>
      <c r="G323" s="2" t="str">
        <f aca="false">PROPER(TRIM(Raw_Data!G323))</f>
        <v>135 Main St</v>
      </c>
      <c r="H323" s="2" t="str">
        <f aca="false">PROPER(TRIM(Raw_Data!H323))</f>
        <v>Debit Card</v>
      </c>
      <c r="I323" s="2" t="str">
        <f aca="false">PROPER(TRIM(Raw_Data!I323))</f>
        <v>Cancelled</v>
      </c>
      <c r="J323" s="2" t="str">
        <f aca="false">TRIM(UPPER(Raw_Data!J323))</f>
        <v>TRK44194358</v>
      </c>
      <c r="K323" s="2" t="n">
        <f aca="false">Raw_Data!K323</f>
        <v>6</v>
      </c>
      <c r="L323" s="2" t="str">
        <f aca="false">IF(TRIM(Raw_Data!L323)="","No Coupon",TRIM(UPPER(Raw_Data!L323)))</f>
        <v>WINTER15</v>
      </c>
      <c r="M323" s="2" t="str">
        <f aca="false">PROPER(TRIM(Raw_Data!M323))</f>
        <v>Google</v>
      </c>
      <c r="N323" s="4" t="n">
        <f aca="false">ROUND(E323*F323,2)</f>
        <v>609.16</v>
      </c>
      <c r="O323" s="2" t="str">
        <f aca="false">IF(COUNTIF($A$2:$A$1201,A323)&gt;1,"DUPLICATE","Unique")</f>
        <v>Unique</v>
      </c>
      <c r="P323" s="2" t="str">
        <f aca="false">IF(L323="","MISSING","OK")</f>
        <v>OK</v>
      </c>
      <c r="Q323" s="2" t="str">
        <f aca="false">IF(ISNUMBER(B323),"OK","BAD DATE")</f>
        <v>OK</v>
      </c>
      <c r="R323" s="2" t="str">
        <f aca="false">IF(ROUND(F323,2)=F323,"OK","FIX")</f>
        <v>OK</v>
      </c>
    </row>
    <row r="324" customFormat="false" ht="15" hidden="false" customHeight="false" outlineLevel="0" collapsed="false">
      <c r="A324" s="2" t="str">
        <f aca="false">TRIM(UPPER(Raw_Data!A324))</f>
        <v>ORD200322</v>
      </c>
      <c r="B324" s="3" t="n">
        <f aca="false">IF(ISNUMBER(Raw_Data!B324),Raw_Data!B324,DATEVALUE(Raw_Data!B324))</f>
        <v>45457</v>
      </c>
      <c r="C324" s="2" t="str">
        <f aca="false">TRIM(UPPER(Raw_Data!C324))</f>
        <v>C48646</v>
      </c>
      <c r="D324" s="2" t="str">
        <f aca="false">PROPER(TRIM(Raw_Data!D324))</f>
        <v>Phone</v>
      </c>
      <c r="E324" s="2" t="n">
        <f aca="false">Raw_Data!E324</f>
        <v>5</v>
      </c>
      <c r="F324" s="4" t="n">
        <f aca="false">ROUND(Raw_Data!F324,2)</f>
        <v>231.82</v>
      </c>
      <c r="G324" s="2" t="str">
        <f aca="false">PROPER(TRIM(Raw_Data!G324))</f>
        <v>339 Main St</v>
      </c>
      <c r="H324" s="2" t="str">
        <f aca="false">PROPER(TRIM(Raw_Data!H324))</f>
        <v>Debit Card</v>
      </c>
      <c r="I324" s="2" t="str">
        <f aca="false">PROPER(TRIM(Raw_Data!I324))</f>
        <v>Delivered</v>
      </c>
      <c r="J324" s="2" t="str">
        <f aca="false">TRIM(UPPER(Raw_Data!J324))</f>
        <v>TRK18233748</v>
      </c>
      <c r="K324" s="2" t="n">
        <f aca="false">Raw_Data!K324</f>
        <v>6</v>
      </c>
      <c r="L324" s="2" t="str">
        <f aca="false">IF(TRIM(Raw_Data!L324)="","No Coupon",TRIM(UPPER(Raw_Data!L324)))</f>
        <v>SAVE10</v>
      </c>
      <c r="M324" s="2" t="str">
        <f aca="false">PROPER(TRIM(Raw_Data!M324))</f>
        <v>Facebook</v>
      </c>
      <c r="N324" s="4" t="n">
        <f aca="false">ROUND(E324*F324,2)</f>
        <v>1159.1</v>
      </c>
      <c r="O324" s="2" t="str">
        <f aca="false">IF(COUNTIF($A$2:$A$1201,A324)&gt;1,"DUPLICATE","Unique")</f>
        <v>Unique</v>
      </c>
      <c r="P324" s="2" t="str">
        <f aca="false">IF(L324="","MISSING","OK")</f>
        <v>OK</v>
      </c>
      <c r="Q324" s="2" t="str">
        <f aca="false">IF(ISNUMBER(B324),"OK","BAD DATE")</f>
        <v>OK</v>
      </c>
      <c r="R324" s="2" t="str">
        <f aca="false">IF(ROUND(F324,2)=F324,"OK","FIX")</f>
        <v>OK</v>
      </c>
    </row>
    <row r="325" customFormat="false" ht="15" hidden="false" customHeight="false" outlineLevel="0" collapsed="false">
      <c r="A325" s="2" t="str">
        <f aca="false">TRIM(UPPER(Raw_Data!A325))</f>
        <v>ORD200323</v>
      </c>
      <c r="B325" s="3" t="n">
        <f aca="false">IF(ISNUMBER(Raw_Data!B325),Raw_Data!B325,DATEVALUE(Raw_Data!B325))</f>
        <v>45683</v>
      </c>
      <c r="C325" s="2" t="str">
        <f aca="false">TRIM(UPPER(Raw_Data!C325))</f>
        <v>C29416</v>
      </c>
      <c r="D325" s="2" t="str">
        <f aca="false">PROPER(TRIM(Raw_Data!D325))</f>
        <v>Laptop</v>
      </c>
      <c r="E325" s="2" t="n">
        <f aca="false">Raw_Data!E325</f>
        <v>1</v>
      </c>
      <c r="F325" s="4" t="n">
        <f aca="false">ROUND(Raw_Data!F325,2)</f>
        <v>150.17</v>
      </c>
      <c r="G325" s="2" t="str">
        <f aca="false">PROPER(TRIM(Raw_Data!G325))</f>
        <v>414 Main St</v>
      </c>
      <c r="H325" s="2" t="str">
        <f aca="false">PROPER(TRIM(Raw_Data!H325))</f>
        <v>Debit Card</v>
      </c>
      <c r="I325" s="2" t="str">
        <f aca="false">PROPER(TRIM(Raw_Data!I325))</f>
        <v>Returned</v>
      </c>
      <c r="J325" s="2" t="str">
        <f aca="false">TRIM(UPPER(Raw_Data!J325))</f>
        <v>TRK63820842</v>
      </c>
      <c r="K325" s="2" t="n">
        <f aca="false">Raw_Data!K325</f>
        <v>1</v>
      </c>
      <c r="L325" s="2" t="str">
        <f aca="false">IF(TRIM(Raw_Data!L325)="","No Coupon",TRIM(UPPER(Raw_Data!L325)))</f>
        <v>SAVE10</v>
      </c>
      <c r="M325" s="2" t="str">
        <f aca="false">PROPER(TRIM(Raw_Data!M325))</f>
        <v>Referral</v>
      </c>
      <c r="N325" s="4" t="n">
        <f aca="false">ROUND(E325*F325,2)</f>
        <v>150.17</v>
      </c>
      <c r="O325" s="2" t="str">
        <f aca="false">IF(COUNTIF($A$2:$A$1201,A325)&gt;1,"DUPLICATE","Unique")</f>
        <v>Unique</v>
      </c>
      <c r="P325" s="2" t="str">
        <f aca="false">IF(L325="","MISSING","OK")</f>
        <v>OK</v>
      </c>
      <c r="Q325" s="2" t="str">
        <f aca="false">IF(ISNUMBER(B325),"OK","BAD DATE")</f>
        <v>OK</v>
      </c>
      <c r="R325" s="2" t="str">
        <f aca="false">IF(ROUND(F325,2)=F325,"OK","FIX")</f>
        <v>OK</v>
      </c>
    </row>
    <row r="326" customFormat="false" ht="15" hidden="false" customHeight="false" outlineLevel="0" collapsed="false">
      <c r="A326" s="2" t="str">
        <f aca="false">TRIM(UPPER(Raw_Data!A326))</f>
        <v>ORD200324</v>
      </c>
      <c r="B326" s="3" t="n">
        <f aca="false">IF(ISNUMBER(Raw_Data!B326),Raw_Data!B326,DATEVALUE(Raw_Data!B326))</f>
        <v>45456</v>
      </c>
      <c r="C326" s="2" t="str">
        <f aca="false">TRIM(UPPER(Raw_Data!C326))</f>
        <v>C13525</v>
      </c>
      <c r="D326" s="2" t="str">
        <f aca="false">PROPER(TRIM(Raw_Data!D326))</f>
        <v>Tablet</v>
      </c>
      <c r="E326" s="2" t="n">
        <f aca="false">Raw_Data!E326</f>
        <v>3</v>
      </c>
      <c r="F326" s="4" t="n">
        <f aca="false">ROUND(Raw_Data!F326,2)</f>
        <v>70.93</v>
      </c>
      <c r="G326" s="2" t="str">
        <f aca="false">PROPER(TRIM(Raw_Data!G326))</f>
        <v>847 Main St</v>
      </c>
      <c r="H326" s="2" t="str">
        <f aca="false">PROPER(TRIM(Raw_Data!H326))</f>
        <v>Debit Card</v>
      </c>
      <c r="I326" s="2" t="str">
        <f aca="false">PROPER(TRIM(Raw_Data!I326))</f>
        <v>Returned</v>
      </c>
      <c r="J326" s="2" t="str">
        <f aca="false">TRIM(UPPER(Raw_Data!J326))</f>
        <v>TRK70193221</v>
      </c>
      <c r="K326" s="2" t="n">
        <f aca="false">Raw_Data!K326</f>
        <v>5</v>
      </c>
      <c r="L326" s="2" t="str">
        <f aca="false">IF(TRIM(Raw_Data!L326)="","No Coupon",TRIM(UPPER(Raw_Data!L326)))</f>
        <v>No Coupon</v>
      </c>
      <c r="M326" s="2" t="str">
        <f aca="false">PROPER(TRIM(Raw_Data!M326))</f>
        <v>Referral</v>
      </c>
      <c r="N326" s="4" t="n">
        <f aca="false">ROUND(E326*F326,2)</f>
        <v>212.79</v>
      </c>
      <c r="O326" s="2" t="str">
        <f aca="false">IF(COUNTIF($A$2:$A$1201,A326)&gt;1,"DUPLICATE","Unique")</f>
        <v>Unique</v>
      </c>
      <c r="P326" s="2" t="str">
        <f aca="false">IF(L326="","MISSING","OK")</f>
        <v>OK</v>
      </c>
      <c r="Q326" s="2" t="str">
        <f aca="false">IF(ISNUMBER(B326),"OK","BAD DATE")</f>
        <v>OK</v>
      </c>
      <c r="R326" s="2" t="str">
        <f aca="false">IF(ROUND(F326,2)=F326,"OK","FIX")</f>
        <v>OK</v>
      </c>
    </row>
    <row r="327" customFormat="false" ht="15" hidden="false" customHeight="false" outlineLevel="0" collapsed="false">
      <c r="A327" s="2" t="str">
        <f aca="false">TRIM(UPPER(Raw_Data!A327))</f>
        <v>ORD200325</v>
      </c>
      <c r="B327" s="3" t="n">
        <f aca="false">IF(ISNUMBER(Raw_Data!B327),Raw_Data!B327,DATEVALUE(Raw_Data!B327))</f>
        <v>45106</v>
      </c>
      <c r="C327" s="2" t="str">
        <f aca="false">TRIM(UPPER(Raw_Data!C327))</f>
        <v>C53545</v>
      </c>
      <c r="D327" s="2" t="str">
        <f aca="false">PROPER(TRIM(Raw_Data!D327))</f>
        <v>Desk</v>
      </c>
      <c r="E327" s="2" t="n">
        <f aca="false">Raw_Data!E327</f>
        <v>3</v>
      </c>
      <c r="F327" s="4" t="n">
        <f aca="false">ROUND(Raw_Data!F327,2)</f>
        <v>361.39</v>
      </c>
      <c r="G327" s="2" t="str">
        <f aca="false">PROPER(TRIM(Raw_Data!G327))</f>
        <v>665 Main St</v>
      </c>
      <c r="H327" s="2" t="str">
        <f aca="false">PROPER(TRIM(Raw_Data!H327))</f>
        <v>Credit Card</v>
      </c>
      <c r="I327" s="2" t="str">
        <f aca="false">PROPER(TRIM(Raw_Data!I327))</f>
        <v>Shipped</v>
      </c>
      <c r="J327" s="2" t="str">
        <f aca="false">TRIM(UPPER(Raw_Data!J327))</f>
        <v>TRK61123177</v>
      </c>
      <c r="K327" s="2" t="n">
        <f aca="false">Raw_Data!K327</f>
        <v>8</v>
      </c>
      <c r="L327" s="2" t="str">
        <f aca="false">IF(TRIM(Raw_Data!L327)="","No Coupon",TRIM(UPPER(Raw_Data!L327)))</f>
        <v>No Coupon</v>
      </c>
      <c r="M327" s="2" t="str">
        <f aca="false">PROPER(TRIM(Raw_Data!M327))</f>
        <v>Referral</v>
      </c>
      <c r="N327" s="4" t="n">
        <f aca="false">ROUND(E327*F327,2)</f>
        <v>1084.17</v>
      </c>
      <c r="O327" s="2" t="str">
        <f aca="false">IF(COUNTIF($A$2:$A$1201,A327)&gt;1,"DUPLICATE","Unique")</f>
        <v>Unique</v>
      </c>
      <c r="P327" s="2" t="str">
        <f aca="false">IF(L327="","MISSING","OK")</f>
        <v>OK</v>
      </c>
      <c r="Q327" s="2" t="str">
        <f aca="false">IF(ISNUMBER(B327),"OK","BAD DATE")</f>
        <v>OK</v>
      </c>
      <c r="R327" s="2" t="str">
        <f aca="false">IF(ROUND(F327,2)=F327,"OK","FIX")</f>
        <v>OK</v>
      </c>
    </row>
    <row r="328" customFormat="false" ht="15" hidden="false" customHeight="false" outlineLevel="0" collapsed="false">
      <c r="A328" s="2" t="str">
        <f aca="false">TRIM(UPPER(Raw_Data!A328))</f>
        <v>ORD200326</v>
      </c>
      <c r="B328" s="3" t="n">
        <f aca="false">IF(ISNUMBER(Raw_Data!B328),Raw_Data!B328,DATEVALUE(Raw_Data!B328))</f>
        <v>45474</v>
      </c>
      <c r="C328" s="2" t="str">
        <f aca="false">TRIM(UPPER(Raw_Data!C328))</f>
        <v>C65986</v>
      </c>
      <c r="D328" s="2" t="str">
        <f aca="false">PROPER(TRIM(Raw_Data!D328))</f>
        <v>Laptop</v>
      </c>
      <c r="E328" s="2" t="n">
        <f aca="false">Raw_Data!E328</f>
        <v>5</v>
      </c>
      <c r="F328" s="4" t="n">
        <f aca="false">ROUND(Raw_Data!F328,2)</f>
        <v>670.48</v>
      </c>
      <c r="G328" s="2" t="str">
        <f aca="false">PROPER(TRIM(Raw_Data!G328))</f>
        <v>273 Main St</v>
      </c>
      <c r="H328" s="2" t="str">
        <f aca="false">PROPER(TRIM(Raw_Data!H328))</f>
        <v>Gift Card</v>
      </c>
      <c r="I328" s="2" t="str">
        <f aca="false">PROPER(TRIM(Raw_Data!I328))</f>
        <v>Returned</v>
      </c>
      <c r="J328" s="2" t="str">
        <f aca="false">TRIM(UPPER(Raw_Data!J328))</f>
        <v>TRK98353867</v>
      </c>
      <c r="K328" s="2" t="n">
        <f aca="false">Raw_Data!K328</f>
        <v>5</v>
      </c>
      <c r="L328" s="2" t="str">
        <f aca="false">IF(TRIM(Raw_Data!L328)="","No Coupon",TRIM(UPPER(Raw_Data!L328)))</f>
        <v>SAVE10</v>
      </c>
      <c r="M328" s="2" t="str">
        <f aca="false">PROPER(TRIM(Raw_Data!M328))</f>
        <v>Facebook</v>
      </c>
      <c r="N328" s="4" t="n">
        <f aca="false">ROUND(E328*F328,2)</f>
        <v>3352.4</v>
      </c>
      <c r="O328" s="2" t="str">
        <f aca="false">IF(COUNTIF($A$2:$A$1201,A328)&gt;1,"DUPLICATE","Unique")</f>
        <v>Unique</v>
      </c>
      <c r="P328" s="2" t="str">
        <f aca="false">IF(L328="","MISSING","OK")</f>
        <v>OK</v>
      </c>
      <c r="Q328" s="2" t="str">
        <f aca="false">IF(ISNUMBER(B328),"OK","BAD DATE")</f>
        <v>OK</v>
      </c>
      <c r="R328" s="2" t="str">
        <f aca="false">IF(ROUND(F328,2)=F328,"OK","FIX")</f>
        <v>OK</v>
      </c>
    </row>
    <row r="329" customFormat="false" ht="15" hidden="false" customHeight="false" outlineLevel="0" collapsed="false">
      <c r="A329" s="2" t="str">
        <f aca="false">TRIM(UPPER(Raw_Data!A329))</f>
        <v>ORD200327</v>
      </c>
      <c r="B329" s="3" t="n">
        <f aca="false">IF(ISNUMBER(Raw_Data!B329),Raw_Data!B329,DATEVALUE(Raw_Data!B329))</f>
        <v>45132</v>
      </c>
      <c r="C329" s="2" t="str">
        <f aca="false">TRIM(UPPER(Raw_Data!C329))</f>
        <v>C17302</v>
      </c>
      <c r="D329" s="2" t="str">
        <f aca="false">PROPER(TRIM(Raw_Data!D329))</f>
        <v>Phone</v>
      </c>
      <c r="E329" s="2" t="n">
        <f aca="false">Raw_Data!E329</f>
        <v>1</v>
      </c>
      <c r="F329" s="4" t="n">
        <f aca="false">ROUND(Raw_Data!F329,2)</f>
        <v>359.99</v>
      </c>
      <c r="G329" s="2" t="str">
        <f aca="false">PROPER(TRIM(Raw_Data!G329))</f>
        <v>385 Main St</v>
      </c>
      <c r="H329" s="2" t="str">
        <f aca="false">PROPER(TRIM(Raw_Data!H329))</f>
        <v>Gift Card</v>
      </c>
      <c r="I329" s="2" t="str">
        <f aca="false">PROPER(TRIM(Raw_Data!I329))</f>
        <v>Cancelled</v>
      </c>
      <c r="J329" s="2" t="str">
        <f aca="false">TRIM(UPPER(Raw_Data!J329))</f>
        <v>TRK43940016</v>
      </c>
      <c r="K329" s="2" t="n">
        <f aca="false">Raw_Data!K329</f>
        <v>5</v>
      </c>
      <c r="L329" s="2" t="str">
        <f aca="false">IF(TRIM(Raw_Data!L329)="","No Coupon",TRIM(UPPER(Raw_Data!L329)))</f>
        <v>SAVE10</v>
      </c>
      <c r="M329" s="2" t="str">
        <f aca="false">PROPER(TRIM(Raw_Data!M329))</f>
        <v>Email</v>
      </c>
      <c r="N329" s="4" t="n">
        <f aca="false">ROUND(E329*F329,2)</f>
        <v>359.99</v>
      </c>
      <c r="O329" s="2" t="str">
        <f aca="false">IF(COUNTIF($A$2:$A$1201,A329)&gt;1,"DUPLICATE","Unique")</f>
        <v>Unique</v>
      </c>
      <c r="P329" s="2" t="str">
        <f aca="false">IF(L329="","MISSING","OK")</f>
        <v>OK</v>
      </c>
      <c r="Q329" s="2" t="str">
        <f aca="false">IF(ISNUMBER(B329),"OK","BAD DATE")</f>
        <v>OK</v>
      </c>
      <c r="R329" s="2" t="str">
        <f aca="false">IF(ROUND(F329,2)=F329,"OK","FIX")</f>
        <v>OK</v>
      </c>
    </row>
    <row r="330" customFormat="false" ht="15" hidden="false" customHeight="false" outlineLevel="0" collapsed="false">
      <c r="A330" s="2" t="str">
        <f aca="false">TRIM(UPPER(Raw_Data!A330))</f>
        <v>ORD200328</v>
      </c>
      <c r="B330" s="3" t="n">
        <f aca="false">IF(ISNUMBER(Raw_Data!B330),Raw_Data!B330,DATEVALUE(Raw_Data!B330))</f>
        <v>44985</v>
      </c>
      <c r="C330" s="2" t="str">
        <f aca="false">TRIM(UPPER(Raw_Data!C330))</f>
        <v>C18404</v>
      </c>
      <c r="D330" s="2" t="str">
        <f aca="false">PROPER(TRIM(Raw_Data!D330))</f>
        <v>Tablet</v>
      </c>
      <c r="E330" s="2" t="n">
        <f aca="false">Raw_Data!E330</f>
        <v>5</v>
      </c>
      <c r="F330" s="4" t="n">
        <f aca="false">ROUND(Raw_Data!F330,2)</f>
        <v>674.04</v>
      </c>
      <c r="G330" s="2" t="str">
        <f aca="false">PROPER(TRIM(Raw_Data!G330))</f>
        <v>546 Main St</v>
      </c>
      <c r="H330" s="2" t="str">
        <f aca="false">PROPER(TRIM(Raw_Data!H330))</f>
        <v>Online</v>
      </c>
      <c r="I330" s="2" t="str">
        <f aca="false">PROPER(TRIM(Raw_Data!I330))</f>
        <v>Cancelled</v>
      </c>
      <c r="J330" s="2" t="str">
        <f aca="false">TRIM(UPPER(Raw_Data!J330))</f>
        <v>TRK89401624</v>
      </c>
      <c r="K330" s="2" t="n">
        <f aca="false">Raw_Data!K330</f>
        <v>7</v>
      </c>
      <c r="L330" s="2" t="str">
        <f aca="false">IF(TRIM(Raw_Data!L330)="","No Coupon",TRIM(UPPER(Raw_Data!L330)))</f>
        <v>SAVE10</v>
      </c>
      <c r="M330" s="2" t="str">
        <f aca="false">PROPER(TRIM(Raw_Data!M330))</f>
        <v>Google</v>
      </c>
      <c r="N330" s="4" t="n">
        <f aca="false">ROUND(E330*F330,2)</f>
        <v>3370.2</v>
      </c>
      <c r="O330" s="2" t="str">
        <f aca="false">IF(COUNTIF($A$2:$A$1201,A330)&gt;1,"DUPLICATE","Unique")</f>
        <v>Unique</v>
      </c>
      <c r="P330" s="2" t="str">
        <f aca="false">IF(L330="","MISSING","OK")</f>
        <v>OK</v>
      </c>
      <c r="Q330" s="2" t="str">
        <f aca="false">IF(ISNUMBER(B330),"OK","BAD DATE")</f>
        <v>OK</v>
      </c>
      <c r="R330" s="2" t="str">
        <f aca="false">IF(ROUND(F330,2)=F330,"OK","FIX")</f>
        <v>OK</v>
      </c>
    </row>
    <row r="331" customFormat="false" ht="15" hidden="false" customHeight="false" outlineLevel="0" collapsed="false">
      <c r="A331" s="2" t="str">
        <f aca="false">TRIM(UPPER(Raw_Data!A331))</f>
        <v>ORD200329</v>
      </c>
      <c r="B331" s="3" t="n">
        <f aca="false">IF(ISNUMBER(Raw_Data!B331),Raw_Data!B331,DATEVALUE(Raw_Data!B331))</f>
        <v>45651</v>
      </c>
      <c r="C331" s="2" t="str">
        <f aca="false">TRIM(UPPER(Raw_Data!C331))</f>
        <v>C88371</v>
      </c>
      <c r="D331" s="2" t="str">
        <f aca="false">PROPER(TRIM(Raw_Data!D331))</f>
        <v>Chair</v>
      </c>
      <c r="E331" s="2" t="n">
        <f aca="false">Raw_Data!E331</f>
        <v>4</v>
      </c>
      <c r="F331" s="4" t="n">
        <f aca="false">ROUND(Raw_Data!F331,2)</f>
        <v>283.16</v>
      </c>
      <c r="G331" s="2" t="str">
        <f aca="false">PROPER(TRIM(Raw_Data!G331))</f>
        <v>306 Main St</v>
      </c>
      <c r="H331" s="2" t="str">
        <f aca="false">PROPER(TRIM(Raw_Data!H331))</f>
        <v>Credit Card</v>
      </c>
      <c r="I331" s="2" t="str">
        <f aca="false">PROPER(TRIM(Raw_Data!I331))</f>
        <v>Shipped</v>
      </c>
      <c r="J331" s="2" t="str">
        <f aca="false">TRIM(UPPER(Raw_Data!J331))</f>
        <v>TRK63224811</v>
      </c>
      <c r="K331" s="2" t="n">
        <f aca="false">Raw_Data!K331</f>
        <v>6</v>
      </c>
      <c r="L331" s="2" t="str">
        <f aca="false">IF(TRIM(Raw_Data!L331)="","No Coupon",TRIM(UPPER(Raw_Data!L331)))</f>
        <v>No Coupon</v>
      </c>
      <c r="M331" s="2" t="str">
        <f aca="false">PROPER(TRIM(Raw_Data!M331))</f>
        <v>Google</v>
      </c>
      <c r="N331" s="4" t="n">
        <f aca="false">ROUND(E331*F331,2)</f>
        <v>1132.64</v>
      </c>
      <c r="O331" s="2" t="str">
        <f aca="false">IF(COUNTIF($A$2:$A$1201,A331)&gt;1,"DUPLICATE","Unique")</f>
        <v>Unique</v>
      </c>
      <c r="P331" s="2" t="str">
        <f aca="false">IF(L331="","MISSING","OK")</f>
        <v>OK</v>
      </c>
      <c r="Q331" s="2" t="str">
        <f aca="false">IF(ISNUMBER(B331),"OK","BAD DATE")</f>
        <v>OK</v>
      </c>
      <c r="R331" s="2" t="str">
        <f aca="false">IF(ROUND(F331,2)=F331,"OK","FIX")</f>
        <v>OK</v>
      </c>
    </row>
    <row r="332" customFormat="false" ht="15" hidden="false" customHeight="false" outlineLevel="0" collapsed="false">
      <c r="A332" s="2" t="str">
        <f aca="false">TRIM(UPPER(Raw_Data!A332))</f>
        <v>ORD200330</v>
      </c>
      <c r="B332" s="3" t="n">
        <f aca="false">IF(ISNUMBER(Raw_Data!B332),Raw_Data!B332,DATEVALUE(Raw_Data!B332))</f>
        <v>45445</v>
      </c>
      <c r="C332" s="2" t="str">
        <f aca="false">TRIM(UPPER(Raw_Data!C332))</f>
        <v>C38068</v>
      </c>
      <c r="D332" s="2" t="str">
        <f aca="false">PROPER(TRIM(Raw_Data!D332))</f>
        <v>Desk</v>
      </c>
      <c r="E332" s="2" t="n">
        <f aca="false">Raw_Data!E332</f>
        <v>5</v>
      </c>
      <c r="F332" s="4" t="n">
        <f aca="false">ROUND(Raw_Data!F332,2)</f>
        <v>260.53</v>
      </c>
      <c r="G332" s="2" t="str">
        <f aca="false">PROPER(TRIM(Raw_Data!G332))</f>
        <v>532 Main St</v>
      </c>
      <c r="H332" s="2" t="str">
        <f aca="false">PROPER(TRIM(Raw_Data!H332))</f>
        <v>Gift Card</v>
      </c>
      <c r="I332" s="2" t="str">
        <f aca="false">PROPER(TRIM(Raw_Data!I332))</f>
        <v>Pending</v>
      </c>
      <c r="J332" s="2" t="str">
        <f aca="false">TRIM(UPPER(Raw_Data!J332))</f>
        <v>TRK54059198</v>
      </c>
      <c r="K332" s="2" t="n">
        <f aca="false">Raw_Data!K332</f>
        <v>5</v>
      </c>
      <c r="L332" s="2" t="str">
        <f aca="false">IF(TRIM(Raw_Data!L332)="","No Coupon",TRIM(UPPER(Raw_Data!L332)))</f>
        <v>SAVE10</v>
      </c>
      <c r="M332" s="2" t="str">
        <f aca="false">PROPER(TRIM(Raw_Data!M332))</f>
        <v>Instagram</v>
      </c>
      <c r="N332" s="4" t="n">
        <f aca="false">ROUND(E332*F332,2)</f>
        <v>1302.65</v>
      </c>
      <c r="O332" s="2" t="str">
        <f aca="false">IF(COUNTIF($A$2:$A$1201,A332)&gt;1,"DUPLICATE","Unique")</f>
        <v>Unique</v>
      </c>
      <c r="P332" s="2" t="str">
        <f aca="false">IF(L332="","MISSING","OK")</f>
        <v>OK</v>
      </c>
      <c r="Q332" s="2" t="str">
        <f aca="false">IF(ISNUMBER(B332),"OK","BAD DATE")</f>
        <v>OK</v>
      </c>
      <c r="R332" s="2" t="str">
        <f aca="false">IF(ROUND(F332,2)=F332,"OK","FIX")</f>
        <v>OK</v>
      </c>
    </row>
    <row r="333" customFormat="false" ht="15" hidden="false" customHeight="false" outlineLevel="0" collapsed="false">
      <c r="A333" s="2" t="str">
        <f aca="false">TRIM(UPPER(Raw_Data!A333))</f>
        <v>ORD200331</v>
      </c>
      <c r="B333" s="3" t="n">
        <f aca="false">IF(ISNUMBER(Raw_Data!B333),Raw_Data!B333,DATEVALUE(Raw_Data!B333))</f>
        <v>45031</v>
      </c>
      <c r="C333" s="2" t="str">
        <f aca="false">TRIM(UPPER(Raw_Data!C333))</f>
        <v>C78724</v>
      </c>
      <c r="D333" s="2" t="str">
        <f aca="false">PROPER(TRIM(Raw_Data!D333))</f>
        <v>Printer</v>
      </c>
      <c r="E333" s="2" t="n">
        <f aca="false">Raw_Data!E333</f>
        <v>3</v>
      </c>
      <c r="F333" s="4" t="n">
        <f aca="false">ROUND(Raw_Data!F333,2)</f>
        <v>422.13</v>
      </c>
      <c r="G333" s="2" t="str">
        <f aca="false">PROPER(TRIM(Raw_Data!G333))</f>
        <v>187 Main St</v>
      </c>
      <c r="H333" s="2" t="str">
        <f aca="false">PROPER(TRIM(Raw_Data!H333))</f>
        <v>Online</v>
      </c>
      <c r="I333" s="2" t="str">
        <f aca="false">PROPER(TRIM(Raw_Data!I333))</f>
        <v>Delivered</v>
      </c>
      <c r="J333" s="2" t="str">
        <f aca="false">TRIM(UPPER(Raw_Data!J333))</f>
        <v>TRK25703134</v>
      </c>
      <c r="K333" s="2" t="n">
        <f aca="false">Raw_Data!K333</f>
        <v>7</v>
      </c>
      <c r="L333" s="2" t="str">
        <f aca="false">IF(TRIM(Raw_Data!L333)="","No Coupon",TRIM(UPPER(Raw_Data!L333)))</f>
        <v>SAVE10</v>
      </c>
      <c r="M333" s="2" t="str">
        <f aca="false">PROPER(TRIM(Raw_Data!M333))</f>
        <v>Facebook</v>
      </c>
      <c r="N333" s="4" t="n">
        <f aca="false">ROUND(E333*F333,2)</f>
        <v>1266.39</v>
      </c>
      <c r="O333" s="2" t="str">
        <f aca="false">IF(COUNTIF($A$2:$A$1201,A333)&gt;1,"DUPLICATE","Unique")</f>
        <v>Unique</v>
      </c>
      <c r="P333" s="2" t="str">
        <f aca="false">IF(L333="","MISSING","OK")</f>
        <v>OK</v>
      </c>
      <c r="Q333" s="2" t="str">
        <f aca="false">IF(ISNUMBER(B333),"OK","BAD DATE")</f>
        <v>OK</v>
      </c>
      <c r="R333" s="2" t="str">
        <f aca="false">IF(ROUND(F333,2)=F333,"OK","FIX")</f>
        <v>OK</v>
      </c>
    </row>
    <row r="334" customFormat="false" ht="15" hidden="false" customHeight="false" outlineLevel="0" collapsed="false">
      <c r="A334" s="2" t="str">
        <f aca="false">TRIM(UPPER(Raw_Data!A334))</f>
        <v>ORD200332</v>
      </c>
      <c r="B334" s="3" t="n">
        <f aca="false">IF(ISNUMBER(Raw_Data!B334),Raw_Data!B334,DATEVALUE(Raw_Data!B334))</f>
        <v>45476</v>
      </c>
      <c r="C334" s="2" t="str">
        <f aca="false">TRIM(UPPER(Raw_Data!C334))</f>
        <v>C26163</v>
      </c>
      <c r="D334" s="2" t="str">
        <f aca="false">PROPER(TRIM(Raw_Data!D334))</f>
        <v>Desk</v>
      </c>
      <c r="E334" s="2" t="n">
        <f aca="false">Raw_Data!E334</f>
        <v>5</v>
      </c>
      <c r="F334" s="4" t="n">
        <f aca="false">ROUND(Raw_Data!F334,2)</f>
        <v>125.02</v>
      </c>
      <c r="G334" s="2" t="str">
        <f aca="false">PROPER(TRIM(Raw_Data!G334))</f>
        <v>607 Main St</v>
      </c>
      <c r="H334" s="2" t="str">
        <f aca="false">PROPER(TRIM(Raw_Data!H334))</f>
        <v>Debit Card</v>
      </c>
      <c r="I334" s="2" t="str">
        <f aca="false">PROPER(TRIM(Raw_Data!I334))</f>
        <v>Pending</v>
      </c>
      <c r="J334" s="2" t="str">
        <f aca="false">TRIM(UPPER(Raw_Data!J334))</f>
        <v>TRK67499316</v>
      </c>
      <c r="K334" s="2" t="n">
        <f aca="false">Raw_Data!K334</f>
        <v>9</v>
      </c>
      <c r="L334" s="2" t="str">
        <f aca="false">IF(TRIM(Raw_Data!L334)="","No Coupon",TRIM(UPPER(Raw_Data!L334)))</f>
        <v>SAVE10</v>
      </c>
      <c r="M334" s="2" t="str">
        <f aca="false">PROPER(TRIM(Raw_Data!M334))</f>
        <v>Google</v>
      </c>
      <c r="N334" s="4" t="n">
        <f aca="false">ROUND(E334*F334,2)</f>
        <v>625.1</v>
      </c>
      <c r="O334" s="2" t="str">
        <f aca="false">IF(COUNTIF($A$2:$A$1201,A334)&gt;1,"DUPLICATE","Unique")</f>
        <v>Unique</v>
      </c>
      <c r="P334" s="2" t="str">
        <f aca="false">IF(L334="","MISSING","OK")</f>
        <v>OK</v>
      </c>
      <c r="Q334" s="2" t="str">
        <f aca="false">IF(ISNUMBER(B334),"OK","BAD DATE")</f>
        <v>OK</v>
      </c>
      <c r="R334" s="2" t="str">
        <f aca="false">IF(ROUND(F334,2)=F334,"OK","FIX")</f>
        <v>OK</v>
      </c>
    </row>
    <row r="335" customFormat="false" ht="15" hidden="false" customHeight="false" outlineLevel="0" collapsed="false">
      <c r="A335" s="2" t="str">
        <f aca="false">TRIM(UPPER(Raw_Data!A335))</f>
        <v>ORD200333</v>
      </c>
      <c r="B335" s="3" t="n">
        <f aca="false">IF(ISNUMBER(Raw_Data!B335),Raw_Data!B335,DATEVALUE(Raw_Data!B335))</f>
        <v>45398</v>
      </c>
      <c r="C335" s="2" t="str">
        <f aca="false">TRIM(UPPER(Raw_Data!C335))</f>
        <v>C87124</v>
      </c>
      <c r="D335" s="2" t="str">
        <f aca="false">PROPER(TRIM(Raw_Data!D335))</f>
        <v>Phone</v>
      </c>
      <c r="E335" s="2" t="n">
        <f aca="false">Raw_Data!E335</f>
        <v>1</v>
      </c>
      <c r="F335" s="4" t="n">
        <f aca="false">ROUND(Raw_Data!F335,2)</f>
        <v>198.51</v>
      </c>
      <c r="G335" s="2" t="str">
        <f aca="false">PROPER(TRIM(Raw_Data!G335))</f>
        <v>818 Main St</v>
      </c>
      <c r="H335" s="2" t="str">
        <f aca="false">PROPER(TRIM(Raw_Data!H335))</f>
        <v>Credit Card</v>
      </c>
      <c r="I335" s="2" t="str">
        <f aca="false">PROPER(TRIM(Raw_Data!I335))</f>
        <v>Returned</v>
      </c>
      <c r="J335" s="2" t="str">
        <f aca="false">TRIM(UPPER(Raw_Data!J335))</f>
        <v>TRK52086740</v>
      </c>
      <c r="K335" s="2" t="n">
        <f aca="false">Raw_Data!K335</f>
        <v>5</v>
      </c>
      <c r="L335" s="2" t="str">
        <f aca="false">IF(TRIM(Raw_Data!L335)="","No Coupon",TRIM(UPPER(Raw_Data!L335)))</f>
        <v>WINTER15</v>
      </c>
      <c r="M335" s="2" t="str">
        <f aca="false">PROPER(TRIM(Raw_Data!M335))</f>
        <v>Instagram</v>
      </c>
      <c r="N335" s="4" t="n">
        <f aca="false">ROUND(E335*F335,2)</f>
        <v>198.51</v>
      </c>
      <c r="O335" s="2" t="str">
        <f aca="false">IF(COUNTIF($A$2:$A$1201,A335)&gt;1,"DUPLICATE","Unique")</f>
        <v>Unique</v>
      </c>
      <c r="P335" s="2" t="str">
        <f aca="false">IF(L335="","MISSING","OK")</f>
        <v>OK</v>
      </c>
      <c r="Q335" s="2" t="str">
        <f aca="false">IF(ISNUMBER(B335),"OK","BAD DATE")</f>
        <v>OK</v>
      </c>
      <c r="R335" s="2" t="str">
        <f aca="false">IF(ROUND(F335,2)=F335,"OK","FIX")</f>
        <v>OK</v>
      </c>
    </row>
    <row r="336" customFormat="false" ht="15" hidden="false" customHeight="false" outlineLevel="0" collapsed="false">
      <c r="A336" s="2" t="str">
        <f aca="false">TRIM(UPPER(Raw_Data!A336))</f>
        <v>ORD200334</v>
      </c>
      <c r="B336" s="3" t="n">
        <f aca="false">IF(ISNUMBER(Raw_Data!B336),Raw_Data!B336,DATEVALUE(Raw_Data!B336))</f>
        <v>45377</v>
      </c>
      <c r="C336" s="2" t="str">
        <f aca="false">TRIM(UPPER(Raw_Data!C336))</f>
        <v>C90348</v>
      </c>
      <c r="D336" s="2" t="str">
        <f aca="false">PROPER(TRIM(Raw_Data!D336))</f>
        <v>Chair</v>
      </c>
      <c r="E336" s="2" t="n">
        <f aca="false">Raw_Data!E336</f>
        <v>4</v>
      </c>
      <c r="F336" s="4" t="n">
        <f aca="false">ROUND(Raw_Data!F336,2)</f>
        <v>224.75</v>
      </c>
      <c r="G336" s="2" t="str">
        <f aca="false">PROPER(TRIM(Raw_Data!G336))</f>
        <v>728 Main St</v>
      </c>
      <c r="H336" s="2" t="str">
        <f aca="false">PROPER(TRIM(Raw_Data!H336))</f>
        <v>Online</v>
      </c>
      <c r="I336" s="2" t="str">
        <f aca="false">PROPER(TRIM(Raw_Data!I336))</f>
        <v>Delivered</v>
      </c>
      <c r="J336" s="2" t="str">
        <f aca="false">TRIM(UPPER(Raw_Data!J336))</f>
        <v>TRK20635777</v>
      </c>
      <c r="K336" s="2" t="n">
        <f aca="false">Raw_Data!K336</f>
        <v>7</v>
      </c>
      <c r="L336" s="2" t="str">
        <f aca="false">IF(TRIM(Raw_Data!L336)="","No Coupon",TRIM(UPPER(Raw_Data!L336)))</f>
        <v>WINTER15</v>
      </c>
      <c r="M336" s="2" t="str">
        <f aca="false">PROPER(TRIM(Raw_Data!M336))</f>
        <v>Facebook</v>
      </c>
      <c r="N336" s="4" t="n">
        <f aca="false">ROUND(E336*F336,2)</f>
        <v>899</v>
      </c>
      <c r="O336" s="2" t="str">
        <f aca="false">IF(COUNTIF($A$2:$A$1201,A336)&gt;1,"DUPLICATE","Unique")</f>
        <v>Unique</v>
      </c>
      <c r="P336" s="2" t="str">
        <f aca="false">IF(L336="","MISSING","OK")</f>
        <v>OK</v>
      </c>
      <c r="Q336" s="2" t="str">
        <f aca="false">IF(ISNUMBER(B336),"OK","BAD DATE")</f>
        <v>OK</v>
      </c>
      <c r="R336" s="2" t="str">
        <f aca="false">IF(ROUND(F336,2)=F336,"OK","FIX")</f>
        <v>OK</v>
      </c>
    </row>
    <row r="337" customFormat="false" ht="15" hidden="false" customHeight="false" outlineLevel="0" collapsed="false">
      <c r="A337" s="2" t="str">
        <f aca="false">TRIM(UPPER(Raw_Data!A337))</f>
        <v>ORD200335</v>
      </c>
      <c r="B337" s="3" t="n">
        <f aca="false">IF(ISNUMBER(Raw_Data!B337),Raw_Data!B337,DATEVALUE(Raw_Data!B337))</f>
        <v>45719</v>
      </c>
      <c r="C337" s="2" t="str">
        <f aca="false">TRIM(UPPER(Raw_Data!C337))</f>
        <v>C58721</v>
      </c>
      <c r="D337" s="2" t="str">
        <f aca="false">PROPER(TRIM(Raw_Data!D337))</f>
        <v>Tablet</v>
      </c>
      <c r="E337" s="2" t="n">
        <f aca="false">Raw_Data!E337</f>
        <v>3</v>
      </c>
      <c r="F337" s="4" t="n">
        <f aca="false">ROUND(Raw_Data!F337,2)</f>
        <v>205.86</v>
      </c>
      <c r="G337" s="2" t="str">
        <f aca="false">PROPER(TRIM(Raw_Data!G337))</f>
        <v>978 Main St</v>
      </c>
      <c r="H337" s="2" t="str">
        <f aca="false">PROPER(TRIM(Raw_Data!H337))</f>
        <v>Gift Card</v>
      </c>
      <c r="I337" s="2" t="str">
        <f aca="false">PROPER(TRIM(Raw_Data!I337))</f>
        <v>Shipped</v>
      </c>
      <c r="J337" s="2" t="str">
        <f aca="false">TRIM(UPPER(Raw_Data!J337))</f>
        <v>TRK34801199</v>
      </c>
      <c r="K337" s="2" t="n">
        <f aca="false">Raw_Data!K337</f>
        <v>4</v>
      </c>
      <c r="L337" s="2" t="str">
        <f aca="false">IF(TRIM(Raw_Data!L337)="","No Coupon",TRIM(UPPER(Raw_Data!L337)))</f>
        <v>No Coupon</v>
      </c>
      <c r="M337" s="2" t="str">
        <f aca="false">PROPER(TRIM(Raw_Data!M337))</f>
        <v>Email</v>
      </c>
      <c r="N337" s="4" t="n">
        <f aca="false">ROUND(E337*F337,2)</f>
        <v>617.58</v>
      </c>
      <c r="O337" s="2" t="str">
        <f aca="false">IF(COUNTIF($A$2:$A$1201,A337)&gt;1,"DUPLICATE","Unique")</f>
        <v>Unique</v>
      </c>
      <c r="P337" s="2" t="str">
        <f aca="false">IF(L337="","MISSING","OK")</f>
        <v>OK</v>
      </c>
      <c r="Q337" s="2" t="str">
        <f aca="false">IF(ISNUMBER(B337),"OK","BAD DATE")</f>
        <v>OK</v>
      </c>
      <c r="R337" s="2" t="str">
        <f aca="false">IF(ROUND(F337,2)=F337,"OK","FIX")</f>
        <v>OK</v>
      </c>
    </row>
    <row r="338" customFormat="false" ht="15" hidden="false" customHeight="false" outlineLevel="0" collapsed="false">
      <c r="A338" s="2" t="str">
        <f aca="false">TRIM(UPPER(Raw_Data!A338))</f>
        <v>ORD200336</v>
      </c>
      <c r="B338" s="3" t="n">
        <f aca="false">IF(ISNUMBER(Raw_Data!B338),Raw_Data!B338,DATEVALUE(Raw_Data!B338))</f>
        <v>45289</v>
      </c>
      <c r="C338" s="2" t="str">
        <f aca="false">TRIM(UPPER(Raw_Data!C338))</f>
        <v>C88174</v>
      </c>
      <c r="D338" s="2" t="str">
        <f aca="false">PROPER(TRIM(Raw_Data!D338))</f>
        <v>Laptop</v>
      </c>
      <c r="E338" s="2" t="n">
        <f aca="false">Raw_Data!E338</f>
        <v>1</v>
      </c>
      <c r="F338" s="4" t="n">
        <f aca="false">ROUND(Raw_Data!F338,2)</f>
        <v>18.2</v>
      </c>
      <c r="G338" s="2" t="str">
        <f aca="false">PROPER(TRIM(Raw_Data!G338))</f>
        <v>441 Main St</v>
      </c>
      <c r="H338" s="2" t="str">
        <f aca="false">PROPER(TRIM(Raw_Data!H338))</f>
        <v>Debit Card</v>
      </c>
      <c r="I338" s="2" t="str">
        <f aca="false">PROPER(TRIM(Raw_Data!I338))</f>
        <v>Pending</v>
      </c>
      <c r="J338" s="2" t="str">
        <f aca="false">TRIM(UPPER(Raw_Data!J338))</f>
        <v>TRK10143345</v>
      </c>
      <c r="K338" s="2" t="n">
        <f aca="false">Raw_Data!K338</f>
        <v>4</v>
      </c>
      <c r="L338" s="2" t="str">
        <f aca="false">IF(TRIM(Raw_Data!L338)="","No Coupon",TRIM(UPPER(Raw_Data!L338)))</f>
        <v>SAVE10</v>
      </c>
      <c r="M338" s="2" t="str">
        <f aca="false">PROPER(TRIM(Raw_Data!M338))</f>
        <v>Instagram</v>
      </c>
      <c r="N338" s="4" t="n">
        <f aca="false">ROUND(E338*F338,2)</f>
        <v>18.2</v>
      </c>
      <c r="O338" s="2" t="str">
        <f aca="false">IF(COUNTIF($A$2:$A$1201,A338)&gt;1,"DUPLICATE","Unique")</f>
        <v>Unique</v>
      </c>
      <c r="P338" s="2" t="str">
        <f aca="false">IF(L338="","MISSING","OK")</f>
        <v>OK</v>
      </c>
      <c r="Q338" s="2" t="str">
        <f aca="false">IF(ISNUMBER(B338),"OK","BAD DATE")</f>
        <v>OK</v>
      </c>
      <c r="R338" s="2" t="str">
        <f aca="false">IF(ROUND(F338,2)=F338,"OK","FIX")</f>
        <v>OK</v>
      </c>
    </row>
    <row r="339" customFormat="false" ht="15" hidden="false" customHeight="false" outlineLevel="0" collapsed="false">
      <c r="A339" s="2" t="str">
        <f aca="false">TRIM(UPPER(Raw_Data!A339))</f>
        <v>ORD200337</v>
      </c>
      <c r="B339" s="3" t="n">
        <f aca="false">IF(ISNUMBER(Raw_Data!B339),Raw_Data!B339,DATEVALUE(Raw_Data!B339))</f>
        <v>45075</v>
      </c>
      <c r="C339" s="2" t="str">
        <f aca="false">TRIM(UPPER(Raw_Data!C339))</f>
        <v>C77763</v>
      </c>
      <c r="D339" s="2" t="str">
        <f aca="false">PROPER(TRIM(Raw_Data!D339))</f>
        <v>Tablet</v>
      </c>
      <c r="E339" s="2" t="n">
        <f aca="false">Raw_Data!E339</f>
        <v>3</v>
      </c>
      <c r="F339" s="4" t="n">
        <f aca="false">ROUND(Raw_Data!F339,2)</f>
        <v>502.77</v>
      </c>
      <c r="G339" s="2" t="str">
        <f aca="false">PROPER(TRIM(Raw_Data!G339))</f>
        <v>599 Main St</v>
      </c>
      <c r="H339" s="2" t="str">
        <f aca="false">PROPER(TRIM(Raw_Data!H339))</f>
        <v>Debit Card</v>
      </c>
      <c r="I339" s="2" t="str">
        <f aca="false">PROPER(TRIM(Raw_Data!I339))</f>
        <v>Returned</v>
      </c>
      <c r="J339" s="2" t="str">
        <f aca="false">TRIM(UPPER(Raw_Data!J339))</f>
        <v>TRK66980447</v>
      </c>
      <c r="K339" s="2" t="n">
        <f aca="false">Raw_Data!K339</f>
        <v>8</v>
      </c>
      <c r="L339" s="2" t="str">
        <f aca="false">IF(TRIM(Raw_Data!L339)="","No Coupon",TRIM(UPPER(Raw_Data!L339)))</f>
        <v>WINTER15</v>
      </c>
      <c r="M339" s="2" t="str">
        <f aca="false">PROPER(TRIM(Raw_Data!M339))</f>
        <v>Email</v>
      </c>
      <c r="N339" s="4" t="n">
        <f aca="false">ROUND(E339*F339,2)</f>
        <v>1508.31</v>
      </c>
      <c r="O339" s="2" t="str">
        <f aca="false">IF(COUNTIF($A$2:$A$1201,A339)&gt;1,"DUPLICATE","Unique")</f>
        <v>Unique</v>
      </c>
      <c r="P339" s="2" t="str">
        <f aca="false">IF(L339="","MISSING","OK")</f>
        <v>OK</v>
      </c>
      <c r="Q339" s="2" t="str">
        <f aca="false">IF(ISNUMBER(B339),"OK","BAD DATE")</f>
        <v>OK</v>
      </c>
      <c r="R339" s="2" t="str">
        <f aca="false">IF(ROUND(F339,2)=F339,"OK","FIX")</f>
        <v>OK</v>
      </c>
    </row>
    <row r="340" customFormat="false" ht="15" hidden="false" customHeight="false" outlineLevel="0" collapsed="false">
      <c r="A340" s="2" t="str">
        <f aca="false">TRIM(UPPER(Raw_Data!A340))</f>
        <v>ORD200338</v>
      </c>
      <c r="B340" s="3" t="n">
        <f aca="false">IF(ISNUMBER(Raw_Data!B340),Raw_Data!B340,DATEVALUE(Raw_Data!B340))</f>
        <v>45238</v>
      </c>
      <c r="C340" s="2" t="str">
        <f aca="false">TRIM(UPPER(Raw_Data!C340))</f>
        <v>C53627</v>
      </c>
      <c r="D340" s="2" t="str">
        <f aca="false">PROPER(TRIM(Raw_Data!D340))</f>
        <v>Phone</v>
      </c>
      <c r="E340" s="2" t="n">
        <f aca="false">Raw_Data!E340</f>
        <v>5</v>
      </c>
      <c r="F340" s="4" t="n">
        <f aca="false">ROUND(Raw_Data!F340,2)</f>
        <v>305.49</v>
      </c>
      <c r="G340" s="2" t="str">
        <f aca="false">PROPER(TRIM(Raw_Data!G340))</f>
        <v>704 Main St</v>
      </c>
      <c r="H340" s="2" t="str">
        <f aca="false">PROPER(TRIM(Raw_Data!H340))</f>
        <v>Debit Card</v>
      </c>
      <c r="I340" s="2" t="str">
        <f aca="false">PROPER(TRIM(Raw_Data!I340))</f>
        <v>Shipped</v>
      </c>
      <c r="J340" s="2" t="str">
        <f aca="false">TRIM(UPPER(Raw_Data!J340))</f>
        <v>TRK64112352</v>
      </c>
      <c r="K340" s="2" t="n">
        <f aca="false">Raw_Data!K340</f>
        <v>10</v>
      </c>
      <c r="L340" s="2" t="str">
        <f aca="false">IF(TRIM(Raw_Data!L340)="","No Coupon",TRIM(UPPER(Raw_Data!L340)))</f>
        <v>No Coupon</v>
      </c>
      <c r="M340" s="2" t="str">
        <f aca="false">PROPER(TRIM(Raw_Data!M340))</f>
        <v>Referral</v>
      </c>
      <c r="N340" s="4" t="n">
        <f aca="false">ROUND(E340*F340,2)</f>
        <v>1527.45</v>
      </c>
      <c r="O340" s="2" t="str">
        <f aca="false">IF(COUNTIF($A$2:$A$1201,A340)&gt;1,"DUPLICATE","Unique")</f>
        <v>Unique</v>
      </c>
      <c r="P340" s="2" t="str">
        <f aca="false">IF(L340="","MISSING","OK")</f>
        <v>OK</v>
      </c>
      <c r="Q340" s="2" t="str">
        <f aca="false">IF(ISNUMBER(B340),"OK","BAD DATE")</f>
        <v>OK</v>
      </c>
      <c r="R340" s="2" t="str">
        <f aca="false">IF(ROUND(F340,2)=F340,"OK","FIX")</f>
        <v>OK</v>
      </c>
    </row>
    <row r="341" customFormat="false" ht="15" hidden="false" customHeight="false" outlineLevel="0" collapsed="false">
      <c r="A341" s="2" t="str">
        <f aca="false">TRIM(UPPER(Raw_Data!A341))</f>
        <v>ORD200339</v>
      </c>
      <c r="B341" s="3" t="n">
        <f aca="false">IF(ISNUMBER(Raw_Data!B341),Raw_Data!B341,DATEVALUE(Raw_Data!B341))</f>
        <v>45392</v>
      </c>
      <c r="C341" s="2" t="str">
        <f aca="false">TRIM(UPPER(Raw_Data!C341))</f>
        <v>C84563</v>
      </c>
      <c r="D341" s="2" t="str">
        <f aca="false">PROPER(TRIM(Raw_Data!D341))</f>
        <v>Printer</v>
      </c>
      <c r="E341" s="2" t="n">
        <f aca="false">Raw_Data!E341</f>
        <v>2</v>
      </c>
      <c r="F341" s="4" t="n">
        <f aca="false">ROUND(Raw_Data!F341,2)</f>
        <v>236.33</v>
      </c>
      <c r="G341" s="2" t="str">
        <f aca="false">PROPER(TRIM(Raw_Data!G341))</f>
        <v>398 Main St</v>
      </c>
      <c r="H341" s="2" t="str">
        <f aca="false">PROPER(TRIM(Raw_Data!H341))</f>
        <v>Online</v>
      </c>
      <c r="I341" s="2" t="str">
        <f aca="false">PROPER(TRIM(Raw_Data!I341))</f>
        <v>Pending</v>
      </c>
      <c r="J341" s="2" t="str">
        <f aca="false">TRIM(UPPER(Raw_Data!J341))</f>
        <v>TRK62422797</v>
      </c>
      <c r="K341" s="2" t="n">
        <f aca="false">Raw_Data!K341</f>
        <v>3</v>
      </c>
      <c r="L341" s="2" t="str">
        <f aca="false">IF(TRIM(Raw_Data!L341)="","No Coupon",TRIM(UPPER(Raw_Data!L341)))</f>
        <v>SAVE10</v>
      </c>
      <c r="M341" s="2" t="str">
        <f aca="false">PROPER(TRIM(Raw_Data!M341))</f>
        <v>Instagram</v>
      </c>
      <c r="N341" s="4" t="n">
        <f aca="false">ROUND(E341*F341,2)</f>
        <v>472.66</v>
      </c>
      <c r="O341" s="2" t="str">
        <f aca="false">IF(COUNTIF($A$2:$A$1201,A341)&gt;1,"DUPLICATE","Unique")</f>
        <v>Unique</v>
      </c>
      <c r="P341" s="2" t="str">
        <f aca="false">IF(L341="","MISSING","OK")</f>
        <v>OK</v>
      </c>
      <c r="Q341" s="2" t="str">
        <f aca="false">IF(ISNUMBER(B341),"OK","BAD DATE")</f>
        <v>OK</v>
      </c>
      <c r="R341" s="2" t="str">
        <f aca="false">IF(ROUND(F341,2)=F341,"OK","FIX")</f>
        <v>OK</v>
      </c>
    </row>
    <row r="342" customFormat="false" ht="15" hidden="false" customHeight="false" outlineLevel="0" collapsed="false">
      <c r="A342" s="2" t="str">
        <f aca="false">TRIM(UPPER(Raw_Data!A342))</f>
        <v>ORD200340</v>
      </c>
      <c r="B342" s="3" t="n">
        <f aca="false">IF(ISNUMBER(Raw_Data!B342),Raw_Data!B342,DATEVALUE(Raw_Data!B342))</f>
        <v>45039</v>
      </c>
      <c r="C342" s="2" t="str">
        <f aca="false">TRIM(UPPER(Raw_Data!C342))</f>
        <v>C76207</v>
      </c>
      <c r="D342" s="2" t="str">
        <f aca="false">PROPER(TRIM(Raw_Data!D342))</f>
        <v>Laptop</v>
      </c>
      <c r="E342" s="2" t="n">
        <f aca="false">Raw_Data!E342</f>
        <v>5</v>
      </c>
      <c r="F342" s="4" t="n">
        <f aca="false">ROUND(Raw_Data!F342,2)</f>
        <v>521.25</v>
      </c>
      <c r="G342" s="2" t="str">
        <f aca="false">PROPER(TRIM(Raw_Data!G342))</f>
        <v>826 Main St</v>
      </c>
      <c r="H342" s="2" t="str">
        <f aca="false">PROPER(TRIM(Raw_Data!H342))</f>
        <v>Cash</v>
      </c>
      <c r="I342" s="2" t="str">
        <f aca="false">PROPER(TRIM(Raw_Data!I342))</f>
        <v>Cancelled</v>
      </c>
      <c r="J342" s="2" t="str">
        <f aca="false">TRIM(UPPER(Raw_Data!J342))</f>
        <v>TRK25569378</v>
      </c>
      <c r="K342" s="2" t="n">
        <f aca="false">Raw_Data!K342</f>
        <v>8</v>
      </c>
      <c r="L342" s="2" t="str">
        <f aca="false">IF(TRIM(Raw_Data!L342)="","No Coupon",TRIM(UPPER(Raw_Data!L342)))</f>
        <v>No Coupon</v>
      </c>
      <c r="M342" s="2" t="str">
        <f aca="false">PROPER(TRIM(Raw_Data!M342))</f>
        <v>Email</v>
      </c>
      <c r="N342" s="4" t="n">
        <f aca="false">ROUND(E342*F342,2)</f>
        <v>2606.25</v>
      </c>
      <c r="O342" s="2" t="str">
        <f aca="false">IF(COUNTIF($A$2:$A$1201,A342)&gt;1,"DUPLICATE","Unique")</f>
        <v>Unique</v>
      </c>
      <c r="P342" s="2" t="str">
        <f aca="false">IF(L342="","MISSING","OK")</f>
        <v>OK</v>
      </c>
      <c r="Q342" s="2" t="str">
        <f aca="false">IF(ISNUMBER(B342),"OK","BAD DATE")</f>
        <v>OK</v>
      </c>
      <c r="R342" s="2" t="str">
        <f aca="false">IF(ROUND(F342,2)=F342,"OK","FIX")</f>
        <v>OK</v>
      </c>
    </row>
    <row r="343" customFormat="false" ht="15" hidden="false" customHeight="false" outlineLevel="0" collapsed="false">
      <c r="A343" s="2" t="str">
        <f aca="false">TRIM(UPPER(Raw_Data!A343))</f>
        <v>ORD200341</v>
      </c>
      <c r="B343" s="3" t="n">
        <f aca="false">IF(ISNUMBER(Raw_Data!B343),Raw_Data!B343,DATEVALUE(Raw_Data!B343))</f>
        <v>45558</v>
      </c>
      <c r="C343" s="2" t="str">
        <f aca="false">TRIM(UPPER(Raw_Data!C343))</f>
        <v>C94671</v>
      </c>
      <c r="D343" s="2" t="str">
        <f aca="false">PROPER(TRIM(Raw_Data!D343))</f>
        <v>Tablet</v>
      </c>
      <c r="E343" s="2" t="n">
        <f aca="false">Raw_Data!E343</f>
        <v>1</v>
      </c>
      <c r="F343" s="4" t="n">
        <f aca="false">ROUND(Raw_Data!F343,2)</f>
        <v>167.15</v>
      </c>
      <c r="G343" s="2" t="str">
        <f aca="false">PROPER(TRIM(Raw_Data!G343))</f>
        <v>293 Main St</v>
      </c>
      <c r="H343" s="2" t="str">
        <f aca="false">PROPER(TRIM(Raw_Data!H343))</f>
        <v>Gift Card</v>
      </c>
      <c r="I343" s="2" t="str">
        <f aca="false">PROPER(TRIM(Raw_Data!I343))</f>
        <v>Shipped</v>
      </c>
      <c r="J343" s="2" t="str">
        <f aca="false">TRIM(UPPER(Raw_Data!J343))</f>
        <v>TRK61357272</v>
      </c>
      <c r="K343" s="2" t="n">
        <f aca="false">Raw_Data!K343</f>
        <v>5</v>
      </c>
      <c r="L343" s="2" t="str">
        <f aca="false">IF(TRIM(Raw_Data!L343)="","No Coupon",TRIM(UPPER(Raw_Data!L343)))</f>
        <v>WINTER15</v>
      </c>
      <c r="M343" s="2" t="str">
        <f aca="false">PROPER(TRIM(Raw_Data!M343))</f>
        <v>Email</v>
      </c>
      <c r="N343" s="4" t="n">
        <f aca="false">ROUND(E343*F343,2)</f>
        <v>167.15</v>
      </c>
      <c r="O343" s="2" t="str">
        <f aca="false">IF(COUNTIF($A$2:$A$1201,A343)&gt;1,"DUPLICATE","Unique")</f>
        <v>Unique</v>
      </c>
      <c r="P343" s="2" t="str">
        <f aca="false">IF(L343="","MISSING","OK")</f>
        <v>OK</v>
      </c>
      <c r="Q343" s="2" t="str">
        <f aca="false">IF(ISNUMBER(B343),"OK","BAD DATE")</f>
        <v>OK</v>
      </c>
      <c r="R343" s="2" t="str">
        <f aca="false">IF(ROUND(F343,2)=F343,"OK","FIX")</f>
        <v>OK</v>
      </c>
    </row>
    <row r="344" customFormat="false" ht="15" hidden="false" customHeight="false" outlineLevel="0" collapsed="false">
      <c r="A344" s="2" t="str">
        <f aca="false">TRIM(UPPER(Raw_Data!A344))</f>
        <v>ORD200342</v>
      </c>
      <c r="B344" s="3" t="n">
        <f aca="false">IF(ISNUMBER(Raw_Data!B344),Raw_Data!B344,DATEVALUE(Raw_Data!B344))</f>
        <v>45832</v>
      </c>
      <c r="C344" s="2" t="str">
        <f aca="false">TRIM(UPPER(Raw_Data!C344))</f>
        <v>C69994</v>
      </c>
      <c r="D344" s="2" t="str">
        <f aca="false">PROPER(TRIM(Raw_Data!D344))</f>
        <v>Monitor</v>
      </c>
      <c r="E344" s="2" t="n">
        <f aca="false">Raw_Data!E344</f>
        <v>5</v>
      </c>
      <c r="F344" s="4" t="n">
        <f aca="false">ROUND(Raw_Data!F344,2)</f>
        <v>466.42</v>
      </c>
      <c r="G344" s="2" t="str">
        <f aca="false">PROPER(TRIM(Raw_Data!G344))</f>
        <v>619 Main St</v>
      </c>
      <c r="H344" s="2" t="str">
        <f aca="false">PROPER(TRIM(Raw_Data!H344))</f>
        <v>Gift Card</v>
      </c>
      <c r="I344" s="2" t="str">
        <f aca="false">PROPER(TRIM(Raw_Data!I344))</f>
        <v>Returned</v>
      </c>
      <c r="J344" s="2" t="str">
        <f aca="false">TRIM(UPPER(Raw_Data!J344))</f>
        <v>TRK95935805</v>
      </c>
      <c r="K344" s="2" t="n">
        <f aca="false">Raw_Data!K344</f>
        <v>5</v>
      </c>
      <c r="L344" s="2" t="str">
        <f aca="false">IF(TRIM(Raw_Data!L344)="","No Coupon",TRIM(UPPER(Raw_Data!L344)))</f>
        <v>No Coupon</v>
      </c>
      <c r="M344" s="2" t="str">
        <f aca="false">PROPER(TRIM(Raw_Data!M344))</f>
        <v>Referral</v>
      </c>
      <c r="N344" s="4" t="n">
        <f aca="false">ROUND(E344*F344,2)</f>
        <v>2332.1</v>
      </c>
      <c r="O344" s="2" t="str">
        <f aca="false">IF(COUNTIF($A$2:$A$1201,A344)&gt;1,"DUPLICATE","Unique")</f>
        <v>Unique</v>
      </c>
      <c r="P344" s="2" t="str">
        <f aca="false">IF(L344="","MISSING","OK")</f>
        <v>OK</v>
      </c>
      <c r="Q344" s="2" t="str">
        <f aca="false">IF(ISNUMBER(B344),"OK","BAD DATE")</f>
        <v>OK</v>
      </c>
      <c r="R344" s="2" t="str">
        <f aca="false">IF(ROUND(F344,2)=F344,"OK","FIX")</f>
        <v>OK</v>
      </c>
    </row>
    <row r="345" customFormat="false" ht="15" hidden="false" customHeight="false" outlineLevel="0" collapsed="false">
      <c r="A345" s="2" t="str">
        <f aca="false">TRIM(UPPER(Raw_Data!A345))</f>
        <v>ORD200343</v>
      </c>
      <c r="B345" s="3" t="n">
        <f aca="false">IF(ISNUMBER(Raw_Data!B345),Raw_Data!B345,DATEVALUE(Raw_Data!B345))</f>
        <v>44983</v>
      </c>
      <c r="C345" s="2" t="str">
        <f aca="false">TRIM(UPPER(Raw_Data!C345))</f>
        <v>C64638</v>
      </c>
      <c r="D345" s="2" t="str">
        <f aca="false">PROPER(TRIM(Raw_Data!D345))</f>
        <v>Printer</v>
      </c>
      <c r="E345" s="2" t="n">
        <f aca="false">Raw_Data!E345</f>
        <v>1</v>
      </c>
      <c r="F345" s="4" t="n">
        <f aca="false">ROUND(Raw_Data!F345,2)</f>
        <v>527.57</v>
      </c>
      <c r="G345" s="2" t="str">
        <f aca="false">PROPER(TRIM(Raw_Data!G345))</f>
        <v>919 Main St</v>
      </c>
      <c r="H345" s="2" t="str">
        <f aca="false">PROPER(TRIM(Raw_Data!H345))</f>
        <v>Debit Card</v>
      </c>
      <c r="I345" s="2" t="str">
        <f aca="false">PROPER(TRIM(Raw_Data!I345))</f>
        <v>Pending</v>
      </c>
      <c r="J345" s="2" t="str">
        <f aca="false">TRIM(UPPER(Raw_Data!J345))</f>
        <v>TRK64087938</v>
      </c>
      <c r="K345" s="2" t="n">
        <f aca="false">Raw_Data!K345</f>
        <v>3</v>
      </c>
      <c r="L345" s="2" t="str">
        <f aca="false">IF(TRIM(Raw_Data!L345)="","No Coupon",TRIM(UPPER(Raw_Data!L345)))</f>
        <v>FREESHIP</v>
      </c>
      <c r="M345" s="2" t="str">
        <f aca="false">PROPER(TRIM(Raw_Data!M345))</f>
        <v>Facebook</v>
      </c>
      <c r="N345" s="4" t="n">
        <f aca="false">ROUND(E345*F345,2)</f>
        <v>527.57</v>
      </c>
      <c r="O345" s="2" t="str">
        <f aca="false">IF(COUNTIF($A$2:$A$1201,A345)&gt;1,"DUPLICATE","Unique")</f>
        <v>Unique</v>
      </c>
      <c r="P345" s="2" t="str">
        <f aca="false">IF(L345="","MISSING","OK")</f>
        <v>OK</v>
      </c>
      <c r="Q345" s="2" t="str">
        <f aca="false">IF(ISNUMBER(B345),"OK","BAD DATE")</f>
        <v>OK</v>
      </c>
      <c r="R345" s="2" t="str">
        <f aca="false">IF(ROUND(F345,2)=F345,"OK","FIX")</f>
        <v>OK</v>
      </c>
    </row>
    <row r="346" customFormat="false" ht="15" hidden="false" customHeight="false" outlineLevel="0" collapsed="false">
      <c r="A346" s="2" t="str">
        <f aca="false">TRIM(UPPER(Raw_Data!A346))</f>
        <v>ORD200344</v>
      </c>
      <c r="B346" s="3" t="n">
        <f aca="false">IF(ISNUMBER(Raw_Data!B346),Raw_Data!B346,DATEVALUE(Raw_Data!B346))</f>
        <v>45722</v>
      </c>
      <c r="C346" s="2" t="str">
        <f aca="false">TRIM(UPPER(Raw_Data!C346))</f>
        <v>C95623</v>
      </c>
      <c r="D346" s="2" t="str">
        <f aca="false">PROPER(TRIM(Raw_Data!D346))</f>
        <v>Tablet</v>
      </c>
      <c r="E346" s="2" t="n">
        <f aca="false">Raw_Data!E346</f>
        <v>3</v>
      </c>
      <c r="F346" s="4" t="n">
        <f aca="false">ROUND(Raw_Data!F346,2)</f>
        <v>623.34</v>
      </c>
      <c r="G346" s="2" t="str">
        <f aca="false">PROPER(TRIM(Raw_Data!G346))</f>
        <v>248 Main St</v>
      </c>
      <c r="H346" s="2" t="str">
        <f aca="false">PROPER(TRIM(Raw_Data!H346))</f>
        <v>Online</v>
      </c>
      <c r="I346" s="2" t="str">
        <f aca="false">PROPER(TRIM(Raw_Data!I346))</f>
        <v>Cancelled</v>
      </c>
      <c r="J346" s="2" t="str">
        <f aca="false">TRIM(UPPER(Raw_Data!J346))</f>
        <v>TRK67558189</v>
      </c>
      <c r="K346" s="2" t="n">
        <f aca="false">Raw_Data!K346</f>
        <v>3</v>
      </c>
      <c r="L346" s="2" t="str">
        <f aca="false">IF(TRIM(Raw_Data!L346)="","No Coupon",TRIM(UPPER(Raw_Data!L346)))</f>
        <v>SAVE10</v>
      </c>
      <c r="M346" s="2" t="str">
        <f aca="false">PROPER(TRIM(Raw_Data!M346))</f>
        <v>Instagram</v>
      </c>
      <c r="N346" s="4" t="n">
        <f aca="false">ROUND(E346*F346,2)</f>
        <v>1870.02</v>
      </c>
      <c r="O346" s="2" t="str">
        <f aca="false">IF(COUNTIF($A$2:$A$1201,A346)&gt;1,"DUPLICATE","Unique")</f>
        <v>Unique</v>
      </c>
      <c r="P346" s="2" t="str">
        <f aca="false">IF(L346="","MISSING","OK")</f>
        <v>OK</v>
      </c>
      <c r="Q346" s="2" t="str">
        <f aca="false">IF(ISNUMBER(B346),"OK","BAD DATE")</f>
        <v>OK</v>
      </c>
      <c r="R346" s="2" t="str">
        <f aca="false">IF(ROUND(F346,2)=F346,"OK","FIX")</f>
        <v>OK</v>
      </c>
    </row>
    <row r="347" customFormat="false" ht="15" hidden="false" customHeight="false" outlineLevel="0" collapsed="false">
      <c r="A347" s="2" t="str">
        <f aca="false">TRIM(UPPER(Raw_Data!A347))</f>
        <v>ORD200345</v>
      </c>
      <c r="B347" s="3" t="n">
        <f aca="false">IF(ISNUMBER(Raw_Data!B347),Raw_Data!B347,DATEVALUE(Raw_Data!B347))</f>
        <v>45267</v>
      </c>
      <c r="C347" s="2" t="str">
        <f aca="false">TRIM(UPPER(Raw_Data!C347))</f>
        <v>C24751</v>
      </c>
      <c r="D347" s="2" t="str">
        <f aca="false">PROPER(TRIM(Raw_Data!D347))</f>
        <v>Tablet</v>
      </c>
      <c r="E347" s="2" t="n">
        <f aca="false">Raw_Data!E347</f>
        <v>5</v>
      </c>
      <c r="F347" s="4" t="n">
        <f aca="false">ROUND(Raw_Data!F347,2)</f>
        <v>501.26</v>
      </c>
      <c r="G347" s="2" t="str">
        <f aca="false">PROPER(TRIM(Raw_Data!G347))</f>
        <v>259 Main St</v>
      </c>
      <c r="H347" s="2" t="str">
        <f aca="false">PROPER(TRIM(Raw_Data!H347))</f>
        <v>Gift Card</v>
      </c>
      <c r="I347" s="2" t="str">
        <f aca="false">PROPER(TRIM(Raw_Data!I347))</f>
        <v>Shipped</v>
      </c>
      <c r="J347" s="2" t="str">
        <f aca="false">TRIM(UPPER(Raw_Data!J347))</f>
        <v>TRK37285406</v>
      </c>
      <c r="K347" s="2" t="n">
        <f aca="false">Raw_Data!K347</f>
        <v>10</v>
      </c>
      <c r="L347" s="2" t="str">
        <f aca="false">IF(TRIM(Raw_Data!L347)="","No Coupon",TRIM(UPPER(Raw_Data!L347)))</f>
        <v>FREESHIP</v>
      </c>
      <c r="M347" s="2" t="str">
        <f aca="false">PROPER(TRIM(Raw_Data!M347))</f>
        <v>Referral</v>
      </c>
      <c r="N347" s="4" t="n">
        <f aca="false">ROUND(E347*F347,2)</f>
        <v>2506.3</v>
      </c>
      <c r="O347" s="2" t="str">
        <f aca="false">IF(COUNTIF($A$2:$A$1201,A347)&gt;1,"DUPLICATE","Unique")</f>
        <v>Unique</v>
      </c>
      <c r="P347" s="2" t="str">
        <f aca="false">IF(L347="","MISSING","OK")</f>
        <v>OK</v>
      </c>
      <c r="Q347" s="2" t="str">
        <f aca="false">IF(ISNUMBER(B347),"OK","BAD DATE")</f>
        <v>OK</v>
      </c>
      <c r="R347" s="2" t="str">
        <f aca="false">IF(ROUND(F347,2)=F347,"OK","FIX")</f>
        <v>OK</v>
      </c>
    </row>
    <row r="348" customFormat="false" ht="15" hidden="false" customHeight="false" outlineLevel="0" collapsed="false">
      <c r="A348" s="2" t="str">
        <f aca="false">TRIM(UPPER(Raw_Data!A348))</f>
        <v>ORD200346</v>
      </c>
      <c r="B348" s="3" t="n">
        <f aca="false">IF(ISNUMBER(Raw_Data!B348),Raw_Data!B348,DATEVALUE(Raw_Data!B348))</f>
        <v>45632</v>
      </c>
      <c r="C348" s="2" t="str">
        <f aca="false">TRIM(UPPER(Raw_Data!C348))</f>
        <v>C31764</v>
      </c>
      <c r="D348" s="2" t="str">
        <f aca="false">PROPER(TRIM(Raw_Data!D348))</f>
        <v>Tablet</v>
      </c>
      <c r="E348" s="2" t="n">
        <f aca="false">Raw_Data!E348</f>
        <v>1</v>
      </c>
      <c r="F348" s="4" t="n">
        <f aca="false">ROUND(Raw_Data!F348,2)</f>
        <v>655.09</v>
      </c>
      <c r="G348" s="2" t="str">
        <f aca="false">PROPER(TRIM(Raw_Data!G348))</f>
        <v>876 Main St</v>
      </c>
      <c r="H348" s="2" t="str">
        <f aca="false">PROPER(TRIM(Raw_Data!H348))</f>
        <v>Cash</v>
      </c>
      <c r="I348" s="2" t="str">
        <f aca="false">PROPER(TRIM(Raw_Data!I348))</f>
        <v>Pending</v>
      </c>
      <c r="J348" s="2" t="str">
        <f aca="false">TRIM(UPPER(Raw_Data!J348))</f>
        <v>TRK44680433</v>
      </c>
      <c r="K348" s="2" t="n">
        <f aca="false">Raw_Data!K348</f>
        <v>6</v>
      </c>
      <c r="L348" s="2" t="str">
        <f aca="false">IF(TRIM(Raw_Data!L348)="","No Coupon",TRIM(UPPER(Raw_Data!L348)))</f>
        <v>No Coupon</v>
      </c>
      <c r="M348" s="2" t="str">
        <f aca="false">PROPER(TRIM(Raw_Data!M348))</f>
        <v>Referral</v>
      </c>
      <c r="N348" s="4" t="n">
        <f aca="false">ROUND(E348*F348,2)</f>
        <v>655.09</v>
      </c>
      <c r="O348" s="2" t="str">
        <f aca="false">IF(COUNTIF($A$2:$A$1201,A348)&gt;1,"DUPLICATE","Unique")</f>
        <v>Unique</v>
      </c>
      <c r="P348" s="2" t="str">
        <f aca="false">IF(L348="","MISSING","OK")</f>
        <v>OK</v>
      </c>
      <c r="Q348" s="2" t="str">
        <f aca="false">IF(ISNUMBER(B348),"OK","BAD DATE")</f>
        <v>OK</v>
      </c>
      <c r="R348" s="2" t="str">
        <f aca="false">IF(ROUND(F348,2)=F348,"OK","FIX")</f>
        <v>OK</v>
      </c>
    </row>
    <row r="349" customFormat="false" ht="15" hidden="false" customHeight="false" outlineLevel="0" collapsed="false">
      <c r="A349" s="2" t="str">
        <f aca="false">TRIM(UPPER(Raw_Data!A349))</f>
        <v>ORD200347</v>
      </c>
      <c r="B349" s="3" t="n">
        <f aca="false">IF(ISNUMBER(Raw_Data!B349),Raw_Data!B349,DATEVALUE(Raw_Data!B349))</f>
        <v>45325</v>
      </c>
      <c r="C349" s="2" t="str">
        <f aca="false">TRIM(UPPER(Raw_Data!C349))</f>
        <v>C83556</v>
      </c>
      <c r="D349" s="2" t="str">
        <f aca="false">PROPER(TRIM(Raw_Data!D349))</f>
        <v>Printer</v>
      </c>
      <c r="E349" s="2" t="n">
        <f aca="false">Raw_Data!E349</f>
        <v>4</v>
      </c>
      <c r="F349" s="4" t="n">
        <f aca="false">ROUND(Raw_Data!F349,2)</f>
        <v>264.79</v>
      </c>
      <c r="G349" s="2" t="str">
        <f aca="false">PROPER(TRIM(Raw_Data!G349))</f>
        <v>380 Main St</v>
      </c>
      <c r="H349" s="2" t="str">
        <f aca="false">PROPER(TRIM(Raw_Data!H349))</f>
        <v>Credit Card</v>
      </c>
      <c r="I349" s="2" t="str">
        <f aca="false">PROPER(TRIM(Raw_Data!I349))</f>
        <v>Pending</v>
      </c>
      <c r="J349" s="2" t="str">
        <f aca="false">TRIM(UPPER(Raw_Data!J349))</f>
        <v>TRK21109187</v>
      </c>
      <c r="K349" s="2" t="n">
        <f aca="false">Raw_Data!K349</f>
        <v>5</v>
      </c>
      <c r="L349" s="2" t="str">
        <f aca="false">IF(TRIM(Raw_Data!L349)="","No Coupon",TRIM(UPPER(Raw_Data!L349)))</f>
        <v>SAVE10</v>
      </c>
      <c r="M349" s="2" t="str">
        <f aca="false">PROPER(TRIM(Raw_Data!M349))</f>
        <v>Google</v>
      </c>
      <c r="N349" s="4" t="n">
        <f aca="false">ROUND(E349*F349,2)</f>
        <v>1059.16</v>
      </c>
      <c r="O349" s="2" t="str">
        <f aca="false">IF(COUNTIF($A$2:$A$1201,A349)&gt;1,"DUPLICATE","Unique")</f>
        <v>Unique</v>
      </c>
      <c r="P349" s="2" t="str">
        <f aca="false">IF(L349="","MISSING","OK")</f>
        <v>OK</v>
      </c>
      <c r="Q349" s="2" t="str">
        <f aca="false">IF(ISNUMBER(B349),"OK","BAD DATE")</f>
        <v>OK</v>
      </c>
      <c r="R349" s="2" t="str">
        <f aca="false">IF(ROUND(F349,2)=F349,"OK","FIX")</f>
        <v>OK</v>
      </c>
    </row>
    <row r="350" customFormat="false" ht="15" hidden="false" customHeight="false" outlineLevel="0" collapsed="false">
      <c r="A350" s="2" t="str">
        <f aca="false">TRIM(UPPER(Raw_Data!A350))</f>
        <v>ORD200348</v>
      </c>
      <c r="B350" s="3" t="n">
        <f aca="false">IF(ISNUMBER(Raw_Data!B350),Raw_Data!B350,DATEVALUE(Raw_Data!B350))</f>
        <v>45364</v>
      </c>
      <c r="C350" s="2" t="str">
        <f aca="false">TRIM(UPPER(Raw_Data!C350))</f>
        <v>C24369</v>
      </c>
      <c r="D350" s="2" t="str">
        <f aca="false">PROPER(TRIM(Raw_Data!D350))</f>
        <v>Laptop</v>
      </c>
      <c r="E350" s="2" t="n">
        <f aca="false">Raw_Data!E350</f>
        <v>3</v>
      </c>
      <c r="F350" s="4" t="n">
        <f aca="false">ROUND(Raw_Data!F350,2)</f>
        <v>359.73</v>
      </c>
      <c r="G350" s="2" t="str">
        <f aca="false">PROPER(TRIM(Raw_Data!G350))</f>
        <v>885 Main St</v>
      </c>
      <c r="H350" s="2" t="str">
        <f aca="false">PROPER(TRIM(Raw_Data!H350))</f>
        <v>Debit Card</v>
      </c>
      <c r="I350" s="2" t="str">
        <f aca="false">PROPER(TRIM(Raw_Data!I350))</f>
        <v>Returned</v>
      </c>
      <c r="J350" s="2" t="str">
        <f aca="false">TRIM(UPPER(Raw_Data!J350))</f>
        <v>TRK72633998</v>
      </c>
      <c r="K350" s="2" t="n">
        <f aca="false">Raw_Data!K350</f>
        <v>7</v>
      </c>
      <c r="L350" s="2" t="str">
        <f aca="false">IF(TRIM(Raw_Data!L350)="","No Coupon",TRIM(UPPER(Raw_Data!L350)))</f>
        <v>FREESHIP</v>
      </c>
      <c r="M350" s="2" t="str">
        <f aca="false">PROPER(TRIM(Raw_Data!M350))</f>
        <v>Email</v>
      </c>
      <c r="N350" s="4" t="n">
        <f aca="false">ROUND(E350*F350,2)</f>
        <v>1079.19</v>
      </c>
      <c r="O350" s="2" t="str">
        <f aca="false">IF(COUNTIF($A$2:$A$1201,A350)&gt;1,"DUPLICATE","Unique")</f>
        <v>Unique</v>
      </c>
      <c r="P350" s="2" t="str">
        <f aca="false">IF(L350="","MISSING","OK")</f>
        <v>OK</v>
      </c>
      <c r="Q350" s="2" t="str">
        <f aca="false">IF(ISNUMBER(B350),"OK","BAD DATE")</f>
        <v>OK</v>
      </c>
      <c r="R350" s="2" t="str">
        <f aca="false">IF(ROUND(F350,2)=F350,"OK","FIX")</f>
        <v>OK</v>
      </c>
    </row>
    <row r="351" customFormat="false" ht="15" hidden="false" customHeight="false" outlineLevel="0" collapsed="false">
      <c r="A351" s="2" t="str">
        <f aca="false">TRIM(UPPER(Raw_Data!A351))</f>
        <v>ORD200349</v>
      </c>
      <c r="B351" s="3" t="n">
        <f aca="false">IF(ISNUMBER(Raw_Data!B351),Raw_Data!B351,DATEVALUE(Raw_Data!B351))</f>
        <v>45260</v>
      </c>
      <c r="C351" s="2" t="str">
        <f aca="false">TRIM(UPPER(Raw_Data!C351))</f>
        <v>C39648</v>
      </c>
      <c r="D351" s="2" t="str">
        <f aca="false">PROPER(TRIM(Raw_Data!D351))</f>
        <v>Chair</v>
      </c>
      <c r="E351" s="2" t="n">
        <f aca="false">Raw_Data!E351</f>
        <v>1</v>
      </c>
      <c r="F351" s="4" t="n">
        <f aca="false">ROUND(Raw_Data!F351,2)</f>
        <v>465.33</v>
      </c>
      <c r="G351" s="2" t="str">
        <f aca="false">PROPER(TRIM(Raw_Data!G351))</f>
        <v>824 Main St</v>
      </c>
      <c r="H351" s="2" t="str">
        <f aca="false">PROPER(TRIM(Raw_Data!H351))</f>
        <v>Gift Card</v>
      </c>
      <c r="I351" s="2" t="str">
        <f aca="false">PROPER(TRIM(Raw_Data!I351))</f>
        <v>Delivered</v>
      </c>
      <c r="J351" s="2" t="str">
        <f aca="false">TRIM(UPPER(Raw_Data!J351))</f>
        <v>TRK56016905</v>
      </c>
      <c r="K351" s="2" t="n">
        <f aca="false">Raw_Data!K351</f>
        <v>2</v>
      </c>
      <c r="L351" s="2" t="str">
        <f aca="false">IF(TRIM(Raw_Data!L351)="","No Coupon",TRIM(UPPER(Raw_Data!L351)))</f>
        <v>FREESHIP</v>
      </c>
      <c r="M351" s="2" t="str">
        <f aca="false">PROPER(TRIM(Raw_Data!M351))</f>
        <v>Google</v>
      </c>
      <c r="N351" s="4" t="n">
        <f aca="false">ROUND(E351*F351,2)</f>
        <v>465.33</v>
      </c>
      <c r="O351" s="2" t="str">
        <f aca="false">IF(COUNTIF($A$2:$A$1201,A351)&gt;1,"DUPLICATE","Unique")</f>
        <v>Unique</v>
      </c>
      <c r="P351" s="2" t="str">
        <f aca="false">IF(L351="","MISSING","OK")</f>
        <v>OK</v>
      </c>
      <c r="Q351" s="2" t="str">
        <f aca="false">IF(ISNUMBER(B351),"OK","BAD DATE")</f>
        <v>OK</v>
      </c>
      <c r="R351" s="2" t="str">
        <f aca="false">IF(ROUND(F351,2)=F351,"OK","FIX")</f>
        <v>OK</v>
      </c>
    </row>
    <row r="352" customFormat="false" ht="15" hidden="false" customHeight="false" outlineLevel="0" collapsed="false">
      <c r="A352" s="2" t="str">
        <f aca="false">TRIM(UPPER(Raw_Data!A352))</f>
        <v>ORD200350</v>
      </c>
      <c r="B352" s="3" t="n">
        <f aca="false">IF(ISNUMBER(Raw_Data!B352),Raw_Data!B352,DATEVALUE(Raw_Data!B352))</f>
        <v>45080</v>
      </c>
      <c r="C352" s="2" t="str">
        <f aca="false">TRIM(UPPER(Raw_Data!C352))</f>
        <v>C13296</v>
      </c>
      <c r="D352" s="2" t="str">
        <f aca="false">PROPER(TRIM(Raw_Data!D352))</f>
        <v>Chair</v>
      </c>
      <c r="E352" s="2" t="n">
        <f aca="false">Raw_Data!E352</f>
        <v>2</v>
      </c>
      <c r="F352" s="4" t="n">
        <f aca="false">ROUND(Raw_Data!F352,2)</f>
        <v>54.41</v>
      </c>
      <c r="G352" s="2" t="str">
        <f aca="false">PROPER(TRIM(Raw_Data!G352))</f>
        <v>495 Main St</v>
      </c>
      <c r="H352" s="2" t="str">
        <f aca="false">PROPER(TRIM(Raw_Data!H352))</f>
        <v>Online</v>
      </c>
      <c r="I352" s="2" t="str">
        <f aca="false">PROPER(TRIM(Raw_Data!I352))</f>
        <v>Shipped</v>
      </c>
      <c r="J352" s="2" t="str">
        <f aca="false">TRIM(UPPER(Raw_Data!J352))</f>
        <v>TRK60127216</v>
      </c>
      <c r="K352" s="2" t="n">
        <f aca="false">Raw_Data!K352</f>
        <v>6</v>
      </c>
      <c r="L352" s="2" t="str">
        <f aca="false">IF(TRIM(Raw_Data!L352)="","No Coupon",TRIM(UPPER(Raw_Data!L352)))</f>
        <v>No Coupon</v>
      </c>
      <c r="M352" s="2" t="str">
        <f aca="false">PROPER(TRIM(Raw_Data!M352))</f>
        <v>Instagram</v>
      </c>
      <c r="N352" s="4" t="n">
        <f aca="false">ROUND(E352*F352,2)</f>
        <v>108.82</v>
      </c>
      <c r="O352" s="2" t="str">
        <f aca="false">IF(COUNTIF($A$2:$A$1201,A352)&gt;1,"DUPLICATE","Unique")</f>
        <v>Unique</v>
      </c>
      <c r="P352" s="2" t="str">
        <f aca="false">IF(L352="","MISSING","OK")</f>
        <v>OK</v>
      </c>
      <c r="Q352" s="2" t="str">
        <f aca="false">IF(ISNUMBER(B352),"OK","BAD DATE")</f>
        <v>OK</v>
      </c>
      <c r="R352" s="2" t="str">
        <f aca="false">IF(ROUND(F352,2)=F352,"OK","FIX")</f>
        <v>OK</v>
      </c>
    </row>
    <row r="353" customFormat="false" ht="15" hidden="false" customHeight="false" outlineLevel="0" collapsed="false">
      <c r="A353" s="2" t="str">
        <f aca="false">TRIM(UPPER(Raw_Data!A353))</f>
        <v>ORD200351</v>
      </c>
      <c r="B353" s="3" t="n">
        <f aca="false">IF(ISNUMBER(Raw_Data!B353),Raw_Data!B353,DATEVALUE(Raw_Data!B353))</f>
        <v>45703</v>
      </c>
      <c r="C353" s="2" t="str">
        <f aca="false">TRIM(UPPER(Raw_Data!C353))</f>
        <v>C94248</v>
      </c>
      <c r="D353" s="2" t="str">
        <f aca="false">PROPER(TRIM(Raw_Data!D353))</f>
        <v>Laptop</v>
      </c>
      <c r="E353" s="2" t="n">
        <f aca="false">Raw_Data!E353</f>
        <v>1</v>
      </c>
      <c r="F353" s="4" t="n">
        <f aca="false">ROUND(Raw_Data!F353,2)</f>
        <v>64.66</v>
      </c>
      <c r="G353" s="2" t="str">
        <f aca="false">PROPER(TRIM(Raw_Data!G353))</f>
        <v>494 Main St</v>
      </c>
      <c r="H353" s="2" t="str">
        <f aca="false">PROPER(TRIM(Raw_Data!H353))</f>
        <v>Debit Card</v>
      </c>
      <c r="I353" s="2" t="str">
        <f aca="false">PROPER(TRIM(Raw_Data!I353))</f>
        <v>Delivered</v>
      </c>
      <c r="J353" s="2" t="str">
        <f aca="false">TRIM(UPPER(Raw_Data!J353))</f>
        <v>TRK89406816</v>
      </c>
      <c r="K353" s="2" t="n">
        <f aca="false">Raw_Data!K353</f>
        <v>4</v>
      </c>
      <c r="L353" s="2" t="str">
        <f aca="false">IF(TRIM(Raw_Data!L353)="","No Coupon",TRIM(UPPER(Raw_Data!L353)))</f>
        <v>No Coupon</v>
      </c>
      <c r="M353" s="2" t="str">
        <f aca="false">PROPER(TRIM(Raw_Data!M353))</f>
        <v>Instagram</v>
      </c>
      <c r="N353" s="4" t="n">
        <f aca="false">ROUND(E353*F353,2)</f>
        <v>64.66</v>
      </c>
      <c r="O353" s="2" t="str">
        <f aca="false">IF(COUNTIF($A$2:$A$1201,A353)&gt;1,"DUPLICATE","Unique")</f>
        <v>Unique</v>
      </c>
      <c r="P353" s="2" t="str">
        <f aca="false">IF(L353="","MISSING","OK")</f>
        <v>OK</v>
      </c>
      <c r="Q353" s="2" t="str">
        <f aca="false">IF(ISNUMBER(B353),"OK","BAD DATE")</f>
        <v>OK</v>
      </c>
      <c r="R353" s="2" t="str">
        <f aca="false">IF(ROUND(F353,2)=F353,"OK","FIX")</f>
        <v>OK</v>
      </c>
    </row>
    <row r="354" customFormat="false" ht="15" hidden="false" customHeight="false" outlineLevel="0" collapsed="false">
      <c r="A354" s="2" t="str">
        <f aca="false">TRIM(UPPER(Raw_Data!A354))</f>
        <v>ORD200352</v>
      </c>
      <c r="B354" s="3" t="n">
        <f aca="false">IF(ISNUMBER(Raw_Data!B354),Raw_Data!B354,DATEVALUE(Raw_Data!B354))</f>
        <v>45169</v>
      </c>
      <c r="C354" s="2" t="str">
        <f aca="false">TRIM(UPPER(Raw_Data!C354))</f>
        <v>C26637</v>
      </c>
      <c r="D354" s="2" t="str">
        <f aca="false">PROPER(TRIM(Raw_Data!D354))</f>
        <v>Chair</v>
      </c>
      <c r="E354" s="2" t="n">
        <f aca="false">Raw_Data!E354</f>
        <v>5</v>
      </c>
      <c r="F354" s="4" t="n">
        <f aca="false">ROUND(Raw_Data!F354,2)</f>
        <v>173.96</v>
      </c>
      <c r="G354" s="2" t="str">
        <f aca="false">PROPER(TRIM(Raw_Data!G354))</f>
        <v>995 Main St</v>
      </c>
      <c r="H354" s="2" t="str">
        <f aca="false">PROPER(TRIM(Raw_Data!H354))</f>
        <v>Debit Card</v>
      </c>
      <c r="I354" s="2" t="str">
        <f aca="false">PROPER(TRIM(Raw_Data!I354))</f>
        <v>Pending</v>
      </c>
      <c r="J354" s="2" t="str">
        <f aca="false">TRIM(UPPER(Raw_Data!J354))</f>
        <v>TRK59546992</v>
      </c>
      <c r="K354" s="2" t="n">
        <f aca="false">Raw_Data!K354</f>
        <v>8</v>
      </c>
      <c r="L354" s="2" t="str">
        <f aca="false">IF(TRIM(Raw_Data!L354)="","No Coupon",TRIM(UPPER(Raw_Data!L354)))</f>
        <v>WINTER15</v>
      </c>
      <c r="M354" s="2" t="str">
        <f aca="false">PROPER(TRIM(Raw_Data!M354))</f>
        <v>Instagram</v>
      </c>
      <c r="N354" s="4" t="n">
        <f aca="false">ROUND(E354*F354,2)</f>
        <v>869.8</v>
      </c>
      <c r="O354" s="2" t="str">
        <f aca="false">IF(COUNTIF($A$2:$A$1201,A354)&gt;1,"DUPLICATE","Unique")</f>
        <v>Unique</v>
      </c>
      <c r="P354" s="2" t="str">
        <f aca="false">IF(L354="","MISSING","OK")</f>
        <v>OK</v>
      </c>
      <c r="Q354" s="2" t="str">
        <f aca="false">IF(ISNUMBER(B354),"OK","BAD DATE")</f>
        <v>OK</v>
      </c>
      <c r="R354" s="2" t="str">
        <f aca="false">IF(ROUND(F354,2)=F354,"OK","FIX")</f>
        <v>OK</v>
      </c>
    </row>
    <row r="355" customFormat="false" ht="15" hidden="false" customHeight="false" outlineLevel="0" collapsed="false">
      <c r="A355" s="2" t="str">
        <f aca="false">TRIM(UPPER(Raw_Data!A355))</f>
        <v>ORD200353</v>
      </c>
      <c r="B355" s="3" t="n">
        <f aca="false">IF(ISNUMBER(Raw_Data!B355),Raw_Data!B355,DATEVALUE(Raw_Data!B355))</f>
        <v>45744</v>
      </c>
      <c r="C355" s="2" t="str">
        <f aca="false">TRIM(UPPER(Raw_Data!C355))</f>
        <v>C16012</v>
      </c>
      <c r="D355" s="2" t="str">
        <f aca="false">PROPER(TRIM(Raw_Data!D355))</f>
        <v>Tablet</v>
      </c>
      <c r="E355" s="2" t="n">
        <f aca="false">Raw_Data!E355</f>
        <v>1</v>
      </c>
      <c r="F355" s="4" t="n">
        <f aca="false">ROUND(Raw_Data!F355,2)</f>
        <v>630.82</v>
      </c>
      <c r="G355" s="2" t="str">
        <f aca="false">PROPER(TRIM(Raw_Data!G355))</f>
        <v>171 Main St</v>
      </c>
      <c r="H355" s="2" t="str">
        <f aca="false">PROPER(TRIM(Raw_Data!H355))</f>
        <v>Online</v>
      </c>
      <c r="I355" s="2" t="str">
        <f aca="false">PROPER(TRIM(Raw_Data!I355))</f>
        <v>Delivered</v>
      </c>
      <c r="J355" s="2" t="str">
        <f aca="false">TRIM(UPPER(Raw_Data!J355))</f>
        <v>TRK15195225</v>
      </c>
      <c r="K355" s="2" t="n">
        <f aca="false">Raw_Data!K355</f>
        <v>5</v>
      </c>
      <c r="L355" s="2" t="str">
        <f aca="false">IF(TRIM(Raw_Data!L355)="","No Coupon",TRIM(UPPER(Raw_Data!L355)))</f>
        <v>FREESHIP</v>
      </c>
      <c r="M355" s="2" t="str">
        <f aca="false">PROPER(TRIM(Raw_Data!M355))</f>
        <v>Google</v>
      </c>
      <c r="N355" s="4" t="n">
        <f aca="false">ROUND(E355*F355,2)</f>
        <v>630.82</v>
      </c>
      <c r="O355" s="2" t="str">
        <f aca="false">IF(COUNTIF($A$2:$A$1201,A355)&gt;1,"DUPLICATE","Unique")</f>
        <v>Unique</v>
      </c>
      <c r="P355" s="2" t="str">
        <f aca="false">IF(L355="","MISSING","OK")</f>
        <v>OK</v>
      </c>
      <c r="Q355" s="2" t="str">
        <f aca="false">IF(ISNUMBER(B355),"OK","BAD DATE")</f>
        <v>OK</v>
      </c>
      <c r="R355" s="2" t="str">
        <f aca="false">IF(ROUND(F355,2)=F355,"OK","FIX")</f>
        <v>OK</v>
      </c>
    </row>
    <row r="356" customFormat="false" ht="15" hidden="false" customHeight="false" outlineLevel="0" collapsed="false">
      <c r="A356" s="2" t="str">
        <f aca="false">TRIM(UPPER(Raw_Data!A356))</f>
        <v>ORD200354</v>
      </c>
      <c r="B356" s="3" t="n">
        <f aca="false">IF(ISNUMBER(Raw_Data!B356),Raw_Data!B356,DATEVALUE(Raw_Data!B356))</f>
        <v>45118</v>
      </c>
      <c r="C356" s="2" t="str">
        <f aca="false">TRIM(UPPER(Raw_Data!C356))</f>
        <v>C31772</v>
      </c>
      <c r="D356" s="2" t="str">
        <f aca="false">PROPER(TRIM(Raw_Data!D356))</f>
        <v>Phone</v>
      </c>
      <c r="E356" s="2" t="n">
        <f aca="false">Raw_Data!E356</f>
        <v>1</v>
      </c>
      <c r="F356" s="4" t="n">
        <f aca="false">ROUND(Raw_Data!F356,2)</f>
        <v>693.41</v>
      </c>
      <c r="G356" s="2" t="str">
        <f aca="false">PROPER(TRIM(Raw_Data!G356))</f>
        <v>992 Main St</v>
      </c>
      <c r="H356" s="2" t="str">
        <f aca="false">PROPER(TRIM(Raw_Data!H356))</f>
        <v>Debit Card</v>
      </c>
      <c r="I356" s="2" t="str">
        <f aca="false">PROPER(TRIM(Raw_Data!I356))</f>
        <v>Shipped</v>
      </c>
      <c r="J356" s="2" t="str">
        <f aca="false">TRIM(UPPER(Raw_Data!J356))</f>
        <v>TRK11970357</v>
      </c>
      <c r="K356" s="2" t="n">
        <f aca="false">Raw_Data!K356</f>
        <v>4</v>
      </c>
      <c r="L356" s="2" t="str">
        <f aca="false">IF(TRIM(Raw_Data!L356)="","No Coupon",TRIM(UPPER(Raw_Data!L356)))</f>
        <v>No Coupon</v>
      </c>
      <c r="M356" s="2" t="str">
        <f aca="false">PROPER(TRIM(Raw_Data!M356))</f>
        <v>Instagram</v>
      </c>
      <c r="N356" s="4" t="n">
        <f aca="false">ROUND(E356*F356,2)</f>
        <v>693.41</v>
      </c>
      <c r="O356" s="2" t="str">
        <f aca="false">IF(COUNTIF($A$2:$A$1201,A356)&gt;1,"DUPLICATE","Unique")</f>
        <v>Unique</v>
      </c>
      <c r="P356" s="2" t="str">
        <f aca="false">IF(L356="","MISSING","OK")</f>
        <v>OK</v>
      </c>
      <c r="Q356" s="2" t="str">
        <f aca="false">IF(ISNUMBER(B356),"OK","BAD DATE")</f>
        <v>OK</v>
      </c>
      <c r="R356" s="2" t="str">
        <f aca="false">IF(ROUND(F356,2)=F356,"OK","FIX")</f>
        <v>OK</v>
      </c>
    </row>
    <row r="357" customFormat="false" ht="15" hidden="false" customHeight="false" outlineLevel="0" collapsed="false">
      <c r="A357" s="2" t="str">
        <f aca="false">TRIM(UPPER(Raw_Data!A357))</f>
        <v>ORD200355</v>
      </c>
      <c r="B357" s="3" t="n">
        <f aca="false">IF(ISNUMBER(Raw_Data!B357),Raw_Data!B357,DATEVALUE(Raw_Data!B357))</f>
        <v>45811</v>
      </c>
      <c r="C357" s="2" t="str">
        <f aca="false">TRIM(UPPER(Raw_Data!C357))</f>
        <v>C18353</v>
      </c>
      <c r="D357" s="2" t="str">
        <f aca="false">PROPER(TRIM(Raw_Data!D357))</f>
        <v>Tablet</v>
      </c>
      <c r="E357" s="2" t="n">
        <f aca="false">Raw_Data!E357</f>
        <v>3</v>
      </c>
      <c r="F357" s="4" t="n">
        <f aca="false">ROUND(Raw_Data!F357,2)</f>
        <v>433.33</v>
      </c>
      <c r="G357" s="2" t="str">
        <f aca="false">PROPER(TRIM(Raw_Data!G357))</f>
        <v>677 Main St</v>
      </c>
      <c r="H357" s="2" t="str">
        <f aca="false">PROPER(TRIM(Raw_Data!H357))</f>
        <v>Credit Card</v>
      </c>
      <c r="I357" s="2" t="str">
        <f aca="false">PROPER(TRIM(Raw_Data!I357))</f>
        <v>Cancelled</v>
      </c>
      <c r="J357" s="2" t="str">
        <f aca="false">TRIM(UPPER(Raw_Data!J357))</f>
        <v>TRK78766533</v>
      </c>
      <c r="K357" s="2" t="n">
        <f aca="false">Raw_Data!K357</f>
        <v>4</v>
      </c>
      <c r="L357" s="2" t="str">
        <f aca="false">IF(TRIM(Raw_Data!L357)="","No Coupon",TRIM(UPPER(Raw_Data!L357)))</f>
        <v>FREESHIP</v>
      </c>
      <c r="M357" s="2" t="str">
        <f aca="false">PROPER(TRIM(Raw_Data!M357))</f>
        <v>Referral</v>
      </c>
      <c r="N357" s="4" t="n">
        <f aca="false">ROUND(E357*F357,2)</f>
        <v>1299.99</v>
      </c>
      <c r="O357" s="2" t="str">
        <f aca="false">IF(COUNTIF($A$2:$A$1201,A357)&gt;1,"DUPLICATE","Unique")</f>
        <v>Unique</v>
      </c>
      <c r="P357" s="2" t="str">
        <f aca="false">IF(L357="","MISSING","OK")</f>
        <v>OK</v>
      </c>
      <c r="Q357" s="2" t="str">
        <f aca="false">IF(ISNUMBER(B357),"OK","BAD DATE")</f>
        <v>OK</v>
      </c>
      <c r="R357" s="2" t="str">
        <f aca="false">IF(ROUND(F357,2)=F357,"OK","FIX")</f>
        <v>OK</v>
      </c>
    </row>
    <row r="358" customFormat="false" ht="15" hidden="false" customHeight="false" outlineLevel="0" collapsed="false">
      <c r="A358" s="2" t="str">
        <f aca="false">TRIM(UPPER(Raw_Data!A358))</f>
        <v>ORD200356</v>
      </c>
      <c r="B358" s="3" t="n">
        <f aca="false">IF(ISNUMBER(Raw_Data!B358),Raw_Data!B358,DATEVALUE(Raw_Data!B358))</f>
        <v>45052</v>
      </c>
      <c r="C358" s="2" t="str">
        <f aca="false">TRIM(UPPER(Raw_Data!C358))</f>
        <v>C26966</v>
      </c>
      <c r="D358" s="2" t="str">
        <f aca="false">PROPER(TRIM(Raw_Data!D358))</f>
        <v>Printer</v>
      </c>
      <c r="E358" s="2" t="n">
        <f aca="false">Raw_Data!E358</f>
        <v>5</v>
      </c>
      <c r="F358" s="4" t="n">
        <f aca="false">ROUND(Raw_Data!F358,2)</f>
        <v>374.58</v>
      </c>
      <c r="G358" s="2" t="str">
        <f aca="false">PROPER(TRIM(Raw_Data!G358))</f>
        <v>907 Main St</v>
      </c>
      <c r="H358" s="2" t="str">
        <f aca="false">PROPER(TRIM(Raw_Data!H358))</f>
        <v>Gift Card</v>
      </c>
      <c r="I358" s="2" t="str">
        <f aca="false">PROPER(TRIM(Raw_Data!I358))</f>
        <v>Cancelled</v>
      </c>
      <c r="J358" s="2" t="str">
        <f aca="false">TRIM(UPPER(Raw_Data!J358))</f>
        <v>TRK83889574</v>
      </c>
      <c r="K358" s="2" t="n">
        <f aca="false">Raw_Data!K358</f>
        <v>10</v>
      </c>
      <c r="L358" s="2" t="str">
        <f aca="false">IF(TRIM(Raw_Data!L358)="","No Coupon",TRIM(UPPER(Raw_Data!L358)))</f>
        <v>FREESHIP</v>
      </c>
      <c r="M358" s="2" t="str">
        <f aca="false">PROPER(TRIM(Raw_Data!M358))</f>
        <v>Instagram</v>
      </c>
      <c r="N358" s="4" t="n">
        <f aca="false">ROUND(E358*F358,2)</f>
        <v>1872.9</v>
      </c>
      <c r="O358" s="2" t="str">
        <f aca="false">IF(COUNTIF($A$2:$A$1201,A358)&gt;1,"DUPLICATE","Unique")</f>
        <v>Unique</v>
      </c>
      <c r="P358" s="2" t="str">
        <f aca="false">IF(L358="","MISSING","OK")</f>
        <v>OK</v>
      </c>
      <c r="Q358" s="2" t="str">
        <f aca="false">IF(ISNUMBER(B358),"OK","BAD DATE")</f>
        <v>OK</v>
      </c>
      <c r="R358" s="2" t="str">
        <f aca="false">IF(ROUND(F358,2)=F358,"OK","FIX")</f>
        <v>OK</v>
      </c>
    </row>
    <row r="359" customFormat="false" ht="15" hidden="false" customHeight="false" outlineLevel="0" collapsed="false">
      <c r="A359" s="2" t="str">
        <f aca="false">TRIM(UPPER(Raw_Data!A359))</f>
        <v>ORD200357</v>
      </c>
      <c r="B359" s="3" t="n">
        <f aca="false">IF(ISNUMBER(Raw_Data!B359),Raw_Data!B359,DATEVALUE(Raw_Data!B359))</f>
        <v>45115</v>
      </c>
      <c r="C359" s="2" t="str">
        <f aca="false">TRIM(UPPER(Raw_Data!C359))</f>
        <v>C74982</v>
      </c>
      <c r="D359" s="2" t="str">
        <f aca="false">PROPER(TRIM(Raw_Data!D359))</f>
        <v>Laptop</v>
      </c>
      <c r="E359" s="2" t="n">
        <f aca="false">Raw_Data!E359</f>
        <v>5</v>
      </c>
      <c r="F359" s="4" t="n">
        <f aca="false">ROUND(Raw_Data!F359,2)</f>
        <v>408.56</v>
      </c>
      <c r="G359" s="2" t="str">
        <f aca="false">PROPER(TRIM(Raw_Data!G359))</f>
        <v>398 Main St</v>
      </c>
      <c r="H359" s="2" t="str">
        <f aca="false">PROPER(TRIM(Raw_Data!H359))</f>
        <v>Debit Card</v>
      </c>
      <c r="I359" s="2" t="str">
        <f aca="false">PROPER(TRIM(Raw_Data!I359))</f>
        <v>Delivered</v>
      </c>
      <c r="J359" s="2" t="str">
        <f aca="false">TRIM(UPPER(Raw_Data!J359))</f>
        <v>TRK98700702</v>
      </c>
      <c r="K359" s="2" t="n">
        <f aca="false">Raw_Data!K359</f>
        <v>8</v>
      </c>
      <c r="L359" s="2" t="str">
        <f aca="false">IF(TRIM(Raw_Data!L359)="","No Coupon",TRIM(UPPER(Raw_Data!L359)))</f>
        <v>FREESHIP</v>
      </c>
      <c r="M359" s="2" t="str">
        <f aca="false">PROPER(TRIM(Raw_Data!M359))</f>
        <v>Instagram</v>
      </c>
      <c r="N359" s="4" t="n">
        <f aca="false">ROUND(E359*F359,2)</f>
        <v>2042.8</v>
      </c>
      <c r="O359" s="2" t="str">
        <f aca="false">IF(COUNTIF($A$2:$A$1201,A359)&gt;1,"DUPLICATE","Unique")</f>
        <v>Unique</v>
      </c>
      <c r="P359" s="2" t="str">
        <f aca="false">IF(L359="","MISSING","OK")</f>
        <v>OK</v>
      </c>
      <c r="Q359" s="2" t="str">
        <f aca="false">IF(ISNUMBER(B359),"OK","BAD DATE")</f>
        <v>OK</v>
      </c>
      <c r="R359" s="2" t="str">
        <f aca="false">IF(ROUND(F359,2)=F359,"OK","FIX")</f>
        <v>OK</v>
      </c>
    </row>
    <row r="360" customFormat="false" ht="15" hidden="false" customHeight="false" outlineLevel="0" collapsed="false">
      <c r="A360" s="2" t="str">
        <f aca="false">TRIM(UPPER(Raw_Data!A360))</f>
        <v>ORD200358</v>
      </c>
      <c r="B360" s="3" t="n">
        <f aca="false">IF(ISNUMBER(Raw_Data!B360),Raw_Data!B360,DATEVALUE(Raw_Data!B360))</f>
        <v>45389</v>
      </c>
      <c r="C360" s="2" t="str">
        <f aca="false">TRIM(UPPER(Raw_Data!C360))</f>
        <v>C70633</v>
      </c>
      <c r="D360" s="2" t="str">
        <f aca="false">PROPER(TRIM(Raw_Data!D360))</f>
        <v>Tablet</v>
      </c>
      <c r="E360" s="2" t="n">
        <f aca="false">Raw_Data!E360</f>
        <v>2</v>
      </c>
      <c r="F360" s="4" t="n">
        <f aca="false">ROUND(Raw_Data!F360,2)</f>
        <v>183.67</v>
      </c>
      <c r="G360" s="2" t="str">
        <f aca="false">PROPER(TRIM(Raw_Data!G360))</f>
        <v>747 Main St</v>
      </c>
      <c r="H360" s="2" t="str">
        <f aca="false">PROPER(TRIM(Raw_Data!H360))</f>
        <v>Online</v>
      </c>
      <c r="I360" s="2" t="str">
        <f aca="false">PROPER(TRIM(Raw_Data!I360))</f>
        <v>Cancelled</v>
      </c>
      <c r="J360" s="2" t="str">
        <f aca="false">TRIM(UPPER(Raw_Data!J360))</f>
        <v>TRK82540521</v>
      </c>
      <c r="K360" s="2" t="n">
        <f aca="false">Raw_Data!K360</f>
        <v>3</v>
      </c>
      <c r="L360" s="2" t="str">
        <f aca="false">IF(TRIM(Raw_Data!L360)="","No Coupon",TRIM(UPPER(Raw_Data!L360)))</f>
        <v>SAVE10</v>
      </c>
      <c r="M360" s="2" t="str">
        <f aca="false">PROPER(TRIM(Raw_Data!M360))</f>
        <v>Google</v>
      </c>
      <c r="N360" s="4" t="n">
        <f aca="false">ROUND(E360*F360,2)</f>
        <v>367.34</v>
      </c>
      <c r="O360" s="2" t="str">
        <f aca="false">IF(COUNTIF($A$2:$A$1201,A360)&gt;1,"DUPLICATE","Unique")</f>
        <v>Unique</v>
      </c>
      <c r="P360" s="2" t="str">
        <f aca="false">IF(L360="","MISSING","OK")</f>
        <v>OK</v>
      </c>
      <c r="Q360" s="2" t="str">
        <f aca="false">IF(ISNUMBER(B360),"OK","BAD DATE")</f>
        <v>OK</v>
      </c>
      <c r="R360" s="2" t="str">
        <f aca="false">IF(ROUND(F360,2)=F360,"OK","FIX")</f>
        <v>OK</v>
      </c>
    </row>
    <row r="361" customFormat="false" ht="15" hidden="false" customHeight="false" outlineLevel="0" collapsed="false">
      <c r="A361" s="2" t="str">
        <f aca="false">TRIM(UPPER(Raw_Data!A361))</f>
        <v>ORD200359</v>
      </c>
      <c r="B361" s="3" t="n">
        <f aca="false">IF(ISNUMBER(Raw_Data!B361),Raw_Data!B361,DATEVALUE(Raw_Data!B361))</f>
        <v>45086</v>
      </c>
      <c r="C361" s="2" t="str">
        <f aca="false">TRIM(UPPER(Raw_Data!C361))</f>
        <v>C95643</v>
      </c>
      <c r="D361" s="2" t="str">
        <f aca="false">PROPER(TRIM(Raw_Data!D361))</f>
        <v>Desk</v>
      </c>
      <c r="E361" s="2" t="n">
        <f aca="false">Raw_Data!E361</f>
        <v>4</v>
      </c>
      <c r="F361" s="4" t="n">
        <f aca="false">ROUND(Raw_Data!F361,2)</f>
        <v>606.57</v>
      </c>
      <c r="G361" s="2" t="str">
        <f aca="false">PROPER(TRIM(Raw_Data!G361))</f>
        <v>303 Main St</v>
      </c>
      <c r="H361" s="2" t="str">
        <f aca="false">PROPER(TRIM(Raw_Data!H361))</f>
        <v>Debit Card</v>
      </c>
      <c r="I361" s="2" t="str">
        <f aca="false">PROPER(TRIM(Raw_Data!I361))</f>
        <v>Delivered</v>
      </c>
      <c r="J361" s="2" t="str">
        <f aca="false">TRIM(UPPER(Raw_Data!J361))</f>
        <v>TRK23286689</v>
      </c>
      <c r="K361" s="2" t="n">
        <f aca="false">Raw_Data!K361</f>
        <v>5</v>
      </c>
      <c r="L361" s="2" t="str">
        <f aca="false">IF(TRIM(Raw_Data!L361)="","No Coupon",TRIM(UPPER(Raw_Data!L361)))</f>
        <v>WINTER15</v>
      </c>
      <c r="M361" s="2" t="str">
        <f aca="false">PROPER(TRIM(Raw_Data!M361))</f>
        <v>Referral</v>
      </c>
      <c r="N361" s="4" t="n">
        <f aca="false">ROUND(E361*F361,2)</f>
        <v>2426.28</v>
      </c>
      <c r="O361" s="2" t="str">
        <f aca="false">IF(COUNTIF($A$2:$A$1201,A361)&gt;1,"DUPLICATE","Unique")</f>
        <v>Unique</v>
      </c>
      <c r="P361" s="2" t="str">
        <f aca="false">IF(L361="","MISSING","OK")</f>
        <v>OK</v>
      </c>
      <c r="Q361" s="2" t="str">
        <f aca="false">IF(ISNUMBER(B361),"OK","BAD DATE")</f>
        <v>OK</v>
      </c>
      <c r="R361" s="2" t="str">
        <f aca="false">IF(ROUND(F361,2)=F361,"OK","FIX")</f>
        <v>OK</v>
      </c>
    </row>
    <row r="362" customFormat="false" ht="15" hidden="false" customHeight="false" outlineLevel="0" collapsed="false">
      <c r="A362" s="2" t="str">
        <f aca="false">TRIM(UPPER(Raw_Data!A362))</f>
        <v>ORD200360</v>
      </c>
      <c r="B362" s="3" t="n">
        <f aca="false">IF(ISNUMBER(Raw_Data!B362),Raw_Data!B362,DATEVALUE(Raw_Data!B362))</f>
        <v>45449</v>
      </c>
      <c r="C362" s="2" t="str">
        <f aca="false">TRIM(UPPER(Raw_Data!C362))</f>
        <v>C53810</v>
      </c>
      <c r="D362" s="2" t="str">
        <f aca="false">PROPER(TRIM(Raw_Data!D362))</f>
        <v>Phone</v>
      </c>
      <c r="E362" s="2" t="n">
        <f aca="false">Raw_Data!E362</f>
        <v>4</v>
      </c>
      <c r="F362" s="4" t="n">
        <f aca="false">ROUND(Raw_Data!F362,2)</f>
        <v>589.57</v>
      </c>
      <c r="G362" s="2" t="str">
        <f aca="false">PROPER(TRIM(Raw_Data!G362))</f>
        <v>779 Main St</v>
      </c>
      <c r="H362" s="2" t="str">
        <f aca="false">PROPER(TRIM(Raw_Data!H362))</f>
        <v>Cash</v>
      </c>
      <c r="I362" s="2" t="str">
        <f aca="false">PROPER(TRIM(Raw_Data!I362))</f>
        <v>Pending</v>
      </c>
      <c r="J362" s="2" t="str">
        <f aca="false">TRIM(UPPER(Raw_Data!J362))</f>
        <v>TRK34630612</v>
      </c>
      <c r="K362" s="2" t="n">
        <f aca="false">Raw_Data!K362</f>
        <v>8</v>
      </c>
      <c r="L362" s="2" t="str">
        <f aca="false">IF(TRIM(Raw_Data!L362)="","No Coupon",TRIM(UPPER(Raw_Data!L362)))</f>
        <v>No Coupon</v>
      </c>
      <c r="M362" s="2" t="str">
        <f aca="false">PROPER(TRIM(Raw_Data!M362))</f>
        <v>Instagram</v>
      </c>
      <c r="N362" s="4" t="n">
        <f aca="false">ROUND(E362*F362,2)</f>
        <v>2358.28</v>
      </c>
      <c r="O362" s="2" t="str">
        <f aca="false">IF(COUNTIF($A$2:$A$1201,A362)&gt;1,"DUPLICATE","Unique")</f>
        <v>Unique</v>
      </c>
      <c r="P362" s="2" t="str">
        <f aca="false">IF(L362="","MISSING","OK")</f>
        <v>OK</v>
      </c>
      <c r="Q362" s="2" t="str">
        <f aca="false">IF(ISNUMBER(B362),"OK","BAD DATE")</f>
        <v>OK</v>
      </c>
      <c r="R362" s="2" t="str">
        <f aca="false">IF(ROUND(F362,2)=F362,"OK","FIX")</f>
        <v>OK</v>
      </c>
    </row>
    <row r="363" customFormat="false" ht="15" hidden="false" customHeight="false" outlineLevel="0" collapsed="false">
      <c r="A363" s="2" t="str">
        <f aca="false">TRIM(UPPER(Raw_Data!A363))</f>
        <v>ORD200361</v>
      </c>
      <c r="B363" s="3" t="n">
        <f aca="false">IF(ISNUMBER(Raw_Data!B363),Raw_Data!B363,DATEVALUE(Raw_Data!B363))</f>
        <v>45472</v>
      </c>
      <c r="C363" s="2" t="str">
        <f aca="false">TRIM(UPPER(Raw_Data!C363))</f>
        <v>C53464</v>
      </c>
      <c r="D363" s="2" t="str">
        <f aca="false">PROPER(TRIM(Raw_Data!D363))</f>
        <v>Printer</v>
      </c>
      <c r="E363" s="2" t="n">
        <f aca="false">Raw_Data!E363</f>
        <v>5</v>
      </c>
      <c r="F363" s="4" t="n">
        <f aca="false">ROUND(Raw_Data!F363,2)</f>
        <v>659.85</v>
      </c>
      <c r="G363" s="2" t="str">
        <f aca="false">PROPER(TRIM(Raw_Data!G363))</f>
        <v>197 Main St</v>
      </c>
      <c r="H363" s="2" t="str">
        <f aca="false">PROPER(TRIM(Raw_Data!H363))</f>
        <v>Credit Card</v>
      </c>
      <c r="I363" s="2" t="str">
        <f aca="false">PROPER(TRIM(Raw_Data!I363))</f>
        <v>Delivered</v>
      </c>
      <c r="J363" s="2" t="str">
        <f aca="false">TRIM(UPPER(Raw_Data!J363))</f>
        <v>TRK32743531</v>
      </c>
      <c r="K363" s="2" t="n">
        <f aca="false">Raw_Data!K363</f>
        <v>9</v>
      </c>
      <c r="L363" s="2" t="str">
        <f aca="false">IF(TRIM(Raw_Data!L363)="","No Coupon",TRIM(UPPER(Raw_Data!L363)))</f>
        <v>SAVE10</v>
      </c>
      <c r="M363" s="2" t="str">
        <f aca="false">PROPER(TRIM(Raw_Data!M363))</f>
        <v>Facebook</v>
      </c>
      <c r="N363" s="4" t="n">
        <f aca="false">ROUND(E363*F363,2)</f>
        <v>3299.25</v>
      </c>
      <c r="O363" s="2" t="str">
        <f aca="false">IF(COUNTIF($A$2:$A$1201,A363)&gt;1,"DUPLICATE","Unique")</f>
        <v>Unique</v>
      </c>
      <c r="P363" s="2" t="str">
        <f aca="false">IF(L363="","MISSING","OK")</f>
        <v>OK</v>
      </c>
      <c r="Q363" s="2" t="str">
        <f aca="false">IF(ISNUMBER(B363),"OK","BAD DATE")</f>
        <v>OK</v>
      </c>
      <c r="R363" s="2" t="str">
        <f aca="false">IF(ROUND(F363,2)=F363,"OK","FIX")</f>
        <v>OK</v>
      </c>
    </row>
    <row r="364" customFormat="false" ht="15" hidden="false" customHeight="false" outlineLevel="0" collapsed="false">
      <c r="A364" s="2" t="str">
        <f aca="false">TRIM(UPPER(Raw_Data!A364))</f>
        <v>ORD200362</v>
      </c>
      <c r="B364" s="3" t="n">
        <f aca="false">IF(ISNUMBER(Raw_Data!B364),Raw_Data!B364,DATEVALUE(Raw_Data!B364))</f>
        <v>45104</v>
      </c>
      <c r="C364" s="2" t="str">
        <f aca="false">TRIM(UPPER(Raw_Data!C364))</f>
        <v>C53697</v>
      </c>
      <c r="D364" s="2" t="str">
        <f aca="false">PROPER(TRIM(Raw_Data!D364))</f>
        <v>Monitor</v>
      </c>
      <c r="E364" s="2" t="n">
        <f aca="false">Raw_Data!E364</f>
        <v>4</v>
      </c>
      <c r="F364" s="4" t="n">
        <f aca="false">ROUND(Raw_Data!F364,2)</f>
        <v>206.84</v>
      </c>
      <c r="G364" s="2" t="str">
        <f aca="false">PROPER(TRIM(Raw_Data!G364))</f>
        <v>312 Main St</v>
      </c>
      <c r="H364" s="2" t="str">
        <f aca="false">PROPER(TRIM(Raw_Data!H364))</f>
        <v>Cash</v>
      </c>
      <c r="I364" s="2" t="str">
        <f aca="false">PROPER(TRIM(Raw_Data!I364))</f>
        <v>Cancelled</v>
      </c>
      <c r="J364" s="2" t="str">
        <f aca="false">TRIM(UPPER(Raw_Data!J364))</f>
        <v>TRK60476656</v>
      </c>
      <c r="K364" s="2" t="n">
        <f aca="false">Raw_Data!K364</f>
        <v>5</v>
      </c>
      <c r="L364" s="2" t="str">
        <f aca="false">IF(TRIM(Raw_Data!L364)="","No Coupon",TRIM(UPPER(Raw_Data!L364)))</f>
        <v>WINTER15</v>
      </c>
      <c r="M364" s="2" t="str">
        <f aca="false">PROPER(TRIM(Raw_Data!M364))</f>
        <v>Instagram</v>
      </c>
      <c r="N364" s="4" t="n">
        <f aca="false">ROUND(E364*F364,2)</f>
        <v>827.36</v>
      </c>
      <c r="O364" s="2" t="str">
        <f aca="false">IF(COUNTIF($A$2:$A$1201,A364)&gt;1,"DUPLICATE","Unique")</f>
        <v>Unique</v>
      </c>
      <c r="P364" s="2" t="str">
        <f aca="false">IF(L364="","MISSING","OK")</f>
        <v>OK</v>
      </c>
      <c r="Q364" s="2" t="str">
        <f aca="false">IF(ISNUMBER(B364),"OK","BAD DATE")</f>
        <v>OK</v>
      </c>
      <c r="R364" s="2" t="str">
        <f aca="false">IF(ROUND(F364,2)=F364,"OK","FIX")</f>
        <v>OK</v>
      </c>
    </row>
    <row r="365" customFormat="false" ht="15" hidden="false" customHeight="false" outlineLevel="0" collapsed="false">
      <c r="A365" s="2" t="str">
        <f aca="false">TRIM(UPPER(Raw_Data!A365))</f>
        <v>ORD200363</v>
      </c>
      <c r="B365" s="3" t="n">
        <f aca="false">IF(ISNUMBER(Raw_Data!B365),Raw_Data!B365,DATEVALUE(Raw_Data!B365))</f>
        <v>45436</v>
      </c>
      <c r="C365" s="2" t="str">
        <f aca="false">TRIM(UPPER(Raw_Data!C365))</f>
        <v>C31668</v>
      </c>
      <c r="D365" s="2" t="str">
        <f aca="false">PROPER(TRIM(Raw_Data!D365))</f>
        <v>Laptop</v>
      </c>
      <c r="E365" s="2" t="n">
        <f aca="false">Raw_Data!E365</f>
        <v>5</v>
      </c>
      <c r="F365" s="4" t="n">
        <f aca="false">ROUND(Raw_Data!F365,2)</f>
        <v>113.87</v>
      </c>
      <c r="G365" s="2" t="str">
        <f aca="false">PROPER(TRIM(Raw_Data!G365))</f>
        <v>871 Main St</v>
      </c>
      <c r="H365" s="2" t="str">
        <f aca="false">PROPER(TRIM(Raw_Data!H365))</f>
        <v>Credit Card</v>
      </c>
      <c r="I365" s="2" t="str">
        <f aca="false">PROPER(TRIM(Raw_Data!I365))</f>
        <v>Pending</v>
      </c>
      <c r="J365" s="2" t="str">
        <f aca="false">TRIM(UPPER(Raw_Data!J365))</f>
        <v>TRK42584392</v>
      </c>
      <c r="K365" s="2" t="n">
        <f aca="false">Raw_Data!K365</f>
        <v>6</v>
      </c>
      <c r="L365" s="2" t="str">
        <f aca="false">IF(TRIM(Raw_Data!L365)="","No Coupon",TRIM(UPPER(Raw_Data!L365)))</f>
        <v>SAVE10</v>
      </c>
      <c r="M365" s="2" t="str">
        <f aca="false">PROPER(TRIM(Raw_Data!M365))</f>
        <v>Email</v>
      </c>
      <c r="N365" s="4" t="n">
        <f aca="false">ROUND(E365*F365,2)</f>
        <v>569.35</v>
      </c>
      <c r="O365" s="2" t="str">
        <f aca="false">IF(COUNTIF($A$2:$A$1201,A365)&gt;1,"DUPLICATE","Unique")</f>
        <v>Unique</v>
      </c>
      <c r="P365" s="2" t="str">
        <f aca="false">IF(L365="","MISSING","OK")</f>
        <v>OK</v>
      </c>
      <c r="Q365" s="2" t="str">
        <f aca="false">IF(ISNUMBER(B365),"OK","BAD DATE")</f>
        <v>OK</v>
      </c>
      <c r="R365" s="2" t="str">
        <f aca="false">IF(ROUND(F365,2)=F365,"OK","FIX")</f>
        <v>OK</v>
      </c>
    </row>
    <row r="366" customFormat="false" ht="15" hidden="false" customHeight="false" outlineLevel="0" collapsed="false">
      <c r="A366" s="2" t="str">
        <f aca="false">TRIM(UPPER(Raw_Data!A366))</f>
        <v>ORD200364</v>
      </c>
      <c r="B366" s="3" t="n">
        <f aca="false">IF(ISNUMBER(Raw_Data!B366),Raw_Data!B366,DATEVALUE(Raw_Data!B366))</f>
        <v>45254</v>
      </c>
      <c r="C366" s="2" t="str">
        <f aca="false">TRIM(UPPER(Raw_Data!C366))</f>
        <v>C85282</v>
      </c>
      <c r="D366" s="2" t="str">
        <f aca="false">PROPER(TRIM(Raw_Data!D366))</f>
        <v>Phone</v>
      </c>
      <c r="E366" s="2" t="n">
        <f aca="false">Raw_Data!E366</f>
        <v>5</v>
      </c>
      <c r="F366" s="4" t="n">
        <f aca="false">ROUND(Raw_Data!F366,2)</f>
        <v>628.74</v>
      </c>
      <c r="G366" s="2" t="str">
        <f aca="false">PROPER(TRIM(Raw_Data!G366))</f>
        <v>740 Main St</v>
      </c>
      <c r="H366" s="2" t="str">
        <f aca="false">PROPER(TRIM(Raw_Data!H366))</f>
        <v>Cash</v>
      </c>
      <c r="I366" s="2" t="str">
        <f aca="false">PROPER(TRIM(Raw_Data!I366))</f>
        <v>Cancelled</v>
      </c>
      <c r="J366" s="2" t="str">
        <f aca="false">TRIM(UPPER(Raw_Data!J366))</f>
        <v>TRK86767206</v>
      </c>
      <c r="K366" s="2" t="n">
        <f aca="false">Raw_Data!K366</f>
        <v>9</v>
      </c>
      <c r="L366" s="2" t="str">
        <f aca="false">IF(TRIM(Raw_Data!L366)="","No Coupon",TRIM(UPPER(Raw_Data!L366)))</f>
        <v>FREESHIP</v>
      </c>
      <c r="M366" s="2" t="str">
        <f aca="false">PROPER(TRIM(Raw_Data!M366))</f>
        <v>Facebook</v>
      </c>
      <c r="N366" s="4" t="n">
        <f aca="false">ROUND(E366*F366,2)</f>
        <v>3143.7</v>
      </c>
      <c r="O366" s="2" t="str">
        <f aca="false">IF(COUNTIF($A$2:$A$1201,A366)&gt;1,"DUPLICATE","Unique")</f>
        <v>Unique</v>
      </c>
      <c r="P366" s="2" t="str">
        <f aca="false">IF(L366="","MISSING","OK")</f>
        <v>OK</v>
      </c>
      <c r="Q366" s="2" t="str">
        <f aca="false">IF(ISNUMBER(B366),"OK","BAD DATE")</f>
        <v>OK</v>
      </c>
      <c r="R366" s="2" t="str">
        <f aca="false">IF(ROUND(F366,2)=F366,"OK","FIX")</f>
        <v>OK</v>
      </c>
    </row>
    <row r="367" customFormat="false" ht="15" hidden="false" customHeight="false" outlineLevel="0" collapsed="false">
      <c r="A367" s="2" t="str">
        <f aca="false">TRIM(UPPER(Raw_Data!A367))</f>
        <v>ORD200365</v>
      </c>
      <c r="B367" s="3" t="n">
        <f aca="false">IF(ISNUMBER(Raw_Data!B367),Raw_Data!B367,DATEVALUE(Raw_Data!B367))</f>
        <v>45702</v>
      </c>
      <c r="C367" s="2" t="str">
        <f aca="false">TRIM(UPPER(Raw_Data!C367))</f>
        <v>C56796</v>
      </c>
      <c r="D367" s="2" t="str">
        <f aca="false">PROPER(TRIM(Raw_Data!D367))</f>
        <v>Phone</v>
      </c>
      <c r="E367" s="2" t="n">
        <f aca="false">Raw_Data!E367</f>
        <v>1</v>
      </c>
      <c r="F367" s="4" t="n">
        <f aca="false">ROUND(Raw_Data!F367,2)</f>
        <v>678.38</v>
      </c>
      <c r="G367" s="2" t="str">
        <f aca="false">PROPER(TRIM(Raw_Data!G367))</f>
        <v>607 Main St</v>
      </c>
      <c r="H367" s="2" t="str">
        <f aca="false">PROPER(TRIM(Raw_Data!H367))</f>
        <v>Credit Card</v>
      </c>
      <c r="I367" s="2" t="str">
        <f aca="false">PROPER(TRIM(Raw_Data!I367))</f>
        <v>Cancelled</v>
      </c>
      <c r="J367" s="2" t="str">
        <f aca="false">TRIM(UPPER(Raw_Data!J367))</f>
        <v>TRK74263180</v>
      </c>
      <c r="K367" s="2" t="n">
        <f aca="false">Raw_Data!K367</f>
        <v>4</v>
      </c>
      <c r="L367" s="2" t="str">
        <f aca="false">IF(TRIM(Raw_Data!L367)="","No Coupon",TRIM(UPPER(Raw_Data!L367)))</f>
        <v>SAVE10</v>
      </c>
      <c r="M367" s="2" t="str">
        <f aca="false">PROPER(TRIM(Raw_Data!M367))</f>
        <v>Referral</v>
      </c>
      <c r="N367" s="4" t="n">
        <f aca="false">ROUND(E367*F367,2)</f>
        <v>678.38</v>
      </c>
      <c r="O367" s="2" t="str">
        <f aca="false">IF(COUNTIF($A$2:$A$1201,A367)&gt;1,"DUPLICATE","Unique")</f>
        <v>Unique</v>
      </c>
      <c r="P367" s="2" t="str">
        <f aca="false">IF(L367="","MISSING","OK")</f>
        <v>OK</v>
      </c>
      <c r="Q367" s="2" t="str">
        <f aca="false">IF(ISNUMBER(B367),"OK","BAD DATE")</f>
        <v>OK</v>
      </c>
      <c r="R367" s="2" t="str">
        <f aca="false">IF(ROUND(F367,2)=F367,"OK","FIX")</f>
        <v>OK</v>
      </c>
    </row>
    <row r="368" customFormat="false" ht="15" hidden="false" customHeight="false" outlineLevel="0" collapsed="false">
      <c r="A368" s="2" t="str">
        <f aca="false">TRIM(UPPER(Raw_Data!A368))</f>
        <v>ORD200366</v>
      </c>
      <c r="B368" s="3" t="n">
        <f aca="false">IF(ISNUMBER(Raw_Data!B368),Raw_Data!B368,DATEVALUE(Raw_Data!B368))</f>
        <v>44967</v>
      </c>
      <c r="C368" s="2" t="str">
        <f aca="false">TRIM(UPPER(Raw_Data!C368))</f>
        <v>C95213</v>
      </c>
      <c r="D368" s="2" t="str">
        <f aca="false">PROPER(TRIM(Raw_Data!D368))</f>
        <v>Printer</v>
      </c>
      <c r="E368" s="2" t="n">
        <f aca="false">Raw_Data!E368</f>
        <v>3</v>
      </c>
      <c r="F368" s="4" t="n">
        <f aca="false">ROUND(Raw_Data!F368,2)</f>
        <v>602.24</v>
      </c>
      <c r="G368" s="2" t="str">
        <f aca="false">PROPER(TRIM(Raw_Data!G368))</f>
        <v>603 Main St</v>
      </c>
      <c r="H368" s="2" t="str">
        <f aca="false">PROPER(TRIM(Raw_Data!H368))</f>
        <v>Debit Card</v>
      </c>
      <c r="I368" s="2" t="str">
        <f aca="false">PROPER(TRIM(Raw_Data!I368))</f>
        <v>Pending</v>
      </c>
      <c r="J368" s="2" t="str">
        <f aca="false">TRIM(UPPER(Raw_Data!J368))</f>
        <v>TRK40630538</v>
      </c>
      <c r="K368" s="2" t="n">
        <f aca="false">Raw_Data!K368</f>
        <v>8</v>
      </c>
      <c r="L368" s="2" t="str">
        <f aca="false">IF(TRIM(Raw_Data!L368)="","No Coupon",TRIM(UPPER(Raw_Data!L368)))</f>
        <v>No Coupon</v>
      </c>
      <c r="M368" s="2" t="str">
        <f aca="false">PROPER(TRIM(Raw_Data!M368))</f>
        <v>Referral</v>
      </c>
      <c r="N368" s="4" t="n">
        <f aca="false">ROUND(E368*F368,2)</f>
        <v>1806.72</v>
      </c>
      <c r="O368" s="2" t="str">
        <f aca="false">IF(COUNTIF($A$2:$A$1201,A368)&gt;1,"DUPLICATE","Unique")</f>
        <v>Unique</v>
      </c>
      <c r="P368" s="2" t="str">
        <f aca="false">IF(L368="","MISSING","OK")</f>
        <v>OK</v>
      </c>
      <c r="Q368" s="2" t="str">
        <f aca="false">IF(ISNUMBER(B368),"OK","BAD DATE")</f>
        <v>OK</v>
      </c>
      <c r="R368" s="2" t="str">
        <f aca="false">IF(ROUND(F368,2)=F368,"OK","FIX")</f>
        <v>OK</v>
      </c>
    </row>
    <row r="369" customFormat="false" ht="15" hidden="false" customHeight="false" outlineLevel="0" collapsed="false">
      <c r="A369" s="2" t="str">
        <f aca="false">TRIM(UPPER(Raw_Data!A369))</f>
        <v>ORD200367</v>
      </c>
      <c r="B369" s="3" t="n">
        <f aca="false">IF(ISNUMBER(Raw_Data!B369),Raw_Data!B369,DATEVALUE(Raw_Data!B369))</f>
        <v>45407</v>
      </c>
      <c r="C369" s="2" t="str">
        <f aca="false">TRIM(UPPER(Raw_Data!C369))</f>
        <v>C13108</v>
      </c>
      <c r="D369" s="2" t="str">
        <f aca="false">PROPER(TRIM(Raw_Data!D369))</f>
        <v>Laptop</v>
      </c>
      <c r="E369" s="2" t="n">
        <f aca="false">Raw_Data!E369</f>
        <v>5</v>
      </c>
      <c r="F369" s="4" t="n">
        <f aca="false">ROUND(Raw_Data!F369,2)</f>
        <v>658.77</v>
      </c>
      <c r="G369" s="2" t="str">
        <f aca="false">PROPER(TRIM(Raw_Data!G369))</f>
        <v>712 Main St</v>
      </c>
      <c r="H369" s="2" t="str">
        <f aca="false">PROPER(TRIM(Raw_Data!H369))</f>
        <v>Gift Card</v>
      </c>
      <c r="I369" s="2" t="str">
        <f aca="false">PROPER(TRIM(Raw_Data!I369))</f>
        <v>Pending</v>
      </c>
      <c r="J369" s="2" t="str">
        <f aca="false">TRIM(UPPER(Raw_Data!J369))</f>
        <v>TRK82284400</v>
      </c>
      <c r="K369" s="2" t="n">
        <f aca="false">Raw_Data!K369</f>
        <v>10</v>
      </c>
      <c r="L369" s="2" t="str">
        <f aca="false">IF(TRIM(Raw_Data!L369)="","No Coupon",TRIM(UPPER(Raw_Data!L369)))</f>
        <v>FREESHIP</v>
      </c>
      <c r="M369" s="2" t="str">
        <f aca="false">PROPER(TRIM(Raw_Data!M369))</f>
        <v>Instagram</v>
      </c>
      <c r="N369" s="4" t="n">
        <f aca="false">ROUND(E369*F369,2)</f>
        <v>3293.85</v>
      </c>
      <c r="O369" s="2" t="str">
        <f aca="false">IF(COUNTIF($A$2:$A$1201,A369)&gt;1,"DUPLICATE","Unique")</f>
        <v>Unique</v>
      </c>
      <c r="P369" s="2" t="str">
        <f aca="false">IF(L369="","MISSING","OK")</f>
        <v>OK</v>
      </c>
      <c r="Q369" s="2" t="str">
        <f aca="false">IF(ISNUMBER(B369),"OK","BAD DATE")</f>
        <v>OK</v>
      </c>
      <c r="R369" s="2" t="str">
        <f aca="false">IF(ROUND(F369,2)=F369,"OK","FIX")</f>
        <v>OK</v>
      </c>
    </row>
    <row r="370" customFormat="false" ht="15" hidden="false" customHeight="false" outlineLevel="0" collapsed="false">
      <c r="A370" s="2" t="str">
        <f aca="false">TRIM(UPPER(Raw_Data!A370))</f>
        <v>ORD200368</v>
      </c>
      <c r="B370" s="3" t="n">
        <f aca="false">IF(ISNUMBER(Raw_Data!B370),Raw_Data!B370,DATEVALUE(Raw_Data!B370))</f>
        <v>45047</v>
      </c>
      <c r="C370" s="2" t="str">
        <f aca="false">TRIM(UPPER(Raw_Data!C370))</f>
        <v>C85322</v>
      </c>
      <c r="D370" s="2" t="str">
        <f aca="false">PROPER(TRIM(Raw_Data!D370))</f>
        <v>Monitor</v>
      </c>
      <c r="E370" s="2" t="n">
        <f aca="false">Raw_Data!E370</f>
        <v>3</v>
      </c>
      <c r="F370" s="4" t="n">
        <f aca="false">ROUND(Raw_Data!F370,2)</f>
        <v>271.02</v>
      </c>
      <c r="G370" s="2" t="str">
        <f aca="false">PROPER(TRIM(Raw_Data!G370))</f>
        <v>403 Main St</v>
      </c>
      <c r="H370" s="2" t="str">
        <f aca="false">PROPER(TRIM(Raw_Data!H370))</f>
        <v>Credit Card</v>
      </c>
      <c r="I370" s="2" t="str">
        <f aca="false">PROPER(TRIM(Raw_Data!I370))</f>
        <v>Cancelled</v>
      </c>
      <c r="J370" s="2" t="str">
        <f aca="false">TRIM(UPPER(Raw_Data!J370))</f>
        <v>TRK89728869</v>
      </c>
      <c r="K370" s="2" t="n">
        <f aca="false">Raw_Data!K370</f>
        <v>6</v>
      </c>
      <c r="L370" s="2" t="str">
        <f aca="false">IF(TRIM(Raw_Data!L370)="","No Coupon",TRIM(UPPER(Raw_Data!L370)))</f>
        <v>No Coupon</v>
      </c>
      <c r="M370" s="2" t="str">
        <f aca="false">PROPER(TRIM(Raw_Data!M370))</f>
        <v>Google</v>
      </c>
      <c r="N370" s="4" t="n">
        <f aca="false">ROUND(E370*F370,2)</f>
        <v>813.06</v>
      </c>
      <c r="O370" s="2" t="str">
        <f aca="false">IF(COUNTIF($A$2:$A$1201,A370)&gt;1,"DUPLICATE","Unique")</f>
        <v>Unique</v>
      </c>
      <c r="P370" s="2" t="str">
        <f aca="false">IF(L370="","MISSING","OK")</f>
        <v>OK</v>
      </c>
      <c r="Q370" s="2" t="str">
        <f aca="false">IF(ISNUMBER(B370),"OK","BAD DATE")</f>
        <v>OK</v>
      </c>
      <c r="R370" s="2" t="str">
        <f aca="false">IF(ROUND(F370,2)=F370,"OK","FIX")</f>
        <v>OK</v>
      </c>
    </row>
    <row r="371" customFormat="false" ht="15" hidden="false" customHeight="false" outlineLevel="0" collapsed="false">
      <c r="A371" s="2" t="str">
        <f aca="false">TRIM(UPPER(Raw_Data!A371))</f>
        <v>ORD200369</v>
      </c>
      <c r="B371" s="3" t="n">
        <f aca="false">IF(ISNUMBER(Raw_Data!B371),Raw_Data!B371,DATEVALUE(Raw_Data!B371))</f>
        <v>45648</v>
      </c>
      <c r="C371" s="2" t="str">
        <f aca="false">TRIM(UPPER(Raw_Data!C371))</f>
        <v>C43545</v>
      </c>
      <c r="D371" s="2" t="str">
        <f aca="false">PROPER(TRIM(Raw_Data!D371))</f>
        <v>Monitor</v>
      </c>
      <c r="E371" s="2" t="n">
        <f aca="false">Raw_Data!E371</f>
        <v>5</v>
      </c>
      <c r="F371" s="4" t="n">
        <f aca="false">ROUND(Raw_Data!F371,2)</f>
        <v>375.25</v>
      </c>
      <c r="G371" s="2" t="str">
        <f aca="false">PROPER(TRIM(Raw_Data!G371))</f>
        <v>216 Main St</v>
      </c>
      <c r="H371" s="2" t="str">
        <f aca="false">PROPER(TRIM(Raw_Data!H371))</f>
        <v>Gift Card</v>
      </c>
      <c r="I371" s="2" t="str">
        <f aca="false">PROPER(TRIM(Raw_Data!I371))</f>
        <v>Pending</v>
      </c>
      <c r="J371" s="2" t="str">
        <f aca="false">TRIM(UPPER(Raw_Data!J371))</f>
        <v>TRK73937402</v>
      </c>
      <c r="K371" s="2" t="n">
        <f aca="false">Raw_Data!K371</f>
        <v>9</v>
      </c>
      <c r="L371" s="2" t="str">
        <f aca="false">IF(TRIM(Raw_Data!L371)="","No Coupon",TRIM(UPPER(Raw_Data!L371)))</f>
        <v>SAVE10</v>
      </c>
      <c r="M371" s="2" t="str">
        <f aca="false">PROPER(TRIM(Raw_Data!M371))</f>
        <v>Email</v>
      </c>
      <c r="N371" s="4" t="n">
        <f aca="false">ROUND(E371*F371,2)</f>
        <v>1876.25</v>
      </c>
      <c r="O371" s="2" t="str">
        <f aca="false">IF(COUNTIF($A$2:$A$1201,A371)&gt;1,"DUPLICATE","Unique")</f>
        <v>Unique</v>
      </c>
      <c r="P371" s="2" t="str">
        <f aca="false">IF(L371="","MISSING","OK")</f>
        <v>OK</v>
      </c>
      <c r="Q371" s="2" t="str">
        <f aca="false">IF(ISNUMBER(B371),"OK","BAD DATE")</f>
        <v>OK</v>
      </c>
      <c r="R371" s="2" t="str">
        <f aca="false">IF(ROUND(F371,2)=F371,"OK","FIX")</f>
        <v>OK</v>
      </c>
    </row>
    <row r="372" customFormat="false" ht="15" hidden="false" customHeight="false" outlineLevel="0" collapsed="false">
      <c r="A372" s="2" t="str">
        <f aca="false">TRIM(UPPER(Raw_Data!A372))</f>
        <v>ORD200370</v>
      </c>
      <c r="B372" s="3" t="n">
        <f aca="false">IF(ISNUMBER(Raw_Data!B372),Raw_Data!B372,DATEVALUE(Raw_Data!B372))</f>
        <v>45780</v>
      </c>
      <c r="C372" s="2" t="str">
        <f aca="false">TRIM(UPPER(Raw_Data!C372))</f>
        <v>C80649</v>
      </c>
      <c r="D372" s="2" t="str">
        <f aca="false">PROPER(TRIM(Raw_Data!D372))</f>
        <v>Phone</v>
      </c>
      <c r="E372" s="2" t="n">
        <f aca="false">Raw_Data!E372</f>
        <v>1</v>
      </c>
      <c r="F372" s="4" t="n">
        <f aca="false">ROUND(Raw_Data!F372,2)</f>
        <v>312.11</v>
      </c>
      <c r="G372" s="2" t="str">
        <f aca="false">PROPER(TRIM(Raw_Data!G372))</f>
        <v>870 Main St</v>
      </c>
      <c r="H372" s="2" t="str">
        <f aca="false">PROPER(TRIM(Raw_Data!H372))</f>
        <v>Online</v>
      </c>
      <c r="I372" s="2" t="str">
        <f aca="false">PROPER(TRIM(Raw_Data!I372))</f>
        <v>Cancelled</v>
      </c>
      <c r="J372" s="2" t="str">
        <f aca="false">TRIM(UPPER(Raw_Data!J372))</f>
        <v>TRK41143313</v>
      </c>
      <c r="K372" s="2" t="n">
        <f aca="false">Raw_Data!K372</f>
        <v>4</v>
      </c>
      <c r="L372" s="2" t="str">
        <f aca="false">IF(TRIM(Raw_Data!L372)="","No Coupon",TRIM(UPPER(Raw_Data!L372)))</f>
        <v>WINTER15</v>
      </c>
      <c r="M372" s="2" t="str">
        <f aca="false">PROPER(TRIM(Raw_Data!M372))</f>
        <v>Facebook</v>
      </c>
      <c r="N372" s="4" t="n">
        <f aca="false">ROUND(E372*F372,2)</f>
        <v>312.11</v>
      </c>
      <c r="O372" s="2" t="str">
        <f aca="false">IF(COUNTIF($A$2:$A$1201,A372)&gt;1,"DUPLICATE","Unique")</f>
        <v>Unique</v>
      </c>
      <c r="P372" s="2" t="str">
        <f aca="false">IF(L372="","MISSING","OK")</f>
        <v>OK</v>
      </c>
      <c r="Q372" s="2" t="str">
        <f aca="false">IF(ISNUMBER(B372),"OK","BAD DATE")</f>
        <v>OK</v>
      </c>
      <c r="R372" s="2" t="str">
        <f aca="false">IF(ROUND(F372,2)=F372,"OK","FIX")</f>
        <v>OK</v>
      </c>
    </row>
    <row r="373" customFormat="false" ht="15" hidden="false" customHeight="false" outlineLevel="0" collapsed="false">
      <c r="A373" s="2" t="str">
        <f aca="false">TRIM(UPPER(Raw_Data!A373))</f>
        <v>ORD200371</v>
      </c>
      <c r="B373" s="3" t="n">
        <f aca="false">IF(ISNUMBER(Raw_Data!B373),Raw_Data!B373,DATEVALUE(Raw_Data!B373))</f>
        <v>44931</v>
      </c>
      <c r="C373" s="2" t="str">
        <f aca="false">TRIM(UPPER(Raw_Data!C373))</f>
        <v>C59752</v>
      </c>
      <c r="D373" s="2" t="str">
        <f aca="false">PROPER(TRIM(Raw_Data!D373))</f>
        <v>Phone</v>
      </c>
      <c r="E373" s="2" t="n">
        <f aca="false">Raw_Data!E373</f>
        <v>5</v>
      </c>
      <c r="F373" s="4" t="n">
        <f aca="false">ROUND(Raw_Data!F373,2)</f>
        <v>307.76</v>
      </c>
      <c r="G373" s="2" t="str">
        <f aca="false">PROPER(TRIM(Raw_Data!G373))</f>
        <v>179 Main St</v>
      </c>
      <c r="H373" s="2" t="str">
        <f aca="false">PROPER(TRIM(Raw_Data!H373))</f>
        <v>Gift Card</v>
      </c>
      <c r="I373" s="2" t="str">
        <f aca="false">PROPER(TRIM(Raw_Data!I373))</f>
        <v>Pending</v>
      </c>
      <c r="J373" s="2" t="str">
        <f aca="false">TRIM(UPPER(Raw_Data!J373))</f>
        <v>TRK82229639</v>
      </c>
      <c r="K373" s="2" t="n">
        <f aca="false">Raw_Data!K373</f>
        <v>9</v>
      </c>
      <c r="L373" s="2" t="str">
        <f aca="false">IF(TRIM(Raw_Data!L373)="","No Coupon",TRIM(UPPER(Raw_Data!L373)))</f>
        <v>FREESHIP</v>
      </c>
      <c r="M373" s="2" t="str">
        <f aca="false">PROPER(TRIM(Raw_Data!M373))</f>
        <v>Google</v>
      </c>
      <c r="N373" s="4" t="n">
        <f aca="false">ROUND(E373*F373,2)</f>
        <v>1538.8</v>
      </c>
      <c r="O373" s="2" t="str">
        <f aca="false">IF(COUNTIF($A$2:$A$1201,A373)&gt;1,"DUPLICATE","Unique")</f>
        <v>Unique</v>
      </c>
      <c r="P373" s="2" t="str">
        <f aca="false">IF(L373="","MISSING","OK")</f>
        <v>OK</v>
      </c>
      <c r="Q373" s="2" t="str">
        <f aca="false">IF(ISNUMBER(B373),"OK","BAD DATE")</f>
        <v>OK</v>
      </c>
      <c r="R373" s="2" t="str">
        <f aca="false">IF(ROUND(F373,2)=F373,"OK","FIX")</f>
        <v>OK</v>
      </c>
    </row>
    <row r="374" customFormat="false" ht="15" hidden="false" customHeight="false" outlineLevel="0" collapsed="false">
      <c r="A374" s="2" t="str">
        <f aca="false">TRIM(UPPER(Raw_Data!A374))</f>
        <v>ORD200372</v>
      </c>
      <c r="B374" s="3" t="n">
        <f aca="false">IF(ISNUMBER(Raw_Data!B374),Raw_Data!B374,DATEVALUE(Raw_Data!B374))</f>
        <v>45702</v>
      </c>
      <c r="C374" s="2" t="str">
        <f aca="false">TRIM(UPPER(Raw_Data!C374))</f>
        <v>C53645</v>
      </c>
      <c r="D374" s="2" t="str">
        <f aca="false">PROPER(TRIM(Raw_Data!D374))</f>
        <v>Chair</v>
      </c>
      <c r="E374" s="2" t="n">
        <f aca="false">Raw_Data!E374</f>
        <v>3</v>
      </c>
      <c r="F374" s="4" t="n">
        <f aca="false">ROUND(Raw_Data!F374,2)</f>
        <v>483.53</v>
      </c>
      <c r="G374" s="2" t="str">
        <f aca="false">PROPER(TRIM(Raw_Data!G374))</f>
        <v>166 Main St</v>
      </c>
      <c r="H374" s="2" t="str">
        <f aca="false">PROPER(TRIM(Raw_Data!H374))</f>
        <v>Cash</v>
      </c>
      <c r="I374" s="2" t="str">
        <f aca="false">PROPER(TRIM(Raw_Data!I374))</f>
        <v>Returned</v>
      </c>
      <c r="J374" s="2" t="str">
        <f aca="false">TRIM(UPPER(Raw_Data!J374))</f>
        <v>TRK12123939</v>
      </c>
      <c r="K374" s="2" t="n">
        <f aca="false">Raw_Data!K374</f>
        <v>4</v>
      </c>
      <c r="L374" s="2" t="str">
        <f aca="false">IF(TRIM(Raw_Data!L374)="","No Coupon",TRIM(UPPER(Raw_Data!L374)))</f>
        <v>No Coupon</v>
      </c>
      <c r="M374" s="2" t="str">
        <f aca="false">PROPER(TRIM(Raw_Data!M374))</f>
        <v>Referral</v>
      </c>
      <c r="N374" s="4" t="n">
        <f aca="false">ROUND(E374*F374,2)</f>
        <v>1450.59</v>
      </c>
      <c r="O374" s="2" t="str">
        <f aca="false">IF(COUNTIF($A$2:$A$1201,A374)&gt;1,"DUPLICATE","Unique")</f>
        <v>Unique</v>
      </c>
      <c r="P374" s="2" t="str">
        <f aca="false">IF(L374="","MISSING","OK")</f>
        <v>OK</v>
      </c>
      <c r="Q374" s="2" t="str">
        <f aca="false">IF(ISNUMBER(B374),"OK","BAD DATE")</f>
        <v>OK</v>
      </c>
      <c r="R374" s="2" t="str">
        <f aca="false">IF(ROUND(F374,2)=F374,"OK","FIX")</f>
        <v>OK</v>
      </c>
    </row>
    <row r="375" customFormat="false" ht="15" hidden="false" customHeight="false" outlineLevel="0" collapsed="false">
      <c r="A375" s="2" t="str">
        <f aca="false">TRIM(UPPER(Raw_Data!A375))</f>
        <v>ORD200373</v>
      </c>
      <c r="B375" s="3" t="n">
        <f aca="false">IF(ISNUMBER(Raw_Data!B375),Raw_Data!B375,DATEVALUE(Raw_Data!B375))</f>
        <v>44928</v>
      </c>
      <c r="C375" s="2" t="str">
        <f aca="false">TRIM(UPPER(Raw_Data!C375))</f>
        <v>C60178</v>
      </c>
      <c r="D375" s="2" t="str">
        <f aca="false">PROPER(TRIM(Raw_Data!D375))</f>
        <v>Laptop</v>
      </c>
      <c r="E375" s="2" t="n">
        <f aca="false">Raw_Data!E375</f>
        <v>3</v>
      </c>
      <c r="F375" s="4" t="n">
        <f aca="false">ROUND(Raw_Data!F375,2)</f>
        <v>341.15</v>
      </c>
      <c r="G375" s="2" t="str">
        <f aca="false">PROPER(TRIM(Raw_Data!G375))</f>
        <v>969 Main St</v>
      </c>
      <c r="H375" s="2" t="str">
        <f aca="false">PROPER(TRIM(Raw_Data!H375))</f>
        <v>Cash</v>
      </c>
      <c r="I375" s="2" t="str">
        <f aca="false">PROPER(TRIM(Raw_Data!I375))</f>
        <v>Pending</v>
      </c>
      <c r="J375" s="2" t="str">
        <f aca="false">TRIM(UPPER(Raw_Data!J375))</f>
        <v>TRK84505143</v>
      </c>
      <c r="K375" s="2" t="n">
        <f aca="false">Raw_Data!K375</f>
        <v>4</v>
      </c>
      <c r="L375" s="2" t="str">
        <f aca="false">IF(TRIM(Raw_Data!L375)="","No Coupon",TRIM(UPPER(Raw_Data!L375)))</f>
        <v>FREESHIP</v>
      </c>
      <c r="M375" s="2" t="str">
        <f aca="false">PROPER(TRIM(Raw_Data!M375))</f>
        <v>Instagram</v>
      </c>
      <c r="N375" s="4" t="n">
        <f aca="false">ROUND(E375*F375,2)</f>
        <v>1023.45</v>
      </c>
      <c r="O375" s="2" t="str">
        <f aca="false">IF(COUNTIF($A$2:$A$1201,A375)&gt;1,"DUPLICATE","Unique")</f>
        <v>Unique</v>
      </c>
      <c r="P375" s="2" t="str">
        <f aca="false">IF(L375="","MISSING","OK")</f>
        <v>OK</v>
      </c>
      <c r="Q375" s="2" t="str">
        <f aca="false">IF(ISNUMBER(B375),"OK","BAD DATE")</f>
        <v>OK</v>
      </c>
      <c r="R375" s="2" t="str">
        <f aca="false">IF(ROUND(F375,2)=F375,"OK","FIX")</f>
        <v>OK</v>
      </c>
    </row>
    <row r="376" customFormat="false" ht="15" hidden="false" customHeight="false" outlineLevel="0" collapsed="false">
      <c r="A376" s="2" t="str">
        <f aca="false">TRIM(UPPER(Raw_Data!A376))</f>
        <v>ORD200374</v>
      </c>
      <c r="B376" s="3" t="n">
        <f aca="false">IF(ISNUMBER(Raw_Data!B376),Raw_Data!B376,DATEVALUE(Raw_Data!B376))</f>
        <v>45551</v>
      </c>
      <c r="C376" s="2" t="str">
        <f aca="false">TRIM(UPPER(Raw_Data!C376))</f>
        <v>C20286</v>
      </c>
      <c r="D376" s="2" t="str">
        <f aca="false">PROPER(TRIM(Raw_Data!D376))</f>
        <v>Monitor</v>
      </c>
      <c r="E376" s="2" t="n">
        <f aca="false">Raw_Data!E376</f>
        <v>1</v>
      </c>
      <c r="F376" s="4" t="n">
        <f aca="false">ROUND(Raw_Data!F376,2)</f>
        <v>571.9</v>
      </c>
      <c r="G376" s="2" t="str">
        <f aca="false">PROPER(TRIM(Raw_Data!G376))</f>
        <v>129 Main St</v>
      </c>
      <c r="H376" s="2" t="str">
        <f aca="false">PROPER(TRIM(Raw_Data!H376))</f>
        <v>Gift Card</v>
      </c>
      <c r="I376" s="2" t="str">
        <f aca="false">PROPER(TRIM(Raw_Data!I376))</f>
        <v>Pending</v>
      </c>
      <c r="J376" s="2" t="str">
        <f aca="false">TRIM(UPPER(Raw_Data!J376))</f>
        <v>TRK67648338</v>
      </c>
      <c r="K376" s="2" t="n">
        <f aca="false">Raw_Data!K376</f>
        <v>1</v>
      </c>
      <c r="L376" s="2" t="str">
        <f aca="false">IF(TRIM(Raw_Data!L376)="","No Coupon",TRIM(UPPER(Raw_Data!L376)))</f>
        <v>WINTER15</v>
      </c>
      <c r="M376" s="2" t="str">
        <f aca="false">PROPER(TRIM(Raw_Data!M376))</f>
        <v>Instagram</v>
      </c>
      <c r="N376" s="4" t="n">
        <f aca="false">ROUND(E376*F376,2)</f>
        <v>571.9</v>
      </c>
      <c r="O376" s="2" t="str">
        <f aca="false">IF(COUNTIF($A$2:$A$1201,A376)&gt;1,"DUPLICATE","Unique")</f>
        <v>Unique</v>
      </c>
      <c r="P376" s="2" t="str">
        <f aca="false">IF(L376="","MISSING","OK")</f>
        <v>OK</v>
      </c>
      <c r="Q376" s="2" t="str">
        <f aca="false">IF(ISNUMBER(B376),"OK","BAD DATE")</f>
        <v>OK</v>
      </c>
      <c r="R376" s="2" t="str">
        <f aca="false">IF(ROUND(F376,2)=F376,"OK","FIX")</f>
        <v>OK</v>
      </c>
    </row>
    <row r="377" customFormat="false" ht="15" hidden="false" customHeight="false" outlineLevel="0" collapsed="false">
      <c r="A377" s="2" t="str">
        <f aca="false">TRIM(UPPER(Raw_Data!A377))</f>
        <v>ORD200375</v>
      </c>
      <c r="B377" s="3" t="n">
        <f aca="false">IF(ISNUMBER(Raw_Data!B377),Raw_Data!B377,DATEVALUE(Raw_Data!B377))</f>
        <v>45673</v>
      </c>
      <c r="C377" s="2" t="str">
        <f aca="false">TRIM(UPPER(Raw_Data!C377))</f>
        <v>C87547</v>
      </c>
      <c r="D377" s="2" t="str">
        <f aca="false">PROPER(TRIM(Raw_Data!D377))</f>
        <v>Monitor</v>
      </c>
      <c r="E377" s="2" t="n">
        <f aca="false">Raw_Data!E377</f>
        <v>4</v>
      </c>
      <c r="F377" s="4" t="n">
        <f aca="false">ROUND(Raw_Data!F377,2)</f>
        <v>95.03</v>
      </c>
      <c r="G377" s="2" t="str">
        <f aca="false">PROPER(TRIM(Raw_Data!G377))</f>
        <v>400 Main St</v>
      </c>
      <c r="H377" s="2" t="str">
        <f aca="false">PROPER(TRIM(Raw_Data!H377))</f>
        <v>Online</v>
      </c>
      <c r="I377" s="2" t="str">
        <f aca="false">PROPER(TRIM(Raw_Data!I377))</f>
        <v>Shipped</v>
      </c>
      <c r="J377" s="2" t="str">
        <f aca="false">TRIM(UPPER(Raw_Data!J377))</f>
        <v>TRK71027262</v>
      </c>
      <c r="K377" s="2" t="n">
        <f aca="false">Raw_Data!K377</f>
        <v>8</v>
      </c>
      <c r="L377" s="2" t="str">
        <f aca="false">IF(TRIM(Raw_Data!L377)="","No Coupon",TRIM(UPPER(Raw_Data!L377)))</f>
        <v>FREESHIP</v>
      </c>
      <c r="M377" s="2" t="str">
        <f aca="false">PROPER(TRIM(Raw_Data!M377))</f>
        <v>Facebook</v>
      </c>
      <c r="N377" s="4" t="n">
        <f aca="false">ROUND(E377*F377,2)</f>
        <v>380.12</v>
      </c>
      <c r="O377" s="2" t="str">
        <f aca="false">IF(COUNTIF($A$2:$A$1201,A377)&gt;1,"DUPLICATE","Unique")</f>
        <v>Unique</v>
      </c>
      <c r="P377" s="2" t="str">
        <f aca="false">IF(L377="","MISSING","OK")</f>
        <v>OK</v>
      </c>
      <c r="Q377" s="2" t="str">
        <f aca="false">IF(ISNUMBER(B377),"OK","BAD DATE")</f>
        <v>OK</v>
      </c>
      <c r="R377" s="2" t="str">
        <f aca="false">IF(ROUND(F377,2)=F377,"OK","FIX")</f>
        <v>OK</v>
      </c>
    </row>
    <row r="378" customFormat="false" ht="15" hidden="false" customHeight="false" outlineLevel="0" collapsed="false">
      <c r="A378" s="2" t="str">
        <f aca="false">TRIM(UPPER(Raw_Data!A378))</f>
        <v>ORD200376</v>
      </c>
      <c r="B378" s="3" t="n">
        <f aca="false">IF(ISNUMBER(Raw_Data!B378),Raw_Data!B378,DATEVALUE(Raw_Data!B378))</f>
        <v>45162</v>
      </c>
      <c r="C378" s="2" t="str">
        <f aca="false">TRIM(UPPER(Raw_Data!C378))</f>
        <v>C64549</v>
      </c>
      <c r="D378" s="2" t="str">
        <f aca="false">PROPER(TRIM(Raw_Data!D378))</f>
        <v>Monitor</v>
      </c>
      <c r="E378" s="2" t="n">
        <f aca="false">Raw_Data!E378</f>
        <v>5</v>
      </c>
      <c r="F378" s="4" t="n">
        <f aca="false">ROUND(Raw_Data!F378,2)</f>
        <v>201.22</v>
      </c>
      <c r="G378" s="2" t="str">
        <f aca="false">PROPER(TRIM(Raw_Data!G378))</f>
        <v>341 Main St</v>
      </c>
      <c r="H378" s="2" t="str">
        <f aca="false">PROPER(TRIM(Raw_Data!H378))</f>
        <v>Debit Card</v>
      </c>
      <c r="I378" s="2" t="str">
        <f aca="false">PROPER(TRIM(Raw_Data!I378))</f>
        <v>Pending</v>
      </c>
      <c r="J378" s="2" t="str">
        <f aca="false">TRIM(UPPER(Raw_Data!J378))</f>
        <v>TRK20788231</v>
      </c>
      <c r="K378" s="2" t="n">
        <f aca="false">Raw_Data!K378</f>
        <v>6</v>
      </c>
      <c r="L378" s="2" t="str">
        <f aca="false">IF(TRIM(Raw_Data!L378)="","No Coupon",TRIM(UPPER(Raw_Data!L378)))</f>
        <v>FREESHIP</v>
      </c>
      <c r="M378" s="2" t="str">
        <f aca="false">PROPER(TRIM(Raw_Data!M378))</f>
        <v>Facebook</v>
      </c>
      <c r="N378" s="4" t="n">
        <f aca="false">ROUND(E378*F378,2)</f>
        <v>1006.1</v>
      </c>
      <c r="O378" s="2" t="str">
        <f aca="false">IF(COUNTIF($A$2:$A$1201,A378)&gt;1,"DUPLICATE","Unique")</f>
        <v>Unique</v>
      </c>
      <c r="P378" s="2" t="str">
        <f aca="false">IF(L378="","MISSING","OK")</f>
        <v>OK</v>
      </c>
      <c r="Q378" s="2" t="str">
        <f aca="false">IF(ISNUMBER(B378),"OK","BAD DATE")</f>
        <v>OK</v>
      </c>
      <c r="R378" s="2" t="str">
        <f aca="false">IF(ROUND(F378,2)=F378,"OK","FIX")</f>
        <v>OK</v>
      </c>
    </row>
    <row r="379" customFormat="false" ht="15" hidden="false" customHeight="false" outlineLevel="0" collapsed="false">
      <c r="A379" s="2" t="str">
        <f aca="false">TRIM(UPPER(Raw_Data!A379))</f>
        <v>ORD200377</v>
      </c>
      <c r="B379" s="3" t="n">
        <f aca="false">IF(ISNUMBER(Raw_Data!B379),Raw_Data!B379,DATEVALUE(Raw_Data!B379))</f>
        <v>45495</v>
      </c>
      <c r="C379" s="2" t="str">
        <f aca="false">TRIM(UPPER(Raw_Data!C379))</f>
        <v>C24884</v>
      </c>
      <c r="D379" s="2" t="str">
        <f aca="false">PROPER(TRIM(Raw_Data!D379))</f>
        <v>Monitor</v>
      </c>
      <c r="E379" s="2" t="n">
        <f aca="false">Raw_Data!E379</f>
        <v>1</v>
      </c>
      <c r="F379" s="4" t="n">
        <f aca="false">ROUND(Raw_Data!F379,2)</f>
        <v>260.26</v>
      </c>
      <c r="G379" s="2" t="str">
        <f aca="false">PROPER(TRIM(Raw_Data!G379))</f>
        <v>625 Main St</v>
      </c>
      <c r="H379" s="2" t="str">
        <f aca="false">PROPER(TRIM(Raw_Data!H379))</f>
        <v>Online</v>
      </c>
      <c r="I379" s="2" t="str">
        <f aca="false">PROPER(TRIM(Raw_Data!I379))</f>
        <v>Pending</v>
      </c>
      <c r="J379" s="2" t="str">
        <f aca="false">TRIM(UPPER(Raw_Data!J379))</f>
        <v>TRK44538419</v>
      </c>
      <c r="K379" s="2" t="n">
        <f aca="false">Raw_Data!K379</f>
        <v>5</v>
      </c>
      <c r="L379" s="2" t="str">
        <f aca="false">IF(TRIM(Raw_Data!L379)="","No Coupon",TRIM(UPPER(Raw_Data!L379)))</f>
        <v>WINTER15</v>
      </c>
      <c r="M379" s="2" t="str">
        <f aca="false">PROPER(TRIM(Raw_Data!M379))</f>
        <v>Instagram</v>
      </c>
      <c r="N379" s="4" t="n">
        <f aca="false">ROUND(E379*F379,2)</f>
        <v>260.26</v>
      </c>
      <c r="O379" s="2" t="str">
        <f aca="false">IF(COUNTIF($A$2:$A$1201,A379)&gt;1,"DUPLICATE","Unique")</f>
        <v>Unique</v>
      </c>
      <c r="P379" s="2" t="str">
        <f aca="false">IF(L379="","MISSING","OK")</f>
        <v>OK</v>
      </c>
      <c r="Q379" s="2" t="str">
        <f aca="false">IF(ISNUMBER(B379),"OK","BAD DATE")</f>
        <v>OK</v>
      </c>
      <c r="R379" s="2" t="str">
        <f aca="false">IF(ROUND(F379,2)=F379,"OK","FIX")</f>
        <v>OK</v>
      </c>
    </row>
    <row r="380" customFormat="false" ht="15" hidden="false" customHeight="false" outlineLevel="0" collapsed="false">
      <c r="A380" s="2" t="str">
        <f aca="false">TRIM(UPPER(Raw_Data!A380))</f>
        <v>ORD200378</v>
      </c>
      <c r="B380" s="3" t="n">
        <f aca="false">IF(ISNUMBER(Raw_Data!B380),Raw_Data!B380,DATEVALUE(Raw_Data!B380))</f>
        <v>45323</v>
      </c>
      <c r="C380" s="2" t="str">
        <f aca="false">TRIM(UPPER(Raw_Data!C380))</f>
        <v>C62666</v>
      </c>
      <c r="D380" s="2" t="str">
        <f aca="false">PROPER(TRIM(Raw_Data!D380))</f>
        <v>Chair</v>
      </c>
      <c r="E380" s="2" t="n">
        <f aca="false">Raw_Data!E380</f>
        <v>5</v>
      </c>
      <c r="F380" s="4" t="n">
        <f aca="false">ROUND(Raw_Data!F380,2)</f>
        <v>64.5</v>
      </c>
      <c r="G380" s="2" t="str">
        <f aca="false">PROPER(TRIM(Raw_Data!G380))</f>
        <v>148 Main St</v>
      </c>
      <c r="H380" s="2" t="str">
        <f aca="false">PROPER(TRIM(Raw_Data!H380))</f>
        <v>Credit Card</v>
      </c>
      <c r="I380" s="2" t="str">
        <f aca="false">PROPER(TRIM(Raw_Data!I380))</f>
        <v>Pending</v>
      </c>
      <c r="J380" s="2" t="str">
        <f aca="false">TRIM(UPPER(Raw_Data!J380))</f>
        <v>TRK91029390</v>
      </c>
      <c r="K380" s="2" t="n">
        <f aca="false">Raw_Data!K380</f>
        <v>8</v>
      </c>
      <c r="L380" s="2" t="str">
        <f aca="false">IF(TRIM(Raw_Data!L380)="","No Coupon",TRIM(UPPER(Raw_Data!L380)))</f>
        <v>WINTER15</v>
      </c>
      <c r="M380" s="2" t="str">
        <f aca="false">PROPER(TRIM(Raw_Data!M380))</f>
        <v>Instagram</v>
      </c>
      <c r="N380" s="4" t="n">
        <f aca="false">ROUND(E380*F380,2)</f>
        <v>322.5</v>
      </c>
      <c r="O380" s="2" t="str">
        <f aca="false">IF(COUNTIF($A$2:$A$1201,A380)&gt;1,"DUPLICATE","Unique")</f>
        <v>Unique</v>
      </c>
      <c r="P380" s="2" t="str">
        <f aca="false">IF(L380="","MISSING","OK")</f>
        <v>OK</v>
      </c>
      <c r="Q380" s="2" t="str">
        <f aca="false">IF(ISNUMBER(B380),"OK","BAD DATE")</f>
        <v>OK</v>
      </c>
      <c r="R380" s="2" t="str">
        <f aca="false">IF(ROUND(F380,2)=F380,"OK","FIX")</f>
        <v>OK</v>
      </c>
    </row>
    <row r="381" customFormat="false" ht="15" hidden="false" customHeight="false" outlineLevel="0" collapsed="false">
      <c r="A381" s="2" t="str">
        <f aca="false">TRIM(UPPER(Raw_Data!A381))</f>
        <v>ORD200379</v>
      </c>
      <c r="B381" s="3" t="n">
        <f aca="false">IF(ISNUMBER(Raw_Data!B381),Raw_Data!B381,DATEVALUE(Raw_Data!B381))</f>
        <v>45556</v>
      </c>
      <c r="C381" s="2" t="str">
        <f aca="false">TRIM(UPPER(Raw_Data!C381))</f>
        <v>C47284</v>
      </c>
      <c r="D381" s="2" t="str">
        <f aca="false">PROPER(TRIM(Raw_Data!D381))</f>
        <v>Phone</v>
      </c>
      <c r="E381" s="2" t="n">
        <f aca="false">Raw_Data!E381</f>
        <v>3</v>
      </c>
      <c r="F381" s="4" t="n">
        <f aca="false">ROUND(Raw_Data!F381,2)</f>
        <v>297.67</v>
      </c>
      <c r="G381" s="2" t="str">
        <f aca="false">PROPER(TRIM(Raw_Data!G381))</f>
        <v>500 Main St</v>
      </c>
      <c r="H381" s="2" t="str">
        <f aca="false">PROPER(TRIM(Raw_Data!H381))</f>
        <v>Online</v>
      </c>
      <c r="I381" s="2" t="str">
        <f aca="false">PROPER(TRIM(Raw_Data!I381))</f>
        <v>Shipped</v>
      </c>
      <c r="J381" s="2" t="str">
        <f aca="false">TRIM(UPPER(Raw_Data!J381))</f>
        <v>TRK85756094</v>
      </c>
      <c r="K381" s="2" t="n">
        <f aca="false">Raw_Data!K381</f>
        <v>6</v>
      </c>
      <c r="L381" s="2" t="str">
        <f aca="false">IF(TRIM(Raw_Data!L381)="","No Coupon",TRIM(UPPER(Raw_Data!L381)))</f>
        <v>No Coupon</v>
      </c>
      <c r="M381" s="2" t="str">
        <f aca="false">PROPER(TRIM(Raw_Data!M381))</f>
        <v>Google</v>
      </c>
      <c r="N381" s="4" t="n">
        <f aca="false">ROUND(E381*F381,2)</f>
        <v>893.01</v>
      </c>
      <c r="O381" s="2" t="str">
        <f aca="false">IF(COUNTIF($A$2:$A$1201,A381)&gt;1,"DUPLICATE","Unique")</f>
        <v>Unique</v>
      </c>
      <c r="P381" s="2" t="str">
        <f aca="false">IF(L381="","MISSING","OK")</f>
        <v>OK</v>
      </c>
      <c r="Q381" s="2" t="str">
        <f aca="false">IF(ISNUMBER(B381),"OK","BAD DATE")</f>
        <v>OK</v>
      </c>
      <c r="R381" s="2" t="str">
        <f aca="false">IF(ROUND(F381,2)=F381,"OK","FIX")</f>
        <v>OK</v>
      </c>
    </row>
    <row r="382" customFormat="false" ht="15" hidden="false" customHeight="false" outlineLevel="0" collapsed="false">
      <c r="A382" s="2" t="str">
        <f aca="false">TRIM(UPPER(Raw_Data!A382))</f>
        <v>ORD200380</v>
      </c>
      <c r="B382" s="3" t="n">
        <f aca="false">IF(ISNUMBER(Raw_Data!B382),Raw_Data!B382,DATEVALUE(Raw_Data!B382))</f>
        <v>45402</v>
      </c>
      <c r="C382" s="2" t="str">
        <f aca="false">TRIM(UPPER(Raw_Data!C382))</f>
        <v>C35355</v>
      </c>
      <c r="D382" s="2" t="str">
        <f aca="false">PROPER(TRIM(Raw_Data!D382))</f>
        <v>Printer</v>
      </c>
      <c r="E382" s="2" t="n">
        <f aca="false">Raw_Data!E382</f>
        <v>4</v>
      </c>
      <c r="F382" s="4" t="n">
        <f aca="false">ROUND(Raw_Data!F382,2)</f>
        <v>331.9</v>
      </c>
      <c r="G382" s="2" t="str">
        <f aca="false">PROPER(TRIM(Raw_Data!G382))</f>
        <v>127 Main St</v>
      </c>
      <c r="H382" s="2" t="str">
        <f aca="false">PROPER(TRIM(Raw_Data!H382))</f>
        <v>Cash</v>
      </c>
      <c r="I382" s="2" t="str">
        <f aca="false">PROPER(TRIM(Raw_Data!I382))</f>
        <v>Pending</v>
      </c>
      <c r="J382" s="2" t="str">
        <f aca="false">TRIM(UPPER(Raw_Data!J382))</f>
        <v>TRK52935059</v>
      </c>
      <c r="K382" s="2" t="n">
        <f aca="false">Raw_Data!K382</f>
        <v>5</v>
      </c>
      <c r="L382" s="2" t="str">
        <f aca="false">IF(TRIM(Raw_Data!L382)="","No Coupon",TRIM(UPPER(Raw_Data!L382)))</f>
        <v>SAVE10</v>
      </c>
      <c r="M382" s="2" t="str">
        <f aca="false">PROPER(TRIM(Raw_Data!M382))</f>
        <v>Instagram</v>
      </c>
      <c r="N382" s="4" t="n">
        <f aca="false">ROUND(E382*F382,2)</f>
        <v>1327.6</v>
      </c>
      <c r="O382" s="2" t="str">
        <f aca="false">IF(COUNTIF($A$2:$A$1201,A382)&gt;1,"DUPLICATE","Unique")</f>
        <v>Unique</v>
      </c>
      <c r="P382" s="2" t="str">
        <f aca="false">IF(L382="","MISSING","OK")</f>
        <v>OK</v>
      </c>
      <c r="Q382" s="2" t="str">
        <f aca="false">IF(ISNUMBER(B382),"OK","BAD DATE")</f>
        <v>OK</v>
      </c>
      <c r="R382" s="2" t="str">
        <f aca="false">IF(ROUND(F382,2)=F382,"OK","FIX")</f>
        <v>OK</v>
      </c>
    </row>
    <row r="383" customFormat="false" ht="15" hidden="false" customHeight="false" outlineLevel="0" collapsed="false">
      <c r="A383" s="2" t="str">
        <f aca="false">TRIM(UPPER(Raw_Data!A383))</f>
        <v>ORD200381</v>
      </c>
      <c r="B383" s="3" t="n">
        <f aca="false">IF(ISNUMBER(Raw_Data!B383),Raw_Data!B383,DATEVALUE(Raw_Data!B383))</f>
        <v>45084</v>
      </c>
      <c r="C383" s="2" t="str">
        <f aca="false">TRIM(UPPER(Raw_Data!C383))</f>
        <v>C29467</v>
      </c>
      <c r="D383" s="2" t="str">
        <f aca="false">PROPER(TRIM(Raw_Data!D383))</f>
        <v>Chair</v>
      </c>
      <c r="E383" s="2" t="n">
        <f aca="false">Raw_Data!E383</f>
        <v>1</v>
      </c>
      <c r="F383" s="4" t="n">
        <f aca="false">ROUND(Raw_Data!F383,2)</f>
        <v>191.76</v>
      </c>
      <c r="G383" s="2" t="str">
        <f aca="false">PROPER(TRIM(Raw_Data!G383))</f>
        <v>223 Main St</v>
      </c>
      <c r="H383" s="2" t="str">
        <f aca="false">PROPER(TRIM(Raw_Data!H383))</f>
        <v>Credit Card</v>
      </c>
      <c r="I383" s="2" t="str">
        <f aca="false">PROPER(TRIM(Raw_Data!I383))</f>
        <v>Returned</v>
      </c>
      <c r="J383" s="2" t="str">
        <f aca="false">TRIM(UPPER(Raw_Data!J383))</f>
        <v>TRK98103385</v>
      </c>
      <c r="K383" s="2" t="n">
        <f aca="false">Raw_Data!K383</f>
        <v>1</v>
      </c>
      <c r="L383" s="2" t="str">
        <f aca="false">IF(TRIM(Raw_Data!L383)="","No Coupon",TRIM(UPPER(Raw_Data!L383)))</f>
        <v>FREESHIP</v>
      </c>
      <c r="M383" s="2" t="str">
        <f aca="false">PROPER(TRIM(Raw_Data!M383))</f>
        <v>Instagram</v>
      </c>
      <c r="N383" s="4" t="n">
        <f aca="false">ROUND(E383*F383,2)</f>
        <v>191.76</v>
      </c>
      <c r="O383" s="2" t="str">
        <f aca="false">IF(COUNTIF($A$2:$A$1201,A383)&gt;1,"DUPLICATE","Unique")</f>
        <v>Unique</v>
      </c>
      <c r="P383" s="2" t="str">
        <f aca="false">IF(L383="","MISSING","OK")</f>
        <v>OK</v>
      </c>
      <c r="Q383" s="2" t="str">
        <f aca="false">IF(ISNUMBER(B383),"OK","BAD DATE")</f>
        <v>OK</v>
      </c>
      <c r="R383" s="2" t="str">
        <f aca="false">IF(ROUND(F383,2)=F383,"OK","FIX")</f>
        <v>OK</v>
      </c>
    </row>
    <row r="384" customFormat="false" ht="15" hidden="false" customHeight="false" outlineLevel="0" collapsed="false">
      <c r="A384" s="2" t="str">
        <f aca="false">TRIM(UPPER(Raw_Data!A384))</f>
        <v>ORD200382</v>
      </c>
      <c r="B384" s="3" t="n">
        <f aca="false">IF(ISNUMBER(Raw_Data!B384),Raw_Data!B384,DATEVALUE(Raw_Data!B384))</f>
        <v>45687</v>
      </c>
      <c r="C384" s="2" t="str">
        <f aca="false">TRIM(UPPER(Raw_Data!C384))</f>
        <v>C26718</v>
      </c>
      <c r="D384" s="2" t="str">
        <f aca="false">PROPER(TRIM(Raw_Data!D384))</f>
        <v>Printer</v>
      </c>
      <c r="E384" s="2" t="n">
        <f aca="false">Raw_Data!E384</f>
        <v>4</v>
      </c>
      <c r="F384" s="4" t="n">
        <f aca="false">ROUND(Raw_Data!F384,2)</f>
        <v>263.09</v>
      </c>
      <c r="G384" s="2" t="str">
        <f aca="false">PROPER(TRIM(Raw_Data!G384))</f>
        <v>272 Main St</v>
      </c>
      <c r="H384" s="2" t="str">
        <f aca="false">PROPER(TRIM(Raw_Data!H384))</f>
        <v>Debit Card</v>
      </c>
      <c r="I384" s="2" t="str">
        <f aca="false">PROPER(TRIM(Raw_Data!I384))</f>
        <v>Shipped</v>
      </c>
      <c r="J384" s="2" t="str">
        <f aca="false">TRIM(UPPER(Raw_Data!J384))</f>
        <v>TRK91702525</v>
      </c>
      <c r="K384" s="2" t="n">
        <f aca="false">Raw_Data!K384</f>
        <v>8</v>
      </c>
      <c r="L384" s="2" t="str">
        <f aca="false">IF(TRIM(Raw_Data!L384)="","No Coupon",TRIM(UPPER(Raw_Data!L384)))</f>
        <v>SAVE10</v>
      </c>
      <c r="M384" s="2" t="str">
        <f aca="false">PROPER(TRIM(Raw_Data!M384))</f>
        <v>Google</v>
      </c>
      <c r="N384" s="4" t="n">
        <f aca="false">ROUND(E384*F384,2)</f>
        <v>1052.36</v>
      </c>
      <c r="O384" s="2" t="str">
        <f aca="false">IF(COUNTIF($A$2:$A$1201,A384)&gt;1,"DUPLICATE","Unique")</f>
        <v>Unique</v>
      </c>
      <c r="P384" s="2" t="str">
        <f aca="false">IF(L384="","MISSING","OK")</f>
        <v>OK</v>
      </c>
      <c r="Q384" s="2" t="str">
        <f aca="false">IF(ISNUMBER(B384),"OK","BAD DATE")</f>
        <v>OK</v>
      </c>
      <c r="R384" s="2" t="str">
        <f aca="false">IF(ROUND(F384,2)=F384,"OK","FIX")</f>
        <v>OK</v>
      </c>
    </row>
    <row r="385" customFormat="false" ht="15" hidden="false" customHeight="false" outlineLevel="0" collapsed="false">
      <c r="A385" s="2" t="str">
        <f aca="false">TRIM(UPPER(Raw_Data!A385))</f>
        <v>ORD200383</v>
      </c>
      <c r="B385" s="3" t="n">
        <f aca="false">IF(ISNUMBER(Raw_Data!B385),Raw_Data!B385,DATEVALUE(Raw_Data!B385))</f>
        <v>44946</v>
      </c>
      <c r="C385" s="2" t="str">
        <f aca="false">TRIM(UPPER(Raw_Data!C385))</f>
        <v>C18944</v>
      </c>
      <c r="D385" s="2" t="str">
        <f aca="false">PROPER(TRIM(Raw_Data!D385))</f>
        <v>Chair</v>
      </c>
      <c r="E385" s="2" t="n">
        <f aca="false">Raw_Data!E385</f>
        <v>4</v>
      </c>
      <c r="F385" s="4" t="n">
        <f aca="false">ROUND(Raw_Data!F385,2)</f>
        <v>393.8</v>
      </c>
      <c r="G385" s="2" t="str">
        <f aca="false">PROPER(TRIM(Raw_Data!G385))</f>
        <v>837 Main St</v>
      </c>
      <c r="H385" s="2" t="str">
        <f aca="false">PROPER(TRIM(Raw_Data!H385))</f>
        <v>Credit Card</v>
      </c>
      <c r="I385" s="2" t="str">
        <f aca="false">PROPER(TRIM(Raw_Data!I385))</f>
        <v>Pending</v>
      </c>
      <c r="J385" s="2" t="str">
        <f aca="false">TRIM(UPPER(Raw_Data!J385))</f>
        <v>TRK45275439</v>
      </c>
      <c r="K385" s="2" t="n">
        <f aca="false">Raw_Data!K385</f>
        <v>7</v>
      </c>
      <c r="L385" s="2" t="str">
        <f aca="false">IF(TRIM(Raw_Data!L385)="","No Coupon",TRIM(UPPER(Raw_Data!L385)))</f>
        <v>SAVE10</v>
      </c>
      <c r="M385" s="2" t="str">
        <f aca="false">PROPER(TRIM(Raw_Data!M385))</f>
        <v>Email</v>
      </c>
      <c r="N385" s="4" t="n">
        <f aca="false">ROUND(E385*F385,2)</f>
        <v>1575.2</v>
      </c>
      <c r="O385" s="2" t="str">
        <f aca="false">IF(COUNTIF($A$2:$A$1201,A385)&gt;1,"DUPLICATE","Unique")</f>
        <v>Unique</v>
      </c>
      <c r="P385" s="2" t="str">
        <f aca="false">IF(L385="","MISSING","OK")</f>
        <v>OK</v>
      </c>
      <c r="Q385" s="2" t="str">
        <f aca="false">IF(ISNUMBER(B385),"OK","BAD DATE")</f>
        <v>OK</v>
      </c>
      <c r="R385" s="2" t="str">
        <f aca="false">IF(ROUND(F385,2)=F385,"OK","FIX")</f>
        <v>OK</v>
      </c>
    </row>
    <row r="386" customFormat="false" ht="15" hidden="false" customHeight="false" outlineLevel="0" collapsed="false">
      <c r="A386" s="2" t="str">
        <f aca="false">TRIM(UPPER(Raw_Data!A386))</f>
        <v>ORD200384</v>
      </c>
      <c r="B386" s="3" t="n">
        <f aca="false">IF(ISNUMBER(Raw_Data!B386),Raw_Data!B386,DATEVALUE(Raw_Data!B386))</f>
        <v>45620</v>
      </c>
      <c r="C386" s="2" t="str">
        <f aca="false">TRIM(UPPER(Raw_Data!C386))</f>
        <v>C35628</v>
      </c>
      <c r="D386" s="2" t="str">
        <f aca="false">PROPER(TRIM(Raw_Data!D386))</f>
        <v>Chair</v>
      </c>
      <c r="E386" s="2" t="n">
        <f aca="false">Raw_Data!E386</f>
        <v>3</v>
      </c>
      <c r="F386" s="4" t="n">
        <f aca="false">ROUND(Raw_Data!F386,2)</f>
        <v>553.57</v>
      </c>
      <c r="G386" s="2" t="str">
        <f aca="false">PROPER(TRIM(Raw_Data!G386))</f>
        <v>147 Main St</v>
      </c>
      <c r="H386" s="2" t="str">
        <f aca="false">PROPER(TRIM(Raw_Data!H386))</f>
        <v>Credit Card</v>
      </c>
      <c r="I386" s="2" t="str">
        <f aca="false">PROPER(TRIM(Raw_Data!I386))</f>
        <v>Returned</v>
      </c>
      <c r="J386" s="2" t="str">
        <f aca="false">TRIM(UPPER(Raw_Data!J386))</f>
        <v>TRK45688220</v>
      </c>
      <c r="K386" s="2" t="n">
        <f aca="false">Raw_Data!K386</f>
        <v>4</v>
      </c>
      <c r="L386" s="2" t="str">
        <f aca="false">IF(TRIM(Raw_Data!L386)="","No Coupon",TRIM(UPPER(Raw_Data!L386)))</f>
        <v>FREESHIP</v>
      </c>
      <c r="M386" s="2" t="str">
        <f aca="false">PROPER(TRIM(Raw_Data!M386))</f>
        <v>Facebook</v>
      </c>
      <c r="N386" s="4" t="n">
        <f aca="false">ROUND(E386*F386,2)</f>
        <v>1660.71</v>
      </c>
      <c r="O386" s="2" t="str">
        <f aca="false">IF(COUNTIF($A$2:$A$1201,A386)&gt;1,"DUPLICATE","Unique")</f>
        <v>Unique</v>
      </c>
      <c r="P386" s="2" t="str">
        <f aca="false">IF(L386="","MISSING","OK")</f>
        <v>OK</v>
      </c>
      <c r="Q386" s="2" t="str">
        <f aca="false">IF(ISNUMBER(B386),"OK","BAD DATE")</f>
        <v>OK</v>
      </c>
      <c r="R386" s="2" t="str">
        <f aca="false">IF(ROUND(F386,2)=F386,"OK","FIX")</f>
        <v>OK</v>
      </c>
    </row>
    <row r="387" customFormat="false" ht="15" hidden="false" customHeight="false" outlineLevel="0" collapsed="false">
      <c r="A387" s="2" t="str">
        <f aca="false">TRIM(UPPER(Raw_Data!A387))</f>
        <v>ORD200385</v>
      </c>
      <c r="B387" s="3" t="n">
        <f aca="false">IF(ISNUMBER(Raw_Data!B387),Raw_Data!B387,DATEVALUE(Raw_Data!B387))</f>
        <v>45230</v>
      </c>
      <c r="C387" s="2" t="str">
        <f aca="false">TRIM(UPPER(Raw_Data!C387))</f>
        <v>C56851</v>
      </c>
      <c r="D387" s="2" t="str">
        <f aca="false">PROPER(TRIM(Raw_Data!D387))</f>
        <v>Chair</v>
      </c>
      <c r="E387" s="2" t="n">
        <f aca="false">Raw_Data!E387</f>
        <v>5</v>
      </c>
      <c r="F387" s="4" t="n">
        <f aca="false">ROUND(Raw_Data!F387,2)</f>
        <v>191.63</v>
      </c>
      <c r="G387" s="2" t="str">
        <f aca="false">PROPER(TRIM(Raw_Data!G387))</f>
        <v>752 Main St</v>
      </c>
      <c r="H387" s="2" t="str">
        <f aca="false">PROPER(TRIM(Raw_Data!H387))</f>
        <v>Gift Card</v>
      </c>
      <c r="I387" s="2" t="str">
        <f aca="false">PROPER(TRIM(Raw_Data!I387))</f>
        <v>Delivered</v>
      </c>
      <c r="J387" s="2" t="str">
        <f aca="false">TRIM(UPPER(Raw_Data!J387))</f>
        <v>TRK65290904</v>
      </c>
      <c r="K387" s="2" t="n">
        <f aca="false">Raw_Data!K387</f>
        <v>6</v>
      </c>
      <c r="L387" s="2" t="str">
        <f aca="false">IF(TRIM(Raw_Data!L387)="","No Coupon",TRIM(UPPER(Raw_Data!L387)))</f>
        <v>FREESHIP</v>
      </c>
      <c r="M387" s="2" t="str">
        <f aca="false">PROPER(TRIM(Raw_Data!M387))</f>
        <v>Facebook</v>
      </c>
      <c r="N387" s="4" t="n">
        <f aca="false">ROUND(E387*F387,2)</f>
        <v>958.15</v>
      </c>
      <c r="O387" s="2" t="str">
        <f aca="false">IF(COUNTIF($A$2:$A$1201,A387)&gt;1,"DUPLICATE","Unique")</f>
        <v>Unique</v>
      </c>
      <c r="P387" s="2" t="str">
        <f aca="false">IF(L387="","MISSING","OK")</f>
        <v>OK</v>
      </c>
      <c r="Q387" s="2" t="str">
        <f aca="false">IF(ISNUMBER(B387),"OK","BAD DATE")</f>
        <v>OK</v>
      </c>
      <c r="R387" s="2" t="str">
        <f aca="false">IF(ROUND(F387,2)=F387,"OK","FIX")</f>
        <v>OK</v>
      </c>
    </row>
    <row r="388" customFormat="false" ht="15" hidden="false" customHeight="false" outlineLevel="0" collapsed="false">
      <c r="A388" s="2" t="str">
        <f aca="false">TRIM(UPPER(Raw_Data!A388))</f>
        <v>ORD200386</v>
      </c>
      <c r="B388" s="3" t="n">
        <f aca="false">IF(ISNUMBER(Raw_Data!B388),Raw_Data!B388,DATEVALUE(Raw_Data!B388))</f>
        <v>45044</v>
      </c>
      <c r="C388" s="2" t="str">
        <f aca="false">TRIM(UPPER(Raw_Data!C388))</f>
        <v>C12421</v>
      </c>
      <c r="D388" s="2" t="str">
        <f aca="false">PROPER(TRIM(Raw_Data!D388))</f>
        <v>Tablet</v>
      </c>
      <c r="E388" s="2" t="n">
        <f aca="false">Raw_Data!E388</f>
        <v>1</v>
      </c>
      <c r="F388" s="4" t="n">
        <f aca="false">ROUND(Raw_Data!F388,2)</f>
        <v>93.02</v>
      </c>
      <c r="G388" s="2" t="str">
        <f aca="false">PROPER(TRIM(Raw_Data!G388))</f>
        <v>373 Main St</v>
      </c>
      <c r="H388" s="2" t="str">
        <f aca="false">PROPER(TRIM(Raw_Data!H388))</f>
        <v>Online</v>
      </c>
      <c r="I388" s="2" t="str">
        <f aca="false">PROPER(TRIM(Raw_Data!I388))</f>
        <v>Returned</v>
      </c>
      <c r="J388" s="2" t="str">
        <f aca="false">TRIM(UPPER(Raw_Data!J388))</f>
        <v>TRK32588504</v>
      </c>
      <c r="K388" s="2" t="n">
        <f aca="false">Raw_Data!K388</f>
        <v>4</v>
      </c>
      <c r="L388" s="2" t="str">
        <f aca="false">IF(TRIM(Raw_Data!L388)="","No Coupon",TRIM(UPPER(Raw_Data!L388)))</f>
        <v>No Coupon</v>
      </c>
      <c r="M388" s="2" t="str">
        <f aca="false">PROPER(TRIM(Raw_Data!M388))</f>
        <v>Email</v>
      </c>
      <c r="N388" s="4" t="n">
        <f aca="false">ROUND(E388*F388,2)</f>
        <v>93.02</v>
      </c>
      <c r="O388" s="2" t="str">
        <f aca="false">IF(COUNTIF($A$2:$A$1201,A388)&gt;1,"DUPLICATE","Unique")</f>
        <v>Unique</v>
      </c>
      <c r="P388" s="2" t="str">
        <f aca="false">IF(L388="","MISSING","OK")</f>
        <v>OK</v>
      </c>
      <c r="Q388" s="2" t="str">
        <f aca="false">IF(ISNUMBER(B388),"OK","BAD DATE")</f>
        <v>OK</v>
      </c>
      <c r="R388" s="2" t="str">
        <f aca="false">IF(ROUND(F388,2)=F388,"OK","FIX")</f>
        <v>OK</v>
      </c>
    </row>
    <row r="389" customFormat="false" ht="15" hidden="false" customHeight="false" outlineLevel="0" collapsed="false">
      <c r="A389" s="2" t="str">
        <f aca="false">TRIM(UPPER(Raw_Data!A389))</f>
        <v>ORD200387</v>
      </c>
      <c r="B389" s="3" t="n">
        <f aca="false">IF(ISNUMBER(Raw_Data!B389),Raw_Data!B389,DATEVALUE(Raw_Data!B389))</f>
        <v>45470</v>
      </c>
      <c r="C389" s="2" t="str">
        <f aca="false">TRIM(UPPER(Raw_Data!C389))</f>
        <v>C25316</v>
      </c>
      <c r="D389" s="2" t="str">
        <f aca="false">PROPER(TRIM(Raw_Data!D389))</f>
        <v>Printer</v>
      </c>
      <c r="E389" s="2" t="n">
        <f aca="false">Raw_Data!E389</f>
        <v>2</v>
      </c>
      <c r="F389" s="4" t="n">
        <f aca="false">ROUND(Raw_Data!F389,2)</f>
        <v>39.53</v>
      </c>
      <c r="G389" s="2" t="str">
        <f aca="false">PROPER(TRIM(Raw_Data!G389))</f>
        <v>904 Main St</v>
      </c>
      <c r="H389" s="2" t="str">
        <f aca="false">PROPER(TRIM(Raw_Data!H389))</f>
        <v>Credit Card</v>
      </c>
      <c r="I389" s="2" t="str">
        <f aca="false">PROPER(TRIM(Raw_Data!I389))</f>
        <v>Shipped</v>
      </c>
      <c r="J389" s="2" t="str">
        <f aca="false">TRIM(UPPER(Raw_Data!J389))</f>
        <v>TRK55423551</v>
      </c>
      <c r="K389" s="2" t="n">
        <f aca="false">Raw_Data!K389</f>
        <v>3</v>
      </c>
      <c r="L389" s="2" t="str">
        <f aca="false">IF(TRIM(Raw_Data!L389)="","No Coupon",TRIM(UPPER(Raw_Data!L389)))</f>
        <v>WINTER15</v>
      </c>
      <c r="M389" s="2" t="str">
        <f aca="false">PROPER(TRIM(Raw_Data!M389))</f>
        <v>Google</v>
      </c>
      <c r="N389" s="4" t="n">
        <f aca="false">ROUND(E389*F389,2)</f>
        <v>79.06</v>
      </c>
      <c r="O389" s="2" t="str">
        <f aca="false">IF(COUNTIF($A$2:$A$1201,A389)&gt;1,"DUPLICATE","Unique")</f>
        <v>Unique</v>
      </c>
      <c r="P389" s="2" t="str">
        <f aca="false">IF(L389="","MISSING","OK")</f>
        <v>OK</v>
      </c>
      <c r="Q389" s="2" t="str">
        <f aca="false">IF(ISNUMBER(B389),"OK","BAD DATE")</f>
        <v>OK</v>
      </c>
      <c r="R389" s="2" t="str">
        <f aca="false">IF(ROUND(F389,2)=F389,"OK","FIX")</f>
        <v>OK</v>
      </c>
    </row>
    <row r="390" customFormat="false" ht="15" hidden="false" customHeight="false" outlineLevel="0" collapsed="false">
      <c r="A390" s="2" t="str">
        <f aca="false">TRIM(UPPER(Raw_Data!A390))</f>
        <v>ORD200388</v>
      </c>
      <c r="B390" s="3" t="n">
        <f aca="false">IF(ISNUMBER(Raw_Data!B390),Raw_Data!B390,DATEVALUE(Raw_Data!B390))</f>
        <v>45288</v>
      </c>
      <c r="C390" s="2" t="str">
        <f aca="false">TRIM(UPPER(Raw_Data!C390))</f>
        <v>C22657</v>
      </c>
      <c r="D390" s="2" t="str">
        <f aca="false">PROPER(TRIM(Raw_Data!D390))</f>
        <v>Printer</v>
      </c>
      <c r="E390" s="2" t="n">
        <f aca="false">Raw_Data!E390</f>
        <v>3</v>
      </c>
      <c r="F390" s="4" t="n">
        <f aca="false">ROUND(Raw_Data!F390,2)</f>
        <v>633.97</v>
      </c>
      <c r="G390" s="2" t="str">
        <f aca="false">PROPER(TRIM(Raw_Data!G390))</f>
        <v>152 Main St</v>
      </c>
      <c r="H390" s="2" t="str">
        <f aca="false">PROPER(TRIM(Raw_Data!H390))</f>
        <v>Cash</v>
      </c>
      <c r="I390" s="2" t="str">
        <f aca="false">PROPER(TRIM(Raw_Data!I390))</f>
        <v>Pending</v>
      </c>
      <c r="J390" s="2" t="str">
        <f aca="false">TRIM(UPPER(Raw_Data!J390))</f>
        <v>TRK49157047</v>
      </c>
      <c r="K390" s="2" t="n">
        <f aca="false">Raw_Data!K390</f>
        <v>7</v>
      </c>
      <c r="L390" s="2" t="str">
        <f aca="false">IF(TRIM(Raw_Data!L390)="","No Coupon",TRIM(UPPER(Raw_Data!L390)))</f>
        <v>WINTER15</v>
      </c>
      <c r="M390" s="2" t="str">
        <f aca="false">PROPER(TRIM(Raw_Data!M390))</f>
        <v>Facebook</v>
      </c>
      <c r="N390" s="4" t="n">
        <f aca="false">ROUND(E390*F390,2)</f>
        <v>1901.91</v>
      </c>
      <c r="O390" s="2" t="str">
        <f aca="false">IF(COUNTIF($A$2:$A$1201,A390)&gt;1,"DUPLICATE","Unique")</f>
        <v>Unique</v>
      </c>
      <c r="P390" s="2" t="str">
        <f aca="false">IF(L390="","MISSING","OK")</f>
        <v>OK</v>
      </c>
      <c r="Q390" s="2" t="str">
        <f aca="false">IF(ISNUMBER(B390),"OK","BAD DATE")</f>
        <v>OK</v>
      </c>
      <c r="R390" s="2" t="str">
        <f aca="false">IF(ROUND(F390,2)=F390,"OK","FIX")</f>
        <v>OK</v>
      </c>
    </row>
    <row r="391" customFormat="false" ht="15" hidden="false" customHeight="false" outlineLevel="0" collapsed="false">
      <c r="A391" s="2" t="str">
        <f aca="false">TRIM(UPPER(Raw_Data!A391))</f>
        <v>ORD200389</v>
      </c>
      <c r="B391" s="3" t="n">
        <f aca="false">IF(ISNUMBER(Raw_Data!B391),Raw_Data!B391,DATEVALUE(Raw_Data!B391))</f>
        <v>45277</v>
      </c>
      <c r="C391" s="2" t="str">
        <f aca="false">TRIM(UPPER(Raw_Data!C391))</f>
        <v>C29703</v>
      </c>
      <c r="D391" s="2" t="str">
        <f aca="false">PROPER(TRIM(Raw_Data!D391))</f>
        <v>Desk</v>
      </c>
      <c r="E391" s="2" t="n">
        <f aca="false">Raw_Data!E391</f>
        <v>4</v>
      </c>
      <c r="F391" s="4" t="n">
        <f aca="false">ROUND(Raw_Data!F391,2)</f>
        <v>697.5</v>
      </c>
      <c r="G391" s="2" t="str">
        <f aca="false">PROPER(TRIM(Raw_Data!G391))</f>
        <v>558 Main St</v>
      </c>
      <c r="H391" s="2" t="str">
        <f aca="false">PROPER(TRIM(Raw_Data!H391))</f>
        <v>Cash</v>
      </c>
      <c r="I391" s="2" t="str">
        <f aca="false">PROPER(TRIM(Raw_Data!I391))</f>
        <v>Shipped</v>
      </c>
      <c r="J391" s="2" t="str">
        <f aca="false">TRIM(UPPER(Raw_Data!J391))</f>
        <v>TRK40543461</v>
      </c>
      <c r="K391" s="2" t="n">
        <f aca="false">Raw_Data!K391</f>
        <v>7</v>
      </c>
      <c r="L391" s="2" t="str">
        <f aca="false">IF(TRIM(Raw_Data!L391)="","No Coupon",TRIM(UPPER(Raw_Data!L391)))</f>
        <v>FREESHIP</v>
      </c>
      <c r="M391" s="2" t="str">
        <f aca="false">PROPER(TRIM(Raw_Data!M391))</f>
        <v>Referral</v>
      </c>
      <c r="N391" s="4" t="n">
        <f aca="false">ROUND(E391*F391,2)</f>
        <v>2790</v>
      </c>
      <c r="O391" s="2" t="str">
        <f aca="false">IF(COUNTIF($A$2:$A$1201,A391)&gt;1,"DUPLICATE","Unique")</f>
        <v>Unique</v>
      </c>
      <c r="P391" s="2" t="str">
        <f aca="false">IF(L391="","MISSING","OK")</f>
        <v>OK</v>
      </c>
      <c r="Q391" s="2" t="str">
        <f aca="false">IF(ISNUMBER(B391),"OK","BAD DATE")</f>
        <v>OK</v>
      </c>
      <c r="R391" s="2" t="str">
        <f aca="false">IF(ROUND(F391,2)=F391,"OK","FIX")</f>
        <v>OK</v>
      </c>
    </row>
    <row r="392" customFormat="false" ht="15" hidden="false" customHeight="false" outlineLevel="0" collapsed="false">
      <c r="A392" s="2" t="str">
        <f aca="false">TRIM(UPPER(Raw_Data!A392))</f>
        <v>ORD200390</v>
      </c>
      <c r="B392" s="3" t="n">
        <f aca="false">IF(ISNUMBER(Raw_Data!B392),Raw_Data!B392,DATEVALUE(Raw_Data!B392))</f>
        <v>45121</v>
      </c>
      <c r="C392" s="2" t="str">
        <f aca="false">TRIM(UPPER(Raw_Data!C392))</f>
        <v>C55996</v>
      </c>
      <c r="D392" s="2" t="str">
        <f aca="false">PROPER(TRIM(Raw_Data!D392))</f>
        <v>Printer</v>
      </c>
      <c r="E392" s="2" t="n">
        <f aca="false">Raw_Data!E392</f>
        <v>5</v>
      </c>
      <c r="F392" s="4" t="n">
        <f aca="false">ROUND(Raw_Data!F392,2)</f>
        <v>508.69</v>
      </c>
      <c r="G392" s="2" t="str">
        <f aca="false">PROPER(TRIM(Raw_Data!G392))</f>
        <v>885 Main St</v>
      </c>
      <c r="H392" s="2" t="str">
        <f aca="false">PROPER(TRIM(Raw_Data!H392))</f>
        <v>Cash</v>
      </c>
      <c r="I392" s="2" t="str">
        <f aca="false">PROPER(TRIM(Raw_Data!I392))</f>
        <v>Delivered</v>
      </c>
      <c r="J392" s="2" t="str">
        <f aca="false">TRIM(UPPER(Raw_Data!J392))</f>
        <v>TRK30547638</v>
      </c>
      <c r="K392" s="2" t="n">
        <f aca="false">Raw_Data!K392</f>
        <v>10</v>
      </c>
      <c r="L392" s="2" t="str">
        <f aca="false">IF(TRIM(Raw_Data!L392)="","No Coupon",TRIM(UPPER(Raw_Data!L392)))</f>
        <v>FREESHIP</v>
      </c>
      <c r="M392" s="2" t="str">
        <f aca="false">PROPER(TRIM(Raw_Data!M392))</f>
        <v>Google</v>
      </c>
      <c r="N392" s="4" t="n">
        <f aca="false">ROUND(E392*F392,2)</f>
        <v>2543.45</v>
      </c>
      <c r="O392" s="2" t="str">
        <f aca="false">IF(COUNTIF($A$2:$A$1201,A392)&gt;1,"DUPLICATE","Unique")</f>
        <v>Unique</v>
      </c>
      <c r="P392" s="2" t="str">
        <f aca="false">IF(L392="","MISSING","OK")</f>
        <v>OK</v>
      </c>
      <c r="Q392" s="2" t="str">
        <f aca="false">IF(ISNUMBER(B392),"OK","BAD DATE")</f>
        <v>OK</v>
      </c>
      <c r="R392" s="2" t="str">
        <f aca="false">IF(ROUND(F392,2)=F392,"OK","FIX")</f>
        <v>OK</v>
      </c>
    </row>
    <row r="393" customFormat="false" ht="15" hidden="false" customHeight="false" outlineLevel="0" collapsed="false">
      <c r="A393" s="2" t="str">
        <f aca="false">TRIM(UPPER(Raw_Data!A393))</f>
        <v>ORD200391</v>
      </c>
      <c r="B393" s="3" t="n">
        <f aca="false">IF(ISNUMBER(Raw_Data!B393),Raw_Data!B393,DATEVALUE(Raw_Data!B393))</f>
        <v>45673</v>
      </c>
      <c r="C393" s="2" t="str">
        <f aca="false">TRIM(UPPER(Raw_Data!C393))</f>
        <v>C60037</v>
      </c>
      <c r="D393" s="2" t="str">
        <f aca="false">PROPER(TRIM(Raw_Data!D393))</f>
        <v>Laptop</v>
      </c>
      <c r="E393" s="2" t="n">
        <f aca="false">Raw_Data!E393</f>
        <v>2</v>
      </c>
      <c r="F393" s="4" t="n">
        <f aca="false">ROUND(Raw_Data!F393,2)</f>
        <v>527.46</v>
      </c>
      <c r="G393" s="2" t="str">
        <f aca="false">PROPER(TRIM(Raw_Data!G393))</f>
        <v>516 Main St</v>
      </c>
      <c r="H393" s="2" t="str">
        <f aca="false">PROPER(TRIM(Raw_Data!H393))</f>
        <v>Debit Card</v>
      </c>
      <c r="I393" s="2" t="str">
        <f aca="false">PROPER(TRIM(Raw_Data!I393))</f>
        <v>Cancelled</v>
      </c>
      <c r="J393" s="2" t="str">
        <f aca="false">TRIM(UPPER(Raw_Data!J393))</f>
        <v>TRK82009557</v>
      </c>
      <c r="K393" s="2" t="n">
        <f aca="false">Raw_Data!K393</f>
        <v>3</v>
      </c>
      <c r="L393" s="2" t="str">
        <f aca="false">IF(TRIM(Raw_Data!L393)="","No Coupon",TRIM(UPPER(Raw_Data!L393)))</f>
        <v>FREESHIP</v>
      </c>
      <c r="M393" s="2" t="str">
        <f aca="false">PROPER(TRIM(Raw_Data!M393))</f>
        <v>Referral</v>
      </c>
      <c r="N393" s="4" t="n">
        <f aca="false">ROUND(E393*F393,2)</f>
        <v>1054.92</v>
      </c>
      <c r="O393" s="2" t="str">
        <f aca="false">IF(COUNTIF($A$2:$A$1201,A393)&gt;1,"DUPLICATE","Unique")</f>
        <v>Unique</v>
      </c>
      <c r="P393" s="2" t="str">
        <f aca="false">IF(L393="","MISSING","OK")</f>
        <v>OK</v>
      </c>
      <c r="Q393" s="2" t="str">
        <f aca="false">IF(ISNUMBER(B393),"OK","BAD DATE")</f>
        <v>OK</v>
      </c>
      <c r="R393" s="2" t="str">
        <f aca="false">IF(ROUND(F393,2)=F393,"OK","FIX")</f>
        <v>OK</v>
      </c>
    </row>
    <row r="394" customFormat="false" ht="15" hidden="false" customHeight="false" outlineLevel="0" collapsed="false">
      <c r="A394" s="2" t="str">
        <f aca="false">TRIM(UPPER(Raw_Data!A394))</f>
        <v>ORD200392</v>
      </c>
      <c r="B394" s="3" t="n">
        <f aca="false">IF(ISNUMBER(Raw_Data!B394),Raw_Data!B394,DATEVALUE(Raw_Data!B394))</f>
        <v>45350</v>
      </c>
      <c r="C394" s="2" t="str">
        <f aca="false">TRIM(UPPER(Raw_Data!C394))</f>
        <v>C95100</v>
      </c>
      <c r="D394" s="2" t="str">
        <f aca="false">PROPER(TRIM(Raw_Data!D394))</f>
        <v>Phone</v>
      </c>
      <c r="E394" s="2" t="n">
        <f aca="false">Raw_Data!E394</f>
        <v>1</v>
      </c>
      <c r="F394" s="4" t="n">
        <f aca="false">ROUND(Raw_Data!F394,2)</f>
        <v>627.2</v>
      </c>
      <c r="G394" s="2" t="str">
        <f aca="false">PROPER(TRIM(Raw_Data!G394))</f>
        <v>197 Main St</v>
      </c>
      <c r="H394" s="2" t="str">
        <f aca="false">PROPER(TRIM(Raw_Data!H394))</f>
        <v>Online</v>
      </c>
      <c r="I394" s="2" t="str">
        <f aca="false">PROPER(TRIM(Raw_Data!I394))</f>
        <v>Delivered</v>
      </c>
      <c r="J394" s="2" t="str">
        <f aca="false">TRIM(UPPER(Raw_Data!J394))</f>
        <v>TRK47366265</v>
      </c>
      <c r="K394" s="2" t="n">
        <f aca="false">Raw_Data!K394</f>
        <v>1</v>
      </c>
      <c r="L394" s="2" t="str">
        <f aca="false">IF(TRIM(Raw_Data!L394)="","No Coupon",TRIM(UPPER(Raw_Data!L394)))</f>
        <v>WINTER15</v>
      </c>
      <c r="M394" s="2" t="str">
        <f aca="false">PROPER(TRIM(Raw_Data!M394))</f>
        <v>Email</v>
      </c>
      <c r="N394" s="4" t="n">
        <f aca="false">ROUND(E394*F394,2)</f>
        <v>627.2</v>
      </c>
      <c r="O394" s="2" t="str">
        <f aca="false">IF(COUNTIF($A$2:$A$1201,A394)&gt;1,"DUPLICATE","Unique")</f>
        <v>Unique</v>
      </c>
      <c r="P394" s="2" t="str">
        <f aca="false">IF(L394="","MISSING","OK")</f>
        <v>OK</v>
      </c>
      <c r="Q394" s="2" t="str">
        <f aca="false">IF(ISNUMBER(B394),"OK","BAD DATE")</f>
        <v>OK</v>
      </c>
      <c r="R394" s="2" t="str">
        <f aca="false">IF(ROUND(F394,2)=F394,"OK","FIX")</f>
        <v>OK</v>
      </c>
    </row>
    <row r="395" customFormat="false" ht="15" hidden="false" customHeight="false" outlineLevel="0" collapsed="false">
      <c r="A395" s="2" t="str">
        <f aca="false">TRIM(UPPER(Raw_Data!A395))</f>
        <v>ORD200393</v>
      </c>
      <c r="B395" s="3" t="n">
        <f aca="false">IF(ISNUMBER(Raw_Data!B395),Raw_Data!B395,DATEVALUE(Raw_Data!B395))</f>
        <v>45487</v>
      </c>
      <c r="C395" s="2" t="str">
        <f aca="false">TRIM(UPPER(Raw_Data!C395))</f>
        <v>C39906</v>
      </c>
      <c r="D395" s="2" t="str">
        <f aca="false">PROPER(TRIM(Raw_Data!D395))</f>
        <v>Printer</v>
      </c>
      <c r="E395" s="2" t="n">
        <f aca="false">Raw_Data!E395</f>
        <v>1</v>
      </c>
      <c r="F395" s="4" t="n">
        <f aca="false">ROUND(Raw_Data!F395,2)</f>
        <v>75.01</v>
      </c>
      <c r="G395" s="2" t="str">
        <f aca="false">PROPER(TRIM(Raw_Data!G395))</f>
        <v>921 Main St</v>
      </c>
      <c r="H395" s="2" t="str">
        <f aca="false">PROPER(TRIM(Raw_Data!H395))</f>
        <v>Credit Card</v>
      </c>
      <c r="I395" s="2" t="str">
        <f aca="false">PROPER(TRIM(Raw_Data!I395))</f>
        <v>Returned</v>
      </c>
      <c r="J395" s="2" t="str">
        <f aca="false">TRIM(UPPER(Raw_Data!J395))</f>
        <v>TRK24632134</v>
      </c>
      <c r="K395" s="2" t="n">
        <f aca="false">Raw_Data!K395</f>
        <v>3</v>
      </c>
      <c r="L395" s="2" t="str">
        <f aca="false">IF(TRIM(Raw_Data!L395)="","No Coupon",TRIM(UPPER(Raw_Data!L395)))</f>
        <v>No Coupon</v>
      </c>
      <c r="M395" s="2" t="str">
        <f aca="false">PROPER(TRIM(Raw_Data!M395))</f>
        <v>Google</v>
      </c>
      <c r="N395" s="4" t="n">
        <f aca="false">ROUND(E395*F395,2)</f>
        <v>75.01</v>
      </c>
      <c r="O395" s="2" t="str">
        <f aca="false">IF(COUNTIF($A$2:$A$1201,A395)&gt;1,"DUPLICATE","Unique")</f>
        <v>Unique</v>
      </c>
      <c r="P395" s="2" t="str">
        <f aca="false">IF(L395="","MISSING","OK")</f>
        <v>OK</v>
      </c>
      <c r="Q395" s="2" t="str">
        <f aca="false">IF(ISNUMBER(B395),"OK","BAD DATE")</f>
        <v>OK</v>
      </c>
      <c r="R395" s="2" t="str">
        <f aca="false">IF(ROUND(F395,2)=F395,"OK","FIX")</f>
        <v>OK</v>
      </c>
    </row>
    <row r="396" customFormat="false" ht="15" hidden="false" customHeight="false" outlineLevel="0" collapsed="false">
      <c r="A396" s="2" t="str">
        <f aca="false">TRIM(UPPER(Raw_Data!A396))</f>
        <v>ORD200394</v>
      </c>
      <c r="B396" s="3" t="n">
        <f aca="false">IF(ISNUMBER(Raw_Data!B396),Raw_Data!B396,DATEVALUE(Raw_Data!B396))</f>
        <v>45112</v>
      </c>
      <c r="C396" s="2" t="str">
        <f aca="false">TRIM(UPPER(Raw_Data!C396))</f>
        <v>C70148</v>
      </c>
      <c r="D396" s="2" t="str">
        <f aca="false">PROPER(TRIM(Raw_Data!D396))</f>
        <v>Desk</v>
      </c>
      <c r="E396" s="2" t="n">
        <f aca="false">Raw_Data!E396</f>
        <v>5</v>
      </c>
      <c r="F396" s="4" t="n">
        <f aca="false">ROUND(Raw_Data!F396,2)</f>
        <v>529.55</v>
      </c>
      <c r="G396" s="2" t="str">
        <f aca="false">PROPER(TRIM(Raw_Data!G396))</f>
        <v>359 Main St</v>
      </c>
      <c r="H396" s="2" t="str">
        <f aca="false">PROPER(TRIM(Raw_Data!H396))</f>
        <v>Gift Card</v>
      </c>
      <c r="I396" s="2" t="str">
        <f aca="false">PROPER(TRIM(Raw_Data!I396))</f>
        <v>Shipped</v>
      </c>
      <c r="J396" s="2" t="str">
        <f aca="false">TRIM(UPPER(Raw_Data!J396))</f>
        <v>TRK34848650</v>
      </c>
      <c r="K396" s="2" t="n">
        <f aca="false">Raw_Data!K396</f>
        <v>10</v>
      </c>
      <c r="L396" s="2" t="str">
        <f aca="false">IF(TRIM(Raw_Data!L396)="","No Coupon",TRIM(UPPER(Raw_Data!L396)))</f>
        <v>No Coupon</v>
      </c>
      <c r="M396" s="2" t="str">
        <f aca="false">PROPER(TRIM(Raw_Data!M396))</f>
        <v>Facebook</v>
      </c>
      <c r="N396" s="4" t="n">
        <f aca="false">ROUND(E396*F396,2)</f>
        <v>2647.75</v>
      </c>
      <c r="O396" s="2" t="str">
        <f aca="false">IF(COUNTIF($A$2:$A$1201,A396)&gt;1,"DUPLICATE","Unique")</f>
        <v>Unique</v>
      </c>
      <c r="P396" s="2" t="str">
        <f aca="false">IF(L396="","MISSING","OK")</f>
        <v>OK</v>
      </c>
      <c r="Q396" s="2" t="str">
        <f aca="false">IF(ISNUMBER(B396),"OK","BAD DATE")</f>
        <v>OK</v>
      </c>
      <c r="R396" s="2" t="str">
        <f aca="false">IF(ROUND(F396,2)=F396,"OK","FIX")</f>
        <v>OK</v>
      </c>
    </row>
    <row r="397" customFormat="false" ht="15" hidden="false" customHeight="false" outlineLevel="0" collapsed="false">
      <c r="A397" s="2" t="str">
        <f aca="false">TRIM(UPPER(Raw_Data!A397))</f>
        <v>ORD200395</v>
      </c>
      <c r="B397" s="3" t="n">
        <f aca="false">IF(ISNUMBER(Raw_Data!B397),Raw_Data!B397,DATEVALUE(Raw_Data!B397))</f>
        <v>45772</v>
      </c>
      <c r="C397" s="2" t="str">
        <f aca="false">TRIM(UPPER(Raw_Data!C397))</f>
        <v>C30010</v>
      </c>
      <c r="D397" s="2" t="str">
        <f aca="false">PROPER(TRIM(Raw_Data!D397))</f>
        <v>Phone</v>
      </c>
      <c r="E397" s="2" t="n">
        <f aca="false">Raw_Data!E397</f>
        <v>3</v>
      </c>
      <c r="F397" s="4" t="n">
        <f aca="false">ROUND(Raw_Data!F397,2)</f>
        <v>127.41</v>
      </c>
      <c r="G397" s="2" t="str">
        <f aca="false">PROPER(TRIM(Raw_Data!G397))</f>
        <v>830 Main St</v>
      </c>
      <c r="H397" s="2" t="str">
        <f aca="false">PROPER(TRIM(Raw_Data!H397))</f>
        <v>Gift Card</v>
      </c>
      <c r="I397" s="2" t="str">
        <f aca="false">PROPER(TRIM(Raw_Data!I397))</f>
        <v>Delivered</v>
      </c>
      <c r="J397" s="2" t="str">
        <f aca="false">TRIM(UPPER(Raw_Data!J397))</f>
        <v>TRK35386084</v>
      </c>
      <c r="K397" s="2" t="n">
        <f aca="false">Raw_Data!K397</f>
        <v>7</v>
      </c>
      <c r="L397" s="2" t="str">
        <f aca="false">IF(TRIM(Raw_Data!L397)="","No Coupon",TRIM(UPPER(Raw_Data!L397)))</f>
        <v>SAVE10</v>
      </c>
      <c r="M397" s="2" t="str">
        <f aca="false">PROPER(TRIM(Raw_Data!M397))</f>
        <v>Referral</v>
      </c>
      <c r="N397" s="4" t="n">
        <f aca="false">ROUND(E397*F397,2)</f>
        <v>382.23</v>
      </c>
      <c r="O397" s="2" t="str">
        <f aca="false">IF(COUNTIF($A$2:$A$1201,A397)&gt;1,"DUPLICATE","Unique")</f>
        <v>Unique</v>
      </c>
      <c r="P397" s="2" t="str">
        <f aca="false">IF(L397="","MISSING","OK")</f>
        <v>OK</v>
      </c>
      <c r="Q397" s="2" t="str">
        <f aca="false">IF(ISNUMBER(B397),"OK","BAD DATE")</f>
        <v>OK</v>
      </c>
      <c r="R397" s="2" t="str">
        <f aca="false">IF(ROUND(F397,2)=F397,"OK","FIX")</f>
        <v>OK</v>
      </c>
    </row>
    <row r="398" customFormat="false" ht="15" hidden="false" customHeight="false" outlineLevel="0" collapsed="false">
      <c r="A398" s="2" t="str">
        <f aca="false">TRIM(UPPER(Raw_Data!A398))</f>
        <v>ORD200396</v>
      </c>
      <c r="B398" s="3" t="n">
        <f aca="false">IF(ISNUMBER(Raw_Data!B398),Raw_Data!B398,DATEVALUE(Raw_Data!B398))</f>
        <v>45261</v>
      </c>
      <c r="C398" s="2" t="str">
        <f aca="false">TRIM(UPPER(Raw_Data!C398))</f>
        <v>C99217</v>
      </c>
      <c r="D398" s="2" t="str">
        <f aca="false">PROPER(TRIM(Raw_Data!D398))</f>
        <v>Tablet</v>
      </c>
      <c r="E398" s="2" t="n">
        <f aca="false">Raw_Data!E398</f>
        <v>5</v>
      </c>
      <c r="F398" s="4" t="n">
        <f aca="false">ROUND(Raw_Data!F398,2)</f>
        <v>287.13</v>
      </c>
      <c r="G398" s="2" t="str">
        <f aca="false">PROPER(TRIM(Raw_Data!G398))</f>
        <v>778 Main St</v>
      </c>
      <c r="H398" s="2" t="str">
        <f aca="false">PROPER(TRIM(Raw_Data!H398))</f>
        <v>Online</v>
      </c>
      <c r="I398" s="2" t="str">
        <f aca="false">PROPER(TRIM(Raw_Data!I398))</f>
        <v>Shipped</v>
      </c>
      <c r="J398" s="2" t="str">
        <f aca="false">TRIM(UPPER(Raw_Data!J398))</f>
        <v>TRK82004594</v>
      </c>
      <c r="K398" s="2" t="n">
        <f aca="false">Raw_Data!K398</f>
        <v>10</v>
      </c>
      <c r="L398" s="2" t="str">
        <f aca="false">IF(TRIM(Raw_Data!L398)="","No Coupon",TRIM(UPPER(Raw_Data!L398)))</f>
        <v>SAVE10</v>
      </c>
      <c r="M398" s="2" t="str">
        <f aca="false">PROPER(TRIM(Raw_Data!M398))</f>
        <v>Email</v>
      </c>
      <c r="N398" s="4" t="n">
        <f aca="false">ROUND(E398*F398,2)</f>
        <v>1435.65</v>
      </c>
      <c r="O398" s="2" t="str">
        <f aca="false">IF(COUNTIF($A$2:$A$1201,A398)&gt;1,"DUPLICATE","Unique")</f>
        <v>Unique</v>
      </c>
      <c r="P398" s="2" t="str">
        <f aca="false">IF(L398="","MISSING","OK")</f>
        <v>OK</v>
      </c>
      <c r="Q398" s="2" t="str">
        <f aca="false">IF(ISNUMBER(B398),"OK","BAD DATE")</f>
        <v>OK</v>
      </c>
      <c r="R398" s="2" t="str">
        <f aca="false">IF(ROUND(F398,2)=F398,"OK","FIX")</f>
        <v>OK</v>
      </c>
    </row>
    <row r="399" customFormat="false" ht="15" hidden="false" customHeight="false" outlineLevel="0" collapsed="false">
      <c r="A399" s="2" t="str">
        <f aca="false">TRIM(UPPER(Raw_Data!A399))</f>
        <v>ORD200397</v>
      </c>
      <c r="B399" s="3" t="n">
        <f aca="false">IF(ISNUMBER(Raw_Data!B399),Raw_Data!B399,DATEVALUE(Raw_Data!B399))</f>
        <v>45197</v>
      </c>
      <c r="C399" s="2" t="str">
        <f aca="false">TRIM(UPPER(Raw_Data!C399))</f>
        <v>C30184</v>
      </c>
      <c r="D399" s="2" t="str">
        <f aca="false">PROPER(TRIM(Raw_Data!D399))</f>
        <v>Monitor</v>
      </c>
      <c r="E399" s="2" t="n">
        <f aca="false">Raw_Data!E399</f>
        <v>1</v>
      </c>
      <c r="F399" s="4" t="n">
        <f aca="false">ROUND(Raw_Data!F399,2)</f>
        <v>427.06</v>
      </c>
      <c r="G399" s="2" t="str">
        <f aca="false">PROPER(TRIM(Raw_Data!G399))</f>
        <v>987 Main St</v>
      </c>
      <c r="H399" s="2" t="str">
        <f aca="false">PROPER(TRIM(Raw_Data!H399))</f>
        <v>Online</v>
      </c>
      <c r="I399" s="2" t="str">
        <f aca="false">PROPER(TRIM(Raw_Data!I399))</f>
        <v>Cancelled</v>
      </c>
      <c r="J399" s="2" t="str">
        <f aca="false">TRIM(UPPER(Raw_Data!J399))</f>
        <v>TRK86674704</v>
      </c>
      <c r="K399" s="2" t="n">
        <f aca="false">Raw_Data!K399</f>
        <v>1</v>
      </c>
      <c r="L399" s="2" t="str">
        <f aca="false">IF(TRIM(Raw_Data!L399)="","No Coupon",TRIM(UPPER(Raw_Data!L399)))</f>
        <v>WINTER15</v>
      </c>
      <c r="M399" s="2" t="str">
        <f aca="false">PROPER(TRIM(Raw_Data!M399))</f>
        <v>Referral</v>
      </c>
      <c r="N399" s="4" t="n">
        <f aca="false">ROUND(E399*F399,2)</f>
        <v>427.06</v>
      </c>
      <c r="O399" s="2" t="str">
        <f aca="false">IF(COUNTIF($A$2:$A$1201,A399)&gt;1,"DUPLICATE","Unique")</f>
        <v>Unique</v>
      </c>
      <c r="P399" s="2" t="str">
        <f aca="false">IF(L399="","MISSING","OK")</f>
        <v>OK</v>
      </c>
      <c r="Q399" s="2" t="str">
        <f aca="false">IF(ISNUMBER(B399),"OK","BAD DATE")</f>
        <v>OK</v>
      </c>
      <c r="R399" s="2" t="str">
        <f aca="false">IF(ROUND(F399,2)=F399,"OK","FIX")</f>
        <v>OK</v>
      </c>
    </row>
    <row r="400" customFormat="false" ht="15" hidden="false" customHeight="false" outlineLevel="0" collapsed="false">
      <c r="A400" s="2" t="str">
        <f aca="false">TRIM(UPPER(Raw_Data!A400))</f>
        <v>ORD200398</v>
      </c>
      <c r="B400" s="3" t="n">
        <f aca="false">IF(ISNUMBER(Raw_Data!B400),Raw_Data!B400,DATEVALUE(Raw_Data!B400))</f>
        <v>45539</v>
      </c>
      <c r="C400" s="2" t="str">
        <f aca="false">TRIM(UPPER(Raw_Data!C400))</f>
        <v>C50275</v>
      </c>
      <c r="D400" s="2" t="str">
        <f aca="false">PROPER(TRIM(Raw_Data!D400))</f>
        <v>Phone</v>
      </c>
      <c r="E400" s="2" t="n">
        <f aca="false">Raw_Data!E400</f>
        <v>5</v>
      </c>
      <c r="F400" s="4" t="n">
        <f aca="false">ROUND(Raw_Data!F400,2)</f>
        <v>53.93</v>
      </c>
      <c r="G400" s="2" t="str">
        <f aca="false">PROPER(TRIM(Raw_Data!G400))</f>
        <v>729 Main St</v>
      </c>
      <c r="H400" s="2" t="str">
        <f aca="false">PROPER(TRIM(Raw_Data!H400))</f>
        <v>Gift Card</v>
      </c>
      <c r="I400" s="2" t="str">
        <f aca="false">PROPER(TRIM(Raw_Data!I400))</f>
        <v>Shipped</v>
      </c>
      <c r="J400" s="2" t="str">
        <f aca="false">TRIM(UPPER(Raw_Data!J400))</f>
        <v>TRK98925264</v>
      </c>
      <c r="K400" s="2" t="n">
        <f aca="false">Raw_Data!K400</f>
        <v>7</v>
      </c>
      <c r="L400" s="2" t="str">
        <f aca="false">IF(TRIM(Raw_Data!L400)="","No Coupon",TRIM(UPPER(Raw_Data!L400)))</f>
        <v>SAVE10</v>
      </c>
      <c r="M400" s="2" t="str">
        <f aca="false">PROPER(TRIM(Raw_Data!M400))</f>
        <v>Instagram</v>
      </c>
      <c r="N400" s="4" t="n">
        <f aca="false">ROUND(E400*F400,2)</f>
        <v>269.65</v>
      </c>
      <c r="O400" s="2" t="str">
        <f aca="false">IF(COUNTIF($A$2:$A$1201,A400)&gt;1,"DUPLICATE","Unique")</f>
        <v>Unique</v>
      </c>
      <c r="P400" s="2" t="str">
        <f aca="false">IF(L400="","MISSING","OK")</f>
        <v>OK</v>
      </c>
      <c r="Q400" s="2" t="str">
        <f aca="false">IF(ISNUMBER(B400),"OK","BAD DATE")</f>
        <v>OK</v>
      </c>
      <c r="R400" s="2" t="str">
        <f aca="false">IF(ROUND(F400,2)=F400,"OK","FIX")</f>
        <v>OK</v>
      </c>
    </row>
    <row r="401" customFormat="false" ht="15" hidden="false" customHeight="false" outlineLevel="0" collapsed="false">
      <c r="A401" s="2" t="str">
        <f aca="false">TRIM(UPPER(Raw_Data!A401))</f>
        <v>ORD200399</v>
      </c>
      <c r="B401" s="3" t="n">
        <f aca="false">IF(ISNUMBER(Raw_Data!B401),Raw_Data!B401,DATEVALUE(Raw_Data!B401))</f>
        <v>45298</v>
      </c>
      <c r="C401" s="2" t="str">
        <f aca="false">TRIM(UPPER(Raw_Data!C401))</f>
        <v>C64641</v>
      </c>
      <c r="D401" s="2" t="str">
        <f aca="false">PROPER(TRIM(Raw_Data!D401))</f>
        <v>Tablet</v>
      </c>
      <c r="E401" s="2" t="n">
        <f aca="false">Raw_Data!E401</f>
        <v>5</v>
      </c>
      <c r="F401" s="4" t="n">
        <f aca="false">ROUND(Raw_Data!F401,2)</f>
        <v>423.93</v>
      </c>
      <c r="G401" s="2" t="str">
        <f aca="false">PROPER(TRIM(Raw_Data!G401))</f>
        <v>319 Main St</v>
      </c>
      <c r="H401" s="2" t="str">
        <f aca="false">PROPER(TRIM(Raw_Data!H401))</f>
        <v>Debit Card</v>
      </c>
      <c r="I401" s="2" t="str">
        <f aca="false">PROPER(TRIM(Raw_Data!I401))</f>
        <v>Returned</v>
      </c>
      <c r="J401" s="2" t="str">
        <f aca="false">TRIM(UPPER(Raw_Data!J401))</f>
        <v>TRK32012588</v>
      </c>
      <c r="K401" s="2" t="n">
        <f aca="false">Raw_Data!K401</f>
        <v>5</v>
      </c>
      <c r="L401" s="2" t="str">
        <f aca="false">IF(TRIM(Raw_Data!L401)="","No Coupon",TRIM(UPPER(Raw_Data!L401)))</f>
        <v>FREESHIP</v>
      </c>
      <c r="M401" s="2" t="str">
        <f aca="false">PROPER(TRIM(Raw_Data!M401))</f>
        <v>Facebook</v>
      </c>
      <c r="N401" s="4" t="n">
        <f aca="false">ROUND(E401*F401,2)</f>
        <v>2119.65</v>
      </c>
      <c r="O401" s="2" t="str">
        <f aca="false">IF(COUNTIF($A$2:$A$1201,A401)&gt;1,"DUPLICATE","Unique")</f>
        <v>Unique</v>
      </c>
      <c r="P401" s="2" t="str">
        <f aca="false">IF(L401="","MISSING","OK")</f>
        <v>OK</v>
      </c>
      <c r="Q401" s="2" t="str">
        <f aca="false">IF(ISNUMBER(B401),"OK","BAD DATE")</f>
        <v>OK</v>
      </c>
      <c r="R401" s="2" t="str">
        <f aca="false">IF(ROUND(F401,2)=F401,"OK","FIX")</f>
        <v>OK</v>
      </c>
    </row>
    <row r="402" customFormat="false" ht="15" hidden="false" customHeight="false" outlineLevel="0" collapsed="false">
      <c r="A402" s="2" t="str">
        <f aca="false">TRIM(UPPER(Raw_Data!A402))</f>
        <v>ORD200400</v>
      </c>
      <c r="B402" s="3" t="n">
        <f aca="false">IF(ISNUMBER(Raw_Data!B402),Raw_Data!B402,DATEVALUE(Raw_Data!B402))</f>
        <v>45563</v>
      </c>
      <c r="C402" s="2" t="str">
        <f aca="false">TRIM(UPPER(Raw_Data!C402))</f>
        <v>C56266</v>
      </c>
      <c r="D402" s="2" t="str">
        <f aca="false">PROPER(TRIM(Raw_Data!D402))</f>
        <v>Desk</v>
      </c>
      <c r="E402" s="2" t="n">
        <f aca="false">Raw_Data!E402</f>
        <v>4</v>
      </c>
      <c r="F402" s="4" t="n">
        <f aca="false">ROUND(Raw_Data!F402,2)</f>
        <v>160.22</v>
      </c>
      <c r="G402" s="2" t="str">
        <f aca="false">PROPER(TRIM(Raw_Data!G402))</f>
        <v>304 Main St</v>
      </c>
      <c r="H402" s="2" t="str">
        <f aca="false">PROPER(TRIM(Raw_Data!H402))</f>
        <v>Debit Card</v>
      </c>
      <c r="I402" s="2" t="str">
        <f aca="false">PROPER(TRIM(Raw_Data!I402))</f>
        <v>Returned</v>
      </c>
      <c r="J402" s="2" t="str">
        <f aca="false">TRIM(UPPER(Raw_Data!J402))</f>
        <v>TRK60088901</v>
      </c>
      <c r="K402" s="2" t="n">
        <f aca="false">Raw_Data!K402</f>
        <v>9</v>
      </c>
      <c r="L402" s="2" t="str">
        <f aca="false">IF(TRIM(Raw_Data!L402)="","No Coupon",TRIM(UPPER(Raw_Data!L402)))</f>
        <v>WINTER15</v>
      </c>
      <c r="M402" s="2" t="str">
        <f aca="false">PROPER(TRIM(Raw_Data!M402))</f>
        <v>Instagram</v>
      </c>
      <c r="N402" s="4" t="n">
        <f aca="false">ROUND(E402*F402,2)</f>
        <v>640.88</v>
      </c>
      <c r="O402" s="2" t="str">
        <f aca="false">IF(COUNTIF($A$2:$A$1201,A402)&gt;1,"DUPLICATE","Unique")</f>
        <v>Unique</v>
      </c>
      <c r="P402" s="2" t="str">
        <f aca="false">IF(L402="","MISSING","OK")</f>
        <v>OK</v>
      </c>
      <c r="Q402" s="2" t="str">
        <f aca="false">IF(ISNUMBER(B402),"OK","BAD DATE")</f>
        <v>OK</v>
      </c>
      <c r="R402" s="2" t="str">
        <f aca="false">IF(ROUND(F402,2)=F402,"OK","FIX")</f>
        <v>OK</v>
      </c>
    </row>
    <row r="403" customFormat="false" ht="15" hidden="false" customHeight="false" outlineLevel="0" collapsed="false">
      <c r="A403" s="2" t="str">
        <f aca="false">TRIM(UPPER(Raw_Data!A403))</f>
        <v>ORD200401</v>
      </c>
      <c r="B403" s="3" t="n">
        <f aca="false">IF(ISNUMBER(Raw_Data!B403),Raw_Data!B403,DATEVALUE(Raw_Data!B403))</f>
        <v>45756</v>
      </c>
      <c r="C403" s="2" t="str">
        <f aca="false">TRIM(UPPER(Raw_Data!C403))</f>
        <v>C98635</v>
      </c>
      <c r="D403" s="2" t="str">
        <f aca="false">PROPER(TRIM(Raw_Data!D403))</f>
        <v>Printer</v>
      </c>
      <c r="E403" s="2" t="n">
        <f aca="false">Raw_Data!E403</f>
        <v>1</v>
      </c>
      <c r="F403" s="4" t="n">
        <f aca="false">ROUND(Raw_Data!F403,2)</f>
        <v>538.68</v>
      </c>
      <c r="G403" s="2" t="str">
        <f aca="false">PROPER(TRIM(Raw_Data!G403))</f>
        <v>197 Main St</v>
      </c>
      <c r="H403" s="2" t="str">
        <f aca="false">PROPER(TRIM(Raw_Data!H403))</f>
        <v>Debit Card</v>
      </c>
      <c r="I403" s="2" t="str">
        <f aca="false">PROPER(TRIM(Raw_Data!I403))</f>
        <v>Returned</v>
      </c>
      <c r="J403" s="2" t="str">
        <f aca="false">TRIM(UPPER(Raw_Data!J403))</f>
        <v>TRK14225465</v>
      </c>
      <c r="K403" s="2" t="n">
        <f aca="false">Raw_Data!K403</f>
        <v>6</v>
      </c>
      <c r="L403" s="2" t="str">
        <f aca="false">IF(TRIM(Raw_Data!L403)="","No Coupon",TRIM(UPPER(Raw_Data!L403)))</f>
        <v>No Coupon</v>
      </c>
      <c r="M403" s="2" t="str">
        <f aca="false">PROPER(TRIM(Raw_Data!M403))</f>
        <v>Referral</v>
      </c>
      <c r="N403" s="4" t="n">
        <f aca="false">ROUND(E403*F403,2)</f>
        <v>538.68</v>
      </c>
      <c r="O403" s="2" t="str">
        <f aca="false">IF(COUNTIF($A$2:$A$1201,A403)&gt;1,"DUPLICATE","Unique")</f>
        <v>Unique</v>
      </c>
      <c r="P403" s="2" t="str">
        <f aca="false">IF(L403="","MISSING","OK")</f>
        <v>OK</v>
      </c>
      <c r="Q403" s="2" t="str">
        <f aca="false">IF(ISNUMBER(B403),"OK","BAD DATE")</f>
        <v>OK</v>
      </c>
      <c r="R403" s="2" t="str">
        <f aca="false">IF(ROUND(F403,2)=F403,"OK","FIX")</f>
        <v>OK</v>
      </c>
    </row>
    <row r="404" customFormat="false" ht="15" hidden="false" customHeight="false" outlineLevel="0" collapsed="false">
      <c r="A404" s="2" t="str">
        <f aca="false">TRIM(UPPER(Raw_Data!A404))</f>
        <v>ORD200402</v>
      </c>
      <c r="B404" s="3" t="n">
        <f aca="false">IF(ISNUMBER(Raw_Data!B404),Raw_Data!B404,DATEVALUE(Raw_Data!B404))</f>
        <v>45025</v>
      </c>
      <c r="C404" s="2" t="str">
        <f aca="false">TRIM(UPPER(Raw_Data!C404))</f>
        <v>C83026</v>
      </c>
      <c r="D404" s="2" t="str">
        <f aca="false">PROPER(TRIM(Raw_Data!D404))</f>
        <v>Printer</v>
      </c>
      <c r="E404" s="2" t="n">
        <f aca="false">Raw_Data!E404</f>
        <v>5</v>
      </c>
      <c r="F404" s="4" t="n">
        <f aca="false">ROUND(Raw_Data!F404,2)</f>
        <v>337.38</v>
      </c>
      <c r="G404" s="2" t="str">
        <f aca="false">PROPER(TRIM(Raw_Data!G404))</f>
        <v>858 Main St</v>
      </c>
      <c r="H404" s="2" t="str">
        <f aca="false">PROPER(TRIM(Raw_Data!H404))</f>
        <v>Gift Card</v>
      </c>
      <c r="I404" s="2" t="str">
        <f aca="false">PROPER(TRIM(Raw_Data!I404))</f>
        <v>Shipped</v>
      </c>
      <c r="J404" s="2" t="str">
        <f aca="false">TRIM(UPPER(Raw_Data!J404))</f>
        <v>TRK79746259</v>
      </c>
      <c r="K404" s="2" t="n">
        <f aca="false">Raw_Data!K404</f>
        <v>5</v>
      </c>
      <c r="L404" s="2" t="str">
        <f aca="false">IF(TRIM(Raw_Data!L404)="","No Coupon",TRIM(UPPER(Raw_Data!L404)))</f>
        <v>No Coupon</v>
      </c>
      <c r="M404" s="2" t="str">
        <f aca="false">PROPER(TRIM(Raw_Data!M404))</f>
        <v>Referral</v>
      </c>
      <c r="N404" s="4" t="n">
        <f aca="false">ROUND(E404*F404,2)</f>
        <v>1686.9</v>
      </c>
      <c r="O404" s="2" t="str">
        <f aca="false">IF(COUNTIF($A$2:$A$1201,A404)&gt;1,"DUPLICATE","Unique")</f>
        <v>Unique</v>
      </c>
      <c r="P404" s="2" t="str">
        <f aca="false">IF(L404="","MISSING","OK")</f>
        <v>OK</v>
      </c>
      <c r="Q404" s="2" t="str">
        <f aca="false">IF(ISNUMBER(B404),"OK","BAD DATE")</f>
        <v>OK</v>
      </c>
      <c r="R404" s="2" t="str">
        <f aca="false">IF(ROUND(F404,2)=F404,"OK","FIX")</f>
        <v>OK</v>
      </c>
    </row>
    <row r="405" customFormat="false" ht="15" hidden="false" customHeight="false" outlineLevel="0" collapsed="false">
      <c r="A405" s="2" t="str">
        <f aca="false">TRIM(UPPER(Raw_Data!A405))</f>
        <v>ORD200403</v>
      </c>
      <c r="B405" s="3" t="n">
        <f aca="false">IF(ISNUMBER(Raw_Data!B405),Raw_Data!B405,DATEVALUE(Raw_Data!B405))</f>
        <v>45606</v>
      </c>
      <c r="C405" s="2" t="str">
        <f aca="false">TRIM(UPPER(Raw_Data!C405))</f>
        <v>C28893</v>
      </c>
      <c r="D405" s="2" t="str">
        <f aca="false">PROPER(TRIM(Raw_Data!D405))</f>
        <v>Tablet</v>
      </c>
      <c r="E405" s="2" t="n">
        <f aca="false">Raw_Data!E405</f>
        <v>1</v>
      </c>
      <c r="F405" s="4" t="n">
        <f aca="false">ROUND(Raw_Data!F405,2)</f>
        <v>620.21</v>
      </c>
      <c r="G405" s="2" t="str">
        <f aca="false">PROPER(TRIM(Raw_Data!G405))</f>
        <v>740 Main St</v>
      </c>
      <c r="H405" s="2" t="str">
        <f aca="false">PROPER(TRIM(Raw_Data!H405))</f>
        <v>Online</v>
      </c>
      <c r="I405" s="2" t="str">
        <f aca="false">PROPER(TRIM(Raw_Data!I405))</f>
        <v>Returned</v>
      </c>
      <c r="J405" s="2" t="str">
        <f aca="false">TRIM(UPPER(Raw_Data!J405))</f>
        <v>TRK98333066</v>
      </c>
      <c r="K405" s="2" t="n">
        <f aca="false">Raw_Data!K405</f>
        <v>1</v>
      </c>
      <c r="L405" s="2" t="str">
        <f aca="false">IF(TRIM(Raw_Data!L405)="","No Coupon",TRIM(UPPER(Raw_Data!L405)))</f>
        <v>FREESHIP</v>
      </c>
      <c r="M405" s="2" t="str">
        <f aca="false">PROPER(TRIM(Raw_Data!M405))</f>
        <v>Referral</v>
      </c>
      <c r="N405" s="4" t="n">
        <f aca="false">ROUND(E405*F405,2)</f>
        <v>620.21</v>
      </c>
      <c r="O405" s="2" t="str">
        <f aca="false">IF(COUNTIF($A$2:$A$1201,A405)&gt;1,"DUPLICATE","Unique")</f>
        <v>Unique</v>
      </c>
      <c r="P405" s="2" t="str">
        <f aca="false">IF(L405="","MISSING","OK")</f>
        <v>OK</v>
      </c>
      <c r="Q405" s="2" t="str">
        <f aca="false">IF(ISNUMBER(B405),"OK","BAD DATE")</f>
        <v>OK</v>
      </c>
      <c r="R405" s="2" t="str">
        <f aca="false">IF(ROUND(F405,2)=F405,"OK","FIX")</f>
        <v>OK</v>
      </c>
    </row>
    <row r="406" customFormat="false" ht="15" hidden="false" customHeight="false" outlineLevel="0" collapsed="false">
      <c r="A406" s="2" t="str">
        <f aca="false">TRIM(UPPER(Raw_Data!A406))</f>
        <v>ORD200404</v>
      </c>
      <c r="B406" s="3" t="n">
        <f aca="false">IF(ISNUMBER(Raw_Data!B406),Raw_Data!B406,DATEVALUE(Raw_Data!B406))</f>
        <v>44994</v>
      </c>
      <c r="C406" s="2" t="str">
        <f aca="false">TRIM(UPPER(Raw_Data!C406))</f>
        <v>C45482</v>
      </c>
      <c r="D406" s="2" t="str">
        <f aca="false">PROPER(TRIM(Raw_Data!D406))</f>
        <v>Monitor</v>
      </c>
      <c r="E406" s="2" t="n">
        <f aca="false">Raw_Data!E406</f>
        <v>2</v>
      </c>
      <c r="F406" s="4" t="n">
        <f aca="false">ROUND(Raw_Data!F406,2)</f>
        <v>99.1</v>
      </c>
      <c r="G406" s="2" t="str">
        <f aca="false">PROPER(TRIM(Raw_Data!G406))</f>
        <v>440 Main St</v>
      </c>
      <c r="H406" s="2" t="str">
        <f aca="false">PROPER(TRIM(Raw_Data!H406))</f>
        <v>Cash</v>
      </c>
      <c r="I406" s="2" t="str">
        <f aca="false">PROPER(TRIM(Raw_Data!I406))</f>
        <v>Delivered</v>
      </c>
      <c r="J406" s="2" t="str">
        <f aca="false">TRIM(UPPER(Raw_Data!J406))</f>
        <v>TRK54571699</v>
      </c>
      <c r="K406" s="2" t="n">
        <f aca="false">Raw_Data!K406</f>
        <v>6</v>
      </c>
      <c r="L406" s="2" t="str">
        <f aca="false">IF(TRIM(Raw_Data!L406)="","No Coupon",TRIM(UPPER(Raw_Data!L406)))</f>
        <v>No Coupon</v>
      </c>
      <c r="M406" s="2" t="str">
        <f aca="false">PROPER(TRIM(Raw_Data!M406))</f>
        <v>Instagram</v>
      </c>
      <c r="N406" s="4" t="n">
        <f aca="false">ROUND(E406*F406,2)</f>
        <v>198.2</v>
      </c>
      <c r="O406" s="2" t="str">
        <f aca="false">IF(COUNTIF($A$2:$A$1201,A406)&gt;1,"DUPLICATE","Unique")</f>
        <v>Unique</v>
      </c>
      <c r="P406" s="2" t="str">
        <f aca="false">IF(L406="","MISSING","OK")</f>
        <v>OK</v>
      </c>
      <c r="Q406" s="2" t="str">
        <f aca="false">IF(ISNUMBER(B406),"OK","BAD DATE")</f>
        <v>OK</v>
      </c>
      <c r="R406" s="2" t="str">
        <f aca="false">IF(ROUND(F406,2)=F406,"OK","FIX")</f>
        <v>OK</v>
      </c>
    </row>
    <row r="407" customFormat="false" ht="15" hidden="false" customHeight="false" outlineLevel="0" collapsed="false">
      <c r="A407" s="2" t="str">
        <f aca="false">TRIM(UPPER(Raw_Data!A407))</f>
        <v>ORD200405</v>
      </c>
      <c r="B407" s="3" t="n">
        <f aca="false">IF(ISNUMBER(Raw_Data!B407),Raw_Data!B407,DATEVALUE(Raw_Data!B407))</f>
        <v>45683</v>
      </c>
      <c r="C407" s="2" t="str">
        <f aca="false">TRIM(UPPER(Raw_Data!C407))</f>
        <v>C97774</v>
      </c>
      <c r="D407" s="2" t="str">
        <f aca="false">PROPER(TRIM(Raw_Data!D407))</f>
        <v>Monitor</v>
      </c>
      <c r="E407" s="2" t="n">
        <f aca="false">Raw_Data!E407</f>
        <v>4</v>
      </c>
      <c r="F407" s="4" t="n">
        <f aca="false">ROUND(Raw_Data!F407,2)</f>
        <v>451.97</v>
      </c>
      <c r="G407" s="2" t="str">
        <f aca="false">PROPER(TRIM(Raw_Data!G407))</f>
        <v>603 Main St</v>
      </c>
      <c r="H407" s="2" t="str">
        <f aca="false">PROPER(TRIM(Raw_Data!H407))</f>
        <v>Online</v>
      </c>
      <c r="I407" s="2" t="str">
        <f aca="false">PROPER(TRIM(Raw_Data!I407))</f>
        <v>Cancelled</v>
      </c>
      <c r="J407" s="2" t="str">
        <f aca="false">TRIM(UPPER(Raw_Data!J407))</f>
        <v>TRK64664424</v>
      </c>
      <c r="K407" s="2" t="n">
        <f aca="false">Raw_Data!K407</f>
        <v>7</v>
      </c>
      <c r="L407" s="2" t="str">
        <f aca="false">IF(TRIM(Raw_Data!L407)="","No Coupon",TRIM(UPPER(Raw_Data!L407)))</f>
        <v>WINTER15</v>
      </c>
      <c r="M407" s="2" t="str">
        <f aca="false">PROPER(TRIM(Raw_Data!M407))</f>
        <v>Email</v>
      </c>
      <c r="N407" s="4" t="n">
        <f aca="false">ROUND(E407*F407,2)</f>
        <v>1807.88</v>
      </c>
      <c r="O407" s="2" t="str">
        <f aca="false">IF(COUNTIF($A$2:$A$1201,A407)&gt;1,"DUPLICATE","Unique")</f>
        <v>Unique</v>
      </c>
      <c r="P407" s="2" t="str">
        <f aca="false">IF(L407="","MISSING","OK")</f>
        <v>OK</v>
      </c>
      <c r="Q407" s="2" t="str">
        <f aca="false">IF(ISNUMBER(B407),"OK","BAD DATE")</f>
        <v>OK</v>
      </c>
      <c r="R407" s="2" t="str">
        <f aca="false">IF(ROUND(F407,2)=F407,"OK","FIX")</f>
        <v>OK</v>
      </c>
    </row>
    <row r="408" customFormat="false" ht="15" hidden="false" customHeight="false" outlineLevel="0" collapsed="false">
      <c r="A408" s="2" t="str">
        <f aca="false">TRIM(UPPER(Raw_Data!A408))</f>
        <v>ORD200406</v>
      </c>
      <c r="B408" s="3" t="n">
        <f aca="false">IF(ISNUMBER(Raw_Data!B408),Raw_Data!B408,DATEVALUE(Raw_Data!B408))</f>
        <v>45270</v>
      </c>
      <c r="C408" s="2" t="str">
        <f aca="false">TRIM(UPPER(Raw_Data!C408))</f>
        <v>C11657</v>
      </c>
      <c r="D408" s="2" t="str">
        <f aca="false">PROPER(TRIM(Raw_Data!D408))</f>
        <v>Tablet</v>
      </c>
      <c r="E408" s="2" t="n">
        <f aca="false">Raw_Data!E408</f>
        <v>4</v>
      </c>
      <c r="F408" s="4" t="n">
        <f aca="false">ROUND(Raw_Data!F408,2)</f>
        <v>66.1</v>
      </c>
      <c r="G408" s="2" t="str">
        <f aca="false">PROPER(TRIM(Raw_Data!G408))</f>
        <v>572 Main St</v>
      </c>
      <c r="H408" s="2" t="str">
        <f aca="false">PROPER(TRIM(Raw_Data!H408))</f>
        <v>Cash</v>
      </c>
      <c r="I408" s="2" t="str">
        <f aca="false">PROPER(TRIM(Raw_Data!I408))</f>
        <v>Returned</v>
      </c>
      <c r="J408" s="2" t="str">
        <f aca="false">TRIM(UPPER(Raw_Data!J408))</f>
        <v>TRK50284486</v>
      </c>
      <c r="K408" s="2" t="n">
        <f aca="false">Raw_Data!K408</f>
        <v>9</v>
      </c>
      <c r="L408" s="2" t="str">
        <f aca="false">IF(TRIM(Raw_Data!L408)="","No Coupon",TRIM(UPPER(Raw_Data!L408)))</f>
        <v>WINTER15</v>
      </c>
      <c r="M408" s="2" t="str">
        <f aca="false">PROPER(TRIM(Raw_Data!M408))</f>
        <v>Google</v>
      </c>
      <c r="N408" s="4" t="n">
        <f aca="false">ROUND(E408*F408,2)</f>
        <v>264.4</v>
      </c>
      <c r="O408" s="2" t="str">
        <f aca="false">IF(COUNTIF($A$2:$A$1201,A408)&gt;1,"DUPLICATE","Unique")</f>
        <v>Unique</v>
      </c>
      <c r="P408" s="2" t="str">
        <f aca="false">IF(L408="","MISSING","OK")</f>
        <v>OK</v>
      </c>
      <c r="Q408" s="2" t="str">
        <f aca="false">IF(ISNUMBER(B408),"OK","BAD DATE")</f>
        <v>OK</v>
      </c>
      <c r="R408" s="2" t="str">
        <f aca="false">IF(ROUND(F408,2)=F408,"OK","FIX")</f>
        <v>OK</v>
      </c>
    </row>
    <row r="409" customFormat="false" ht="15" hidden="false" customHeight="false" outlineLevel="0" collapsed="false">
      <c r="A409" s="2" t="str">
        <f aca="false">TRIM(UPPER(Raw_Data!A409))</f>
        <v>ORD200407</v>
      </c>
      <c r="B409" s="3" t="n">
        <f aca="false">IF(ISNUMBER(Raw_Data!B409),Raw_Data!B409,DATEVALUE(Raw_Data!B409))</f>
        <v>45151</v>
      </c>
      <c r="C409" s="2" t="str">
        <f aca="false">TRIM(UPPER(Raw_Data!C409))</f>
        <v>C85993</v>
      </c>
      <c r="D409" s="2" t="str">
        <f aca="false">PROPER(TRIM(Raw_Data!D409))</f>
        <v>Tablet</v>
      </c>
      <c r="E409" s="2" t="n">
        <f aca="false">Raw_Data!E409</f>
        <v>4</v>
      </c>
      <c r="F409" s="4" t="n">
        <f aca="false">ROUND(Raw_Data!F409,2)</f>
        <v>547.32</v>
      </c>
      <c r="G409" s="2" t="str">
        <f aca="false">PROPER(TRIM(Raw_Data!G409))</f>
        <v>250 Main St</v>
      </c>
      <c r="H409" s="2" t="str">
        <f aca="false">PROPER(TRIM(Raw_Data!H409))</f>
        <v>Cash</v>
      </c>
      <c r="I409" s="2" t="str">
        <f aca="false">PROPER(TRIM(Raw_Data!I409))</f>
        <v>Returned</v>
      </c>
      <c r="J409" s="2" t="str">
        <f aca="false">TRIM(UPPER(Raw_Data!J409))</f>
        <v>TRK72547640</v>
      </c>
      <c r="K409" s="2" t="n">
        <f aca="false">Raw_Data!K409</f>
        <v>8</v>
      </c>
      <c r="L409" s="2" t="str">
        <f aca="false">IF(TRIM(Raw_Data!L409)="","No Coupon",TRIM(UPPER(Raw_Data!L409)))</f>
        <v>FREESHIP</v>
      </c>
      <c r="M409" s="2" t="str">
        <f aca="false">PROPER(TRIM(Raw_Data!M409))</f>
        <v>Instagram</v>
      </c>
      <c r="N409" s="4" t="n">
        <f aca="false">ROUND(E409*F409,2)</f>
        <v>2189.28</v>
      </c>
      <c r="O409" s="2" t="str">
        <f aca="false">IF(COUNTIF($A$2:$A$1201,A409)&gt;1,"DUPLICATE","Unique")</f>
        <v>Unique</v>
      </c>
      <c r="P409" s="2" t="str">
        <f aca="false">IF(L409="","MISSING","OK")</f>
        <v>OK</v>
      </c>
      <c r="Q409" s="2" t="str">
        <f aca="false">IF(ISNUMBER(B409),"OK","BAD DATE")</f>
        <v>OK</v>
      </c>
      <c r="R409" s="2" t="str">
        <f aca="false">IF(ROUND(F409,2)=F409,"OK","FIX")</f>
        <v>OK</v>
      </c>
    </row>
    <row r="410" customFormat="false" ht="15" hidden="false" customHeight="false" outlineLevel="0" collapsed="false">
      <c r="A410" s="2" t="str">
        <f aca="false">TRIM(UPPER(Raw_Data!A410))</f>
        <v>ORD200408</v>
      </c>
      <c r="B410" s="3" t="n">
        <f aca="false">IF(ISNUMBER(Raw_Data!B410),Raw_Data!B410,DATEVALUE(Raw_Data!B410))</f>
        <v>45658</v>
      </c>
      <c r="C410" s="2" t="str">
        <f aca="false">TRIM(UPPER(Raw_Data!C410))</f>
        <v>C11906</v>
      </c>
      <c r="D410" s="2" t="str">
        <f aca="false">PROPER(TRIM(Raw_Data!D410))</f>
        <v>Printer</v>
      </c>
      <c r="E410" s="2" t="n">
        <f aca="false">Raw_Data!E410</f>
        <v>3</v>
      </c>
      <c r="F410" s="4" t="n">
        <f aca="false">ROUND(Raw_Data!F410,2)</f>
        <v>412.53</v>
      </c>
      <c r="G410" s="2" t="str">
        <f aca="false">PROPER(TRIM(Raw_Data!G410))</f>
        <v>536 Main St</v>
      </c>
      <c r="H410" s="2" t="str">
        <f aca="false">PROPER(TRIM(Raw_Data!H410))</f>
        <v>Online</v>
      </c>
      <c r="I410" s="2" t="str">
        <f aca="false">PROPER(TRIM(Raw_Data!I410))</f>
        <v>Pending</v>
      </c>
      <c r="J410" s="2" t="str">
        <f aca="false">TRIM(UPPER(Raw_Data!J410))</f>
        <v>TRK31140158</v>
      </c>
      <c r="K410" s="2" t="n">
        <f aca="false">Raw_Data!K410</f>
        <v>6</v>
      </c>
      <c r="L410" s="2" t="str">
        <f aca="false">IF(TRIM(Raw_Data!L410)="","No Coupon",TRIM(UPPER(Raw_Data!L410)))</f>
        <v>WINTER15</v>
      </c>
      <c r="M410" s="2" t="str">
        <f aca="false">PROPER(TRIM(Raw_Data!M410))</f>
        <v>Google</v>
      </c>
      <c r="N410" s="4" t="n">
        <f aca="false">ROUND(E410*F410,2)</f>
        <v>1237.59</v>
      </c>
      <c r="O410" s="2" t="str">
        <f aca="false">IF(COUNTIF($A$2:$A$1201,A410)&gt;1,"DUPLICATE","Unique")</f>
        <v>Unique</v>
      </c>
      <c r="P410" s="2" t="str">
        <f aca="false">IF(L410="","MISSING","OK")</f>
        <v>OK</v>
      </c>
      <c r="Q410" s="2" t="str">
        <f aca="false">IF(ISNUMBER(B410),"OK","BAD DATE")</f>
        <v>OK</v>
      </c>
      <c r="R410" s="2" t="str">
        <f aca="false">IF(ROUND(F410,2)=F410,"OK","FIX")</f>
        <v>OK</v>
      </c>
    </row>
    <row r="411" customFormat="false" ht="15" hidden="false" customHeight="false" outlineLevel="0" collapsed="false">
      <c r="A411" s="2" t="str">
        <f aca="false">TRIM(UPPER(Raw_Data!A411))</f>
        <v>ORD200409</v>
      </c>
      <c r="B411" s="3" t="n">
        <f aca="false">IF(ISNUMBER(Raw_Data!B411),Raw_Data!B411,DATEVALUE(Raw_Data!B411))</f>
        <v>45105</v>
      </c>
      <c r="C411" s="2" t="str">
        <f aca="false">TRIM(UPPER(Raw_Data!C411))</f>
        <v>C45187</v>
      </c>
      <c r="D411" s="2" t="str">
        <f aca="false">PROPER(TRIM(Raw_Data!D411))</f>
        <v>Desk</v>
      </c>
      <c r="E411" s="2" t="n">
        <f aca="false">Raw_Data!E411</f>
        <v>5</v>
      </c>
      <c r="F411" s="4" t="n">
        <f aca="false">ROUND(Raw_Data!F411,2)</f>
        <v>84.13</v>
      </c>
      <c r="G411" s="2" t="str">
        <f aca="false">PROPER(TRIM(Raw_Data!G411))</f>
        <v>767 Main St</v>
      </c>
      <c r="H411" s="2" t="str">
        <f aca="false">PROPER(TRIM(Raw_Data!H411))</f>
        <v>Online</v>
      </c>
      <c r="I411" s="2" t="str">
        <f aca="false">PROPER(TRIM(Raw_Data!I411))</f>
        <v>Delivered</v>
      </c>
      <c r="J411" s="2" t="str">
        <f aca="false">TRIM(UPPER(Raw_Data!J411))</f>
        <v>TRK12320793</v>
      </c>
      <c r="K411" s="2" t="n">
        <f aca="false">Raw_Data!K411</f>
        <v>9</v>
      </c>
      <c r="L411" s="2" t="str">
        <f aca="false">IF(TRIM(Raw_Data!L411)="","No Coupon",TRIM(UPPER(Raw_Data!L411)))</f>
        <v>SAVE10</v>
      </c>
      <c r="M411" s="2" t="str">
        <f aca="false">PROPER(TRIM(Raw_Data!M411))</f>
        <v>Google</v>
      </c>
      <c r="N411" s="4" t="n">
        <f aca="false">ROUND(E411*F411,2)</f>
        <v>420.65</v>
      </c>
      <c r="O411" s="2" t="str">
        <f aca="false">IF(COUNTIF($A$2:$A$1201,A411)&gt;1,"DUPLICATE","Unique")</f>
        <v>Unique</v>
      </c>
      <c r="P411" s="2" t="str">
        <f aca="false">IF(L411="","MISSING","OK")</f>
        <v>OK</v>
      </c>
      <c r="Q411" s="2" t="str">
        <f aca="false">IF(ISNUMBER(B411),"OK","BAD DATE")</f>
        <v>OK</v>
      </c>
      <c r="R411" s="2" t="str">
        <f aca="false">IF(ROUND(F411,2)=F411,"OK","FIX")</f>
        <v>OK</v>
      </c>
    </row>
    <row r="412" customFormat="false" ht="15" hidden="false" customHeight="false" outlineLevel="0" collapsed="false">
      <c r="A412" s="2" t="str">
        <f aca="false">TRIM(UPPER(Raw_Data!A412))</f>
        <v>ORD200410</v>
      </c>
      <c r="B412" s="3" t="n">
        <f aca="false">IF(ISNUMBER(Raw_Data!B412),Raw_Data!B412,DATEVALUE(Raw_Data!B412))</f>
        <v>45309</v>
      </c>
      <c r="C412" s="2" t="str">
        <f aca="false">TRIM(UPPER(Raw_Data!C412))</f>
        <v>C37375</v>
      </c>
      <c r="D412" s="2" t="str">
        <f aca="false">PROPER(TRIM(Raw_Data!D412))</f>
        <v>Tablet</v>
      </c>
      <c r="E412" s="2" t="n">
        <f aca="false">Raw_Data!E412</f>
        <v>2</v>
      </c>
      <c r="F412" s="4" t="n">
        <f aca="false">ROUND(Raw_Data!F412,2)</f>
        <v>518.23</v>
      </c>
      <c r="G412" s="2" t="str">
        <f aca="false">PROPER(TRIM(Raw_Data!G412))</f>
        <v>184 Main St</v>
      </c>
      <c r="H412" s="2" t="str">
        <f aca="false">PROPER(TRIM(Raw_Data!H412))</f>
        <v>Debit Card</v>
      </c>
      <c r="I412" s="2" t="str">
        <f aca="false">PROPER(TRIM(Raw_Data!I412))</f>
        <v>Shipped</v>
      </c>
      <c r="J412" s="2" t="str">
        <f aca="false">TRIM(UPPER(Raw_Data!J412))</f>
        <v>TRK52470162</v>
      </c>
      <c r="K412" s="2" t="n">
        <f aca="false">Raw_Data!K412</f>
        <v>5</v>
      </c>
      <c r="L412" s="2" t="str">
        <f aca="false">IF(TRIM(Raw_Data!L412)="","No Coupon",TRIM(UPPER(Raw_Data!L412)))</f>
        <v>No Coupon</v>
      </c>
      <c r="M412" s="2" t="str">
        <f aca="false">PROPER(TRIM(Raw_Data!M412))</f>
        <v>Email</v>
      </c>
      <c r="N412" s="4" t="n">
        <f aca="false">ROUND(E412*F412,2)</f>
        <v>1036.46</v>
      </c>
      <c r="O412" s="2" t="str">
        <f aca="false">IF(COUNTIF($A$2:$A$1201,A412)&gt;1,"DUPLICATE","Unique")</f>
        <v>Unique</v>
      </c>
      <c r="P412" s="2" t="str">
        <f aca="false">IF(L412="","MISSING","OK")</f>
        <v>OK</v>
      </c>
      <c r="Q412" s="2" t="str">
        <f aca="false">IF(ISNUMBER(B412),"OK","BAD DATE")</f>
        <v>OK</v>
      </c>
      <c r="R412" s="2" t="str">
        <f aca="false">IF(ROUND(F412,2)=F412,"OK","FIX")</f>
        <v>OK</v>
      </c>
    </row>
    <row r="413" customFormat="false" ht="15" hidden="false" customHeight="false" outlineLevel="0" collapsed="false">
      <c r="A413" s="2" t="str">
        <f aca="false">TRIM(UPPER(Raw_Data!A413))</f>
        <v>ORD200411</v>
      </c>
      <c r="B413" s="3" t="n">
        <f aca="false">IF(ISNUMBER(Raw_Data!B413),Raw_Data!B413,DATEVALUE(Raw_Data!B413))</f>
        <v>45462</v>
      </c>
      <c r="C413" s="2" t="str">
        <f aca="false">TRIM(UPPER(Raw_Data!C413))</f>
        <v>C66567</v>
      </c>
      <c r="D413" s="2" t="str">
        <f aca="false">PROPER(TRIM(Raw_Data!D413))</f>
        <v>Desk</v>
      </c>
      <c r="E413" s="2" t="n">
        <f aca="false">Raw_Data!E413</f>
        <v>2</v>
      </c>
      <c r="F413" s="4" t="n">
        <f aca="false">ROUND(Raw_Data!F413,2)</f>
        <v>39.51</v>
      </c>
      <c r="G413" s="2" t="str">
        <f aca="false">PROPER(TRIM(Raw_Data!G413))</f>
        <v>981 Main St</v>
      </c>
      <c r="H413" s="2" t="str">
        <f aca="false">PROPER(TRIM(Raw_Data!H413))</f>
        <v>Online</v>
      </c>
      <c r="I413" s="2" t="str">
        <f aca="false">PROPER(TRIM(Raw_Data!I413))</f>
        <v>Shipped</v>
      </c>
      <c r="J413" s="2" t="str">
        <f aca="false">TRIM(UPPER(Raw_Data!J413))</f>
        <v>TRK21174822</v>
      </c>
      <c r="K413" s="2" t="n">
        <f aca="false">Raw_Data!K413</f>
        <v>5</v>
      </c>
      <c r="L413" s="2" t="str">
        <f aca="false">IF(TRIM(Raw_Data!L413)="","No Coupon",TRIM(UPPER(Raw_Data!L413)))</f>
        <v>No Coupon</v>
      </c>
      <c r="M413" s="2" t="str">
        <f aca="false">PROPER(TRIM(Raw_Data!M413))</f>
        <v>Facebook</v>
      </c>
      <c r="N413" s="4" t="n">
        <f aca="false">ROUND(E413*F413,2)</f>
        <v>79.02</v>
      </c>
      <c r="O413" s="2" t="str">
        <f aca="false">IF(COUNTIF($A$2:$A$1201,A413)&gt;1,"DUPLICATE","Unique")</f>
        <v>Unique</v>
      </c>
      <c r="P413" s="2" t="str">
        <f aca="false">IF(L413="","MISSING","OK")</f>
        <v>OK</v>
      </c>
      <c r="Q413" s="2" t="str">
        <f aca="false">IF(ISNUMBER(B413),"OK","BAD DATE")</f>
        <v>OK</v>
      </c>
      <c r="R413" s="2" t="str">
        <f aca="false">IF(ROUND(F413,2)=F413,"OK","FIX")</f>
        <v>OK</v>
      </c>
    </row>
    <row r="414" customFormat="false" ht="15" hidden="false" customHeight="false" outlineLevel="0" collapsed="false">
      <c r="A414" s="2" t="str">
        <f aca="false">TRIM(UPPER(Raw_Data!A414))</f>
        <v>ORD200412</v>
      </c>
      <c r="B414" s="3" t="n">
        <f aca="false">IF(ISNUMBER(Raw_Data!B414),Raw_Data!B414,DATEVALUE(Raw_Data!B414))</f>
        <v>45758</v>
      </c>
      <c r="C414" s="2" t="str">
        <f aca="false">TRIM(UPPER(Raw_Data!C414))</f>
        <v>C42451</v>
      </c>
      <c r="D414" s="2" t="str">
        <f aca="false">PROPER(TRIM(Raw_Data!D414))</f>
        <v>Tablet</v>
      </c>
      <c r="E414" s="2" t="n">
        <f aca="false">Raw_Data!E414</f>
        <v>5</v>
      </c>
      <c r="F414" s="4" t="n">
        <f aca="false">ROUND(Raw_Data!F414,2)</f>
        <v>133.01</v>
      </c>
      <c r="G414" s="2" t="str">
        <f aca="false">PROPER(TRIM(Raw_Data!G414))</f>
        <v>246 Main St</v>
      </c>
      <c r="H414" s="2" t="str">
        <f aca="false">PROPER(TRIM(Raw_Data!H414))</f>
        <v>Credit Card</v>
      </c>
      <c r="I414" s="2" t="str">
        <f aca="false">PROPER(TRIM(Raw_Data!I414))</f>
        <v>Returned</v>
      </c>
      <c r="J414" s="2" t="str">
        <f aca="false">TRIM(UPPER(Raw_Data!J414))</f>
        <v>TRK31313343</v>
      </c>
      <c r="K414" s="2" t="n">
        <f aca="false">Raw_Data!K414</f>
        <v>10</v>
      </c>
      <c r="L414" s="2" t="str">
        <f aca="false">IF(TRIM(Raw_Data!L414)="","No Coupon",TRIM(UPPER(Raw_Data!L414)))</f>
        <v>No Coupon</v>
      </c>
      <c r="M414" s="2" t="str">
        <f aca="false">PROPER(TRIM(Raw_Data!M414))</f>
        <v>Facebook</v>
      </c>
      <c r="N414" s="4" t="n">
        <f aca="false">ROUND(E414*F414,2)</f>
        <v>665.05</v>
      </c>
      <c r="O414" s="2" t="str">
        <f aca="false">IF(COUNTIF($A$2:$A$1201,A414)&gt;1,"DUPLICATE","Unique")</f>
        <v>Unique</v>
      </c>
      <c r="P414" s="2" t="str">
        <f aca="false">IF(L414="","MISSING","OK")</f>
        <v>OK</v>
      </c>
      <c r="Q414" s="2" t="str">
        <f aca="false">IF(ISNUMBER(B414),"OK","BAD DATE")</f>
        <v>OK</v>
      </c>
      <c r="R414" s="2" t="str">
        <f aca="false">IF(ROUND(F414,2)=F414,"OK","FIX")</f>
        <v>OK</v>
      </c>
    </row>
    <row r="415" customFormat="false" ht="15" hidden="false" customHeight="false" outlineLevel="0" collapsed="false">
      <c r="A415" s="2" t="str">
        <f aca="false">TRIM(UPPER(Raw_Data!A415))</f>
        <v>ORD200413</v>
      </c>
      <c r="B415" s="3" t="n">
        <f aca="false">IF(ISNUMBER(Raw_Data!B415),Raw_Data!B415,DATEVALUE(Raw_Data!B415))</f>
        <v>45207</v>
      </c>
      <c r="C415" s="2" t="str">
        <f aca="false">TRIM(UPPER(Raw_Data!C415))</f>
        <v>C13923</v>
      </c>
      <c r="D415" s="2" t="str">
        <f aca="false">PROPER(TRIM(Raw_Data!D415))</f>
        <v>Tablet</v>
      </c>
      <c r="E415" s="2" t="n">
        <f aca="false">Raw_Data!E415</f>
        <v>1</v>
      </c>
      <c r="F415" s="4" t="n">
        <f aca="false">ROUND(Raw_Data!F415,2)</f>
        <v>118.8</v>
      </c>
      <c r="G415" s="2" t="str">
        <f aca="false">PROPER(TRIM(Raw_Data!G415))</f>
        <v>123 Main St</v>
      </c>
      <c r="H415" s="2" t="str">
        <f aca="false">PROPER(TRIM(Raw_Data!H415))</f>
        <v>Online</v>
      </c>
      <c r="I415" s="2" t="str">
        <f aca="false">PROPER(TRIM(Raw_Data!I415))</f>
        <v>Delivered</v>
      </c>
      <c r="J415" s="2" t="str">
        <f aca="false">TRIM(UPPER(Raw_Data!J415))</f>
        <v>TRK87598790</v>
      </c>
      <c r="K415" s="2" t="n">
        <f aca="false">Raw_Data!K415</f>
        <v>6</v>
      </c>
      <c r="L415" s="2" t="str">
        <f aca="false">IF(TRIM(Raw_Data!L415)="","No Coupon",TRIM(UPPER(Raw_Data!L415)))</f>
        <v>SAVE10</v>
      </c>
      <c r="M415" s="2" t="str">
        <f aca="false">PROPER(TRIM(Raw_Data!M415))</f>
        <v>Email</v>
      </c>
      <c r="N415" s="4" t="n">
        <f aca="false">ROUND(E415*F415,2)</f>
        <v>118.8</v>
      </c>
      <c r="O415" s="2" t="str">
        <f aca="false">IF(COUNTIF($A$2:$A$1201,A415)&gt;1,"DUPLICATE","Unique")</f>
        <v>Unique</v>
      </c>
      <c r="P415" s="2" t="str">
        <f aca="false">IF(L415="","MISSING","OK")</f>
        <v>OK</v>
      </c>
      <c r="Q415" s="2" t="str">
        <f aca="false">IF(ISNUMBER(B415),"OK","BAD DATE")</f>
        <v>OK</v>
      </c>
      <c r="R415" s="2" t="str">
        <f aca="false">IF(ROUND(F415,2)=F415,"OK","FIX")</f>
        <v>OK</v>
      </c>
    </row>
    <row r="416" customFormat="false" ht="15" hidden="false" customHeight="false" outlineLevel="0" collapsed="false">
      <c r="A416" s="2" t="str">
        <f aca="false">TRIM(UPPER(Raw_Data!A416))</f>
        <v>ORD200414</v>
      </c>
      <c r="B416" s="3" t="n">
        <f aca="false">IF(ISNUMBER(Raw_Data!B416),Raw_Data!B416,DATEVALUE(Raw_Data!B416))</f>
        <v>45781</v>
      </c>
      <c r="C416" s="2" t="str">
        <f aca="false">TRIM(UPPER(Raw_Data!C416))</f>
        <v>C11829</v>
      </c>
      <c r="D416" s="2" t="str">
        <f aca="false">PROPER(TRIM(Raw_Data!D416))</f>
        <v>Desk</v>
      </c>
      <c r="E416" s="2" t="n">
        <f aca="false">Raw_Data!E416</f>
        <v>2</v>
      </c>
      <c r="F416" s="4" t="n">
        <f aca="false">ROUND(Raw_Data!F416,2)</f>
        <v>139.57</v>
      </c>
      <c r="G416" s="2" t="str">
        <f aca="false">PROPER(TRIM(Raw_Data!G416))</f>
        <v>797 Main St</v>
      </c>
      <c r="H416" s="2" t="str">
        <f aca="false">PROPER(TRIM(Raw_Data!H416))</f>
        <v>Cash</v>
      </c>
      <c r="I416" s="2" t="str">
        <f aca="false">PROPER(TRIM(Raw_Data!I416))</f>
        <v>Delivered</v>
      </c>
      <c r="J416" s="2" t="str">
        <f aca="false">TRIM(UPPER(Raw_Data!J416))</f>
        <v>TRK84229257</v>
      </c>
      <c r="K416" s="2" t="n">
        <f aca="false">Raw_Data!K416</f>
        <v>4</v>
      </c>
      <c r="L416" s="2" t="str">
        <f aca="false">IF(TRIM(Raw_Data!L416)="","No Coupon",TRIM(UPPER(Raw_Data!L416)))</f>
        <v>WINTER15</v>
      </c>
      <c r="M416" s="2" t="str">
        <f aca="false">PROPER(TRIM(Raw_Data!M416))</f>
        <v>Facebook</v>
      </c>
      <c r="N416" s="4" t="n">
        <f aca="false">ROUND(E416*F416,2)</f>
        <v>279.14</v>
      </c>
      <c r="O416" s="2" t="str">
        <f aca="false">IF(COUNTIF($A$2:$A$1201,A416)&gt;1,"DUPLICATE","Unique")</f>
        <v>Unique</v>
      </c>
      <c r="P416" s="2" t="str">
        <f aca="false">IF(L416="","MISSING","OK")</f>
        <v>OK</v>
      </c>
      <c r="Q416" s="2" t="str">
        <f aca="false">IF(ISNUMBER(B416),"OK","BAD DATE")</f>
        <v>OK</v>
      </c>
      <c r="R416" s="2" t="str">
        <f aca="false">IF(ROUND(F416,2)=F416,"OK","FIX")</f>
        <v>OK</v>
      </c>
    </row>
    <row r="417" customFormat="false" ht="15" hidden="false" customHeight="false" outlineLevel="0" collapsed="false">
      <c r="A417" s="2" t="str">
        <f aca="false">TRIM(UPPER(Raw_Data!A417))</f>
        <v>ORD200415</v>
      </c>
      <c r="B417" s="3" t="n">
        <f aca="false">IF(ISNUMBER(Raw_Data!B417),Raw_Data!B417,DATEVALUE(Raw_Data!B417))</f>
        <v>45753</v>
      </c>
      <c r="C417" s="2" t="str">
        <f aca="false">TRIM(UPPER(Raw_Data!C417))</f>
        <v>C62169</v>
      </c>
      <c r="D417" s="2" t="str">
        <f aca="false">PROPER(TRIM(Raw_Data!D417))</f>
        <v>Chair</v>
      </c>
      <c r="E417" s="2" t="n">
        <f aca="false">Raw_Data!E417</f>
        <v>1</v>
      </c>
      <c r="F417" s="4" t="n">
        <f aca="false">ROUND(Raw_Data!F417,2)</f>
        <v>184.15</v>
      </c>
      <c r="G417" s="2" t="str">
        <f aca="false">PROPER(TRIM(Raw_Data!G417))</f>
        <v>655 Main St</v>
      </c>
      <c r="H417" s="2" t="str">
        <f aca="false">PROPER(TRIM(Raw_Data!H417))</f>
        <v>Gift Card</v>
      </c>
      <c r="I417" s="2" t="str">
        <f aca="false">PROPER(TRIM(Raw_Data!I417))</f>
        <v>Shipped</v>
      </c>
      <c r="J417" s="2" t="str">
        <f aca="false">TRIM(UPPER(Raw_Data!J417))</f>
        <v>TRK64558985</v>
      </c>
      <c r="K417" s="2" t="n">
        <f aca="false">Raw_Data!K417</f>
        <v>5</v>
      </c>
      <c r="L417" s="2" t="str">
        <f aca="false">IF(TRIM(Raw_Data!L417)="","No Coupon",TRIM(UPPER(Raw_Data!L417)))</f>
        <v>FREESHIP</v>
      </c>
      <c r="M417" s="2" t="str">
        <f aca="false">PROPER(TRIM(Raw_Data!M417))</f>
        <v>Facebook</v>
      </c>
      <c r="N417" s="4" t="n">
        <f aca="false">ROUND(E417*F417,2)</f>
        <v>184.15</v>
      </c>
      <c r="O417" s="2" t="str">
        <f aca="false">IF(COUNTIF($A$2:$A$1201,A417)&gt;1,"DUPLICATE","Unique")</f>
        <v>Unique</v>
      </c>
      <c r="P417" s="2" t="str">
        <f aca="false">IF(L417="","MISSING","OK")</f>
        <v>OK</v>
      </c>
      <c r="Q417" s="2" t="str">
        <f aca="false">IF(ISNUMBER(B417),"OK","BAD DATE")</f>
        <v>OK</v>
      </c>
      <c r="R417" s="2" t="str">
        <f aca="false">IF(ROUND(F417,2)=F417,"OK","FIX")</f>
        <v>OK</v>
      </c>
    </row>
    <row r="418" customFormat="false" ht="15" hidden="false" customHeight="false" outlineLevel="0" collapsed="false">
      <c r="A418" s="2" t="str">
        <f aca="false">TRIM(UPPER(Raw_Data!A418))</f>
        <v>ORD200416</v>
      </c>
      <c r="B418" s="3" t="n">
        <f aca="false">IF(ISNUMBER(Raw_Data!B418),Raw_Data!B418,DATEVALUE(Raw_Data!B418))</f>
        <v>45125</v>
      </c>
      <c r="C418" s="2" t="str">
        <f aca="false">TRIM(UPPER(Raw_Data!C418))</f>
        <v>C20881</v>
      </c>
      <c r="D418" s="2" t="str">
        <f aca="false">PROPER(TRIM(Raw_Data!D418))</f>
        <v>Laptop</v>
      </c>
      <c r="E418" s="2" t="n">
        <f aca="false">Raw_Data!E418</f>
        <v>2</v>
      </c>
      <c r="F418" s="4" t="n">
        <f aca="false">ROUND(Raw_Data!F418,2)</f>
        <v>644.05</v>
      </c>
      <c r="G418" s="2" t="str">
        <f aca="false">PROPER(TRIM(Raw_Data!G418))</f>
        <v>652 Main St</v>
      </c>
      <c r="H418" s="2" t="str">
        <f aca="false">PROPER(TRIM(Raw_Data!H418))</f>
        <v>Gift Card</v>
      </c>
      <c r="I418" s="2" t="str">
        <f aca="false">PROPER(TRIM(Raw_Data!I418))</f>
        <v>Cancelled</v>
      </c>
      <c r="J418" s="2" t="str">
        <f aca="false">TRIM(UPPER(Raw_Data!J418))</f>
        <v>TRK26263902</v>
      </c>
      <c r="K418" s="2" t="n">
        <f aca="false">Raw_Data!K418</f>
        <v>5</v>
      </c>
      <c r="L418" s="2" t="str">
        <f aca="false">IF(TRIM(Raw_Data!L418)="","No Coupon",TRIM(UPPER(Raw_Data!L418)))</f>
        <v>WINTER15</v>
      </c>
      <c r="M418" s="2" t="str">
        <f aca="false">PROPER(TRIM(Raw_Data!M418))</f>
        <v>Referral</v>
      </c>
      <c r="N418" s="4" t="n">
        <f aca="false">ROUND(E418*F418,2)</f>
        <v>1288.1</v>
      </c>
      <c r="O418" s="2" t="str">
        <f aca="false">IF(COUNTIF($A$2:$A$1201,A418)&gt;1,"DUPLICATE","Unique")</f>
        <v>Unique</v>
      </c>
      <c r="P418" s="2" t="str">
        <f aca="false">IF(L418="","MISSING","OK")</f>
        <v>OK</v>
      </c>
      <c r="Q418" s="2" t="str">
        <f aca="false">IF(ISNUMBER(B418),"OK","BAD DATE")</f>
        <v>OK</v>
      </c>
      <c r="R418" s="2" t="str">
        <f aca="false">IF(ROUND(F418,2)=F418,"OK","FIX")</f>
        <v>OK</v>
      </c>
    </row>
    <row r="419" customFormat="false" ht="15" hidden="false" customHeight="false" outlineLevel="0" collapsed="false">
      <c r="A419" s="2" t="str">
        <f aca="false">TRIM(UPPER(Raw_Data!A419))</f>
        <v>ORD200417</v>
      </c>
      <c r="B419" s="3" t="n">
        <f aca="false">IF(ISNUMBER(Raw_Data!B419),Raw_Data!B419,DATEVALUE(Raw_Data!B419))</f>
        <v>45223</v>
      </c>
      <c r="C419" s="2" t="str">
        <f aca="false">TRIM(UPPER(Raw_Data!C419))</f>
        <v>C44492</v>
      </c>
      <c r="D419" s="2" t="str">
        <f aca="false">PROPER(TRIM(Raw_Data!D419))</f>
        <v>Laptop</v>
      </c>
      <c r="E419" s="2" t="n">
        <f aca="false">Raw_Data!E419</f>
        <v>5</v>
      </c>
      <c r="F419" s="4" t="n">
        <f aca="false">ROUND(Raw_Data!F419,2)</f>
        <v>55.41</v>
      </c>
      <c r="G419" s="2" t="str">
        <f aca="false">PROPER(TRIM(Raw_Data!G419))</f>
        <v>954 Main St</v>
      </c>
      <c r="H419" s="2" t="str">
        <f aca="false">PROPER(TRIM(Raw_Data!H419))</f>
        <v>Online</v>
      </c>
      <c r="I419" s="2" t="str">
        <f aca="false">PROPER(TRIM(Raw_Data!I419))</f>
        <v>Cancelled</v>
      </c>
      <c r="J419" s="2" t="str">
        <f aca="false">TRIM(UPPER(Raw_Data!J419))</f>
        <v>TRK51429869</v>
      </c>
      <c r="K419" s="2" t="n">
        <f aca="false">Raw_Data!K419</f>
        <v>5</v>
      </c>
      <c r="L419" s="2" t="str">
        <f aca="false">IF(TRIM(Raw_Data!L419)="","No Coupon",TRIM(UPPER(Raw_Data!L419)))</f>
        <v>No Coupon</v>
      </c>
      <c r="M419" s="2" t="str">
        <f aca="false">PROPER(TRIM(Raw_Data!M419))</f>
        <v>Google</v>
      </c>
      <c r="N419" s="4" t="n">
        <f aca="false">ROUND(E419*F419,2)</f>
        <v>277.05</v>
      </c>
      <c r="O419" s="2" t="str">
        <f aca="false">IF(COUNTIF($A$2:$A$1201,A419)&gt;1,"DUPLICATE","Unique")</f>
        <v>Unique</v>
      </c>
      <c r="P419" s="2" t="str">
        <f aca="false">IF(L419="","MISSING","OK")</f>
        <v>OK</v>
      </c>
      <c r="Q419" s="2" t="str">
        <f aca="false">IF(ISNUMBER(B419),"OK","BAD DATE")</f>
        <v>OK</v>
      </c>
      <c r="R419" s="2" t="str">
        <f aca="false">IF(ROUND(F419,2)=F419,"OK","FIX")</f>
        <v>OK</v>
      </c>
    </row>
    <row r="420" customFormat="false" ht="15" hidden="false" customHeight="false" outlineLevel="0" collapsed="false">
      <c r="A420" s="2" t="str">
        <f aca="false">TRIM(UPPER(Raw_Data!A420))</f>
        <v>ORD200418</v>
      </c>
      <c r="B420" s="3" t="n">
        <f aca="false">IF(ISNUMBER(Raw_Data!B420),Raw_Data!B420,DATEVALUE(Raw_Data!B420))</f>
        <v>44937</v>
      </c>
      <c r="C420" s="2" t="str">
        <f aca="false">TRIM(UPPER(Raw_Data!C420))</f>
        <v>C74169</v>
      </c>
      <c r="D420" s="2" t="str">
        <f aca="false">PROPER(TRIM(Raw_Data!D420))</f>
        <v>Printer</v>
      </c>
      <c r="E420" s="2" t="n">
        <f aca="false">Raw_Data!E420</f>
        <v>1</v>
      </c>
      <c r="F420" s="4" t="n">
        <f aca="false">ROUND(Raw_Data!F420,2)</f>
        <v>310.93</v>
      </c>
      <c r="G420" s="2" t="str">
        <f aca="false">PROPER(TRIM(Raw_Data!G420))</f>
        <v>862 Main St</v>
      </c>
      <c r="H420" s="2" t="str">
        <f aca="false">PROPER(TRIM(Raw_Data!H420))</f>
        <v>Online</v>
      </c>
      <c r="I420" s="2" t="str">
        <f aca="false">PROPER(TRIM(Raw_Data!I420))</f>
        <v>Cancelled</v>
      </c>
      <c r="J420" s="2" t="str">
        <f aca="false">TRIM(UPPER(Raw_Data!J420))</f>
        <v>TRK66144809</v>
      </c>
      <c r="K420" s="2" t="n">
        <f aca="false">Raw_Data!K420</f>
        <v>3</v>
      </c>
      <c r="L420" s="2" t="str">
        <f aca="false">IF(TRIM(Raw_Data!L420)="","No Coupon",TRIM(UPPER(Raw_Data!L420)))</f>
        <v>No Coupon</v>
      </c>
      <c r="M420" s="2" t="str">
        <f aca="false">PROPER(TRIM(Raw_Data!M420))</f>
        <v>Facebook</v>
      </c>
      <c r="N420" s="4" t="n">
        <f aca="false">ROUND(E420*F420,2)</f>
        <v>310.93</v>
      </c>
      <c r="O420" s="2" t="str">
        <f aca="false">IF(COUNTIF($A$2:$A$1201,A420)&gt;1,"DUPLICATE","Unique")</f>
        <v>Unique</v>
      </c>
      <c r="P420" s="2" t="str">
        <f aca="false">IF(L420="","MISSING","OK")</f>
        <v>OK</v>
      </c>
      <c r="Q420" s="2" t="str">
        <f aca="false">IF(ISNUMBER(B420),"OK","BAD DATE")</f>
        <v>OK</v>
      </c>
      <c r="R420" s="2" t="str">
        <f aca="false">IF(ROUND(F420,2)=F420,"OK","FIX")</f>
        <v>OK</v>
      </c>
    </row>
    <row r="421" customFormat="false" ht="15" hidden="false" customHeight="false" outlineLevel="0" collapsed="false">
      <c r="A421" s="2" t="str">
        <f aca="false">TRIM(UPPER(Raw_Data!A421))</f>
        <v>ORD200419</v>
      </c>
      <c r="B421" s="3" t="n">
        <f aca="false">IF(ISNUMBER(Raw_Data!B421),Raw_Data!B421,DATEVALUE(Raw_Data!B421))</f>
        <v>45399</v>
      </c>
      <c r="C421" s="2" t="str">
        <f aca="false">TRIM(UPPER(Raw_Data!C421))</f>
        <v>C70999</v>
      </c>
      <c r="D421" s="2" t="str">
        <f aca="false">PROPER(TRIM(Raw_Data!D421))</f>
        <v>Tablet</v>
      </c>
      <c r="E421" s="2" t="n">
        <f aca="false">Raw_Data!E421</f>
        <v>2</v>
      </c>
      <c r="F421" s="4" t="n">
        <f aca="false">ROUND(Raw_Data!F421,2)</f>
        <v>216.66</v>
      </c>
      <c r="G421" s="2" t="str">
        <f aca="false">PROPER(TRIM(Raw_Data!G421))</f>
        <v>885 Main St</v>
      </c>
      <c r="H421" s="2" t="str">
        <f aca="false">PROPER(TRIM(Raw_Data!H421))</f>
        <v>Debit Card</v>
      </c>
      <c r="I421" s="2" t="str">
        <f aca="false">PROPER(TRIM(Raw_Data!I421))</f>
        <v>Pending</v>
      </c>
      <c r="J421" s="2" t="str">
        <f aca="false">TRIM(UPPER(Raw_Data!J421))</f>
        <v>TRK75644156</v>
      </c>
      <c r="K421" s="2" t="n">
        <f aca="false">Raw_Data!K421</f>
        <v>6</v>
      </c>
      <c r="L421" s="2" t="str">
        <f aca="false">IF(TRIM(Raw_Data!L421)="","No Coupon",TRIM(UPPER(Raw_Data!L421)))</f>
        <v>FREESHIP</v>
      </c>
      <c r="M421" s="2" t="str">
        <f aca="false">PROPER(TRIM(Raw_Data!M421))</f>
        <v>Instagram</v>
      </c>
      <c r="N421" s="4" t="n">
        <f aca="false">ROUND(E421*F421,2)</f>
        <v>433.32</v>
      </c>
      <c r="O421" s="2" t="str">
        <f aca="false">IF(COUNTIF($A$2:$A$1201,A421)&gt;1,"DUPLICATE","Unique")</f>
        <v>Unique</v>
      </c>
      <c r="P421" s="2" t="str">
        <f aca="false">IF(L421="","MISSING","OK")</f>
        <v>OK</v>
      </c>
      <c r="Q421" s="2" t="str">
        <f aca="false">IF(ISNUMBER(B421),"OK","BAD DATE")</f>
        <v>OK</v>
      </c>
      <c r="R421" s="2" t="str">
        <f aca="false">IF(ROUND(F421,2)=F421,"OK","FIX")</f>
        <v>OK</v>
      </c>
    </row>
    <row r="422" customFormat="false" ht="15" hidden="false" customHeight="false" outlineLevel="0" collapsed="false">
      <c r="A422" s="2" t="str">
        <f aca="false">TRIM(UPPER(Raw_Data!A422))</f>
        <v>ORD200420</v>
      </c>
      <c r="B422" s="3" t="n">
        <f aca="false">IF(ISNUMBER(Raw_Data!B422),Raw_Data!B422,DATEVALUE(Raw_Data!B422))</f>
        <v>45625</v>
      </c>
      <c r="C422" s="2" t="str">
        <f aca="false">TRIM(UPPER(Raw_Data!C422))</f>
        <v>C11921</v>
      </c>
      <c r="D422" s="2" t="str">
        <f aca="false">PROPER(TRIM(Raw_Data!D422))</f>
        <v>Phone</v>
      </c>
      <c r="E422" s="2" t="n">
        <f aca="false">Raw_Data!E422</f>
        <v>1</v>
      </c>
      <c r="F422" s="4" t="n">
        <f aca="false">ROUND(Raw_Data!F422,2)</f>
        <v>452.7</v>
      </c>
      <c r="G422" s="2" t="str">
        <f aca="false">PROPER(TRIM(Raw_Data!G422))</f>
        <v>439 Main St</v>
      </c>
      <c r="H422" s="2" t="str">
        <f aca="false">PROPER(TRIM(Raw_Data!H422))</f>
        <v>Debit Card</v>
      </c>
      <c r="I422" s="2" t="str">
        <f aca="false">PROPER(TRIM(Raw_Data!I422))</f>
        <v>Shipped</v>
      </c>
      <c r="J422" s="2" t="str">
        <f aca="false">TRIM(UPPER(Raw_Data!J422))</f>
        <v>TRK91362635</v>
      </c>
      <c r="K422" s="2" t="n">
        <f aca="false">Raw_Data!K422</f>
        <v>5</v>
      </c>
      <c r="L422" s="2" t="str">
        <f aca="false">IF(TRIM(Raw_Data!L422)="","No Coupon",TRIM(UPPER(Raw_Data!L422)))</f>
        <v>FREESHIP</v>
      </c>
      <c r="M422" s="2" t="str">
        <f aca="false">PROPER(TRIM(Raw_Data!M422))</f>
        <v>Instagram</v>
      </c>
      <c r="N422" s="4" t="n">
        <f aca="false">ROUND(E422*F422,2)</f>
        <v>452.7</v>
      </c>
      <c r="O422" s="2" t="str">
        <f aca="false">IF(COUNTIF($A$2:$A$1201,A422)&gt;1,"DUPLICATE","Unique")</f>
        <v>Unique</v>
      </c>
      <c r="P422" s="2" t="str">
        <f aca="false">IF(L422="","MISSING","OK")</f>
        <v>OK</v>
      </c>
      <c r="Q422" s="2" t="str">
        <f aca="false">IF(ISNUMBER(B422),"OK","BAD DATE")</f>
        <v>OK</v>
      </c>
      <c r="R422" s="2" t="str">
        <f aca="false">IF(ROUND(F422,2)=F422,"OK","FIX")</f>
        <v>OK</v>
      </c>
    </row>
    <row r="423" customFormat="false" ht="15" hidden="false" customHeight="false" outlineLevel="0" collapsed="false">
      <c r="A423" s="2" t="str">
        <f aca="false">TRIM(UPPER(Raw_Data!A423))</f>
        <v>ORD200421</v>
      </c>
      <c r="B423" s="3" t="n">
        <f aca="false">IF(ISNUMBER(Raw_Data!B423),Raw_Data!B423,DATEVALUE(Raw_Data!B423))</f>
        <v>45214</v>
      </c>
      <c r="C423" s="2" t="str">
        <f aca="false">TRIM(UPPER(Raw_Data!C423))</f>
        <v>C50683</v>
      </c>
      <c r="D423" s="2" t="str">
        <f aca="false">PROPER(TRIM(Raw_Data!D423))</f>
        <v>Chair</v>
      </c>
      <c r="E423" s="2" t="n">
        <f aca="false">Raw_Data!E423</f>
        <v>2</v>
      </c>
      <c r="F423" s="4" t="n">
        <f aca="false">ROUND(Raw_Data!F423,2)</f>
        <v>288.21</v>
      </c>
      <c r="G423" s="2" t="str">
        <f aca="false">PROPER(TRIM(Raw_Data!G423))</f>
        <v>769 Main St</v>
      </c>
      <c r="H423" s="2" t="str">
        <f aca="false">PROPER(TRIM(Raw_Data!H423))</f>
        <v>Debit Card</v>
      </c>
      <c r="I423" s="2" t="str">
        <f aca="false">PROPER(TRIM(Raw_Data!I423))</f>
        <v>Cancelled</v>
      </c>
      <c r="J423" s="2" t="str">
        <f aca="false">TRIM(UPPER(Raw_Data!J423))</f>
        <v>TRK53032122</v>
      </c>
      <c r="K423" s="2" t="n">
        <f aca="false">Raw_Data!K423</f>
        <v>5</v>
      </c>
      <c r="L423" s="2" t="str">
        <f aca="false">IF(TRIM(Raw_Data!L423)="","No Coupon",TRIM(UPPER(Raw_Data!L423)))</f>
        <v>No Coupon</v>
      </c>
      <c r="M423" s="2" t="str">
        <f aca="false">PROPER(TRIM(Raw_Data!M423))</f>
        <v>Email</v>
      </c>
      <c r="N423" s="4" t="n">
        <f aca="false">ROUND(E423*F423,2)</f>
        <v>576.42</v>
      </c>
      <c r="O423" s="2" t="str">
        <f aca="false">IF(COUNTIF($A$2:$A$1201,A423)&gt;1,"DUPLICATE","Unique")</f>
        <v>Unique</v>
      </c>
      <c r="P423" s="2" t="str">
        <f aca="false">IF(L423="","MISSING","OK")</f>
        <v>OK</v>
      </c>
      <c r="Q423" s="2" t="str">
        <f aca="false">IF(ISNUMBER(B423),"OK","BAD DATE")</f>
        <v>OK</v>
      </c>
      <c r="R423" s="2" t="str">
        <f aca="false">IF(ROUND(F423,2)=F423,"OK","FIX")</f>
        <v>OK</v>
      </c>
    </row>
    <row r="424" customFormat="false" ht="15" hidden="false" customHeight="false" outlineLevel="0" collapsed="false">
      <c r="A424" s="2" t="str">
        <f aca="false">TRIM(UPPER(Raw_Data!A424))</f>
        <v>ORD200422</v>
      </c>
      <c r="B424" s="3" t="n">
        <f aca="false">IF(ISNUMBER(Raw_Data!B424),Raw_Data!B424,DATEVALUE(Raw_Data!B424))</f>
        <v>45082</v>
      </c>
      <c r="C424" s="2" t="str">
        <f aca="false">TRIM(UPPER(Raw_Data!C424))</f>
        <v>C76140</v>
      </c>
      <c r="D424" s="2" t="str">
        <f aca="false">PROPER(TRIM(Raw_Data!D424))</f>
        <v>Phone</v>
      </c>
      <c r="E424" s="2" t="n">
        <f aca="false">Raw_Data!E424</f>
        <v>4</v>
      </c>
      <c r="F424" s="4" t="n">
        <f aca="false">ROUND(Raw_Data!F424,2)</f>
        <v>206.6</v>
      </c>
      <c r="G424" s="2" t="str">
        <f aca="false">PROPER(TRIM(Raw_Data!G424))</f>
        <v>914 Main St</v>
      </c>
      <c r="H424" s="2" t="str">
        <f aca="false">PROPER(TRIM(Raw_Data!H424))</f>
        <v>Gift Card</v>
      </c>
      <c r="I424" s="2" t="str">
        <f aca="false">PROPER(TRIM(Raw_Data!I424))</f>
        <v>Returned</v>
      </c>
      <c r="J424" s="2" t="str">
        <f aca="false">TRIM(UPPER(Raw_Data!J424))</f>
        <v>TRK25861469</v>
      </c>
      <c r="K424" s="2" t="n">
        <f aca="false">Raw_Data!K424</f>
        <v>6</v>
      </c>
      <c r="L424" s="2" t="str">
        <f aca="false">IF(TRIM(Raw_Data!L424)="","No Coupon",TRIM(UPPER(Raw_Data!L424)))</f>
        <v>WINTER15</v>
      </c>
      <c r="M424" s="2" t="str">
        <f aca="false">PROPER(TRIM(Raw_Data!M424))</f>
        <v>Referral</v>
      </c>
      <c r="N424" s="4" t="n">
        <f aca="false">ROUND(E424*F424,2)</f>
        <v>826.4</v>
      </c>
      <c r="O424" s="2" t="str">
        <f aca="false">IF(COUNTIF($A$2:$A$1201,A424)&gt;1,"DUPLICATE","Unique")</f>
        <v>Unique</v>
      </c>
      <c r="P424" s="2" t="str">
        <f aca="false">IF(L424="","MISSING","OK")</f>
        <v>OK</v>
      </c>
      <c r="Q424" s="2" t="str">
        <f aca="false">IF(ISNUMBER(B424),"OK","BAD DATE")</f>
        <v>OK</v>
      </c>
      <c r="R424" s="2" t="str">
        <f aca="false">IF(ROUND(F424,2)=F424,"OK","FIX")</f>
        <v>OK</v>
      </c>
    </row>
    <row r="425" customFormat="false" ht="15" hidden="false" customHeight="false" outlineLevel="0" collapsed="false">
      <c r="A425" s="2" t="str">
        <f aca="false">TRIM(UPPER(Raw_Data!A425))</f>
        <v>ORD200423</v>
      </c>
      <c r="B425" s="3" t="n">
        <f aca="false">IF(ISNUMBER(Raw_Data!B425),Raw_Data!B425,DATEVALUE(Raw_Data!B425))</f>
        <v>45493</v>
      </c>
      <c r="C425" s="2" t="str">
        <f aca="false">TRIM(UPPER(Raw_Data!C425))</f>
        <v>C94311</v>
      </c>
      <c r="D425" s="2" t="str">
        <f aca="false">PROPER(TRIM(Raw_Data!D425))</f>
        <v>Printer</v>
      </c>
      <c r="E425" s="2" t="n">
        <f aca="false">Raw_Data!E425</f>
        <v>4</v>
      </c>
      <c r="F425" s="4" t="n">
        <f aca="false">ROUND(Raw_Data!F425,2)</f>
        <v>685.2</v>
      </c>
      <c r="G425" s="2" t="str">
        <f aca="false">PROPER(TRIM(Raw_Data!G425))</f>
        <v>195 Main St</v>
      </c>
      <c r="H425" s="2" t="str">
        <f aca="false">PROPER(TRIM(Raw_Data!H425))</f>
        <v>Gift Card</v>
      </c>
      <c r="I425" s="2" t="str">
        <f aca="false">PROPER(TRIM(Raw_Data!I425))</f>
        <v>Cancelled</v>
      </c>
      <c r="J425" s="2" t="str">
        <f aca="false">TRIM(UPPER(Raw_Data!J425))</f>
        <v>TRK97308771</v>
      </c>
      <c r="K425" s="2" t="n">
        <f aca="false">Raw_Data!K425</f>
        <v>6</v>
      </c>
      <c r="L425" s="2" t="str">
        <f aca="false">IF(TRIM(Raw_Data!L425)="","No Coupon",TRIM(UPPER(Raw_Data!L425)))</f>
        <v>WINTER15</v>
      </c>
      <c r="M425" s="2" t="str">
        <f aca="false">PROPER(TRIM(Raw_Data!M425))</f>
        <v>Google</v>
      </c>
      <c r="N425" s="4" t="n">
        <f aca="false">ROUND(E425*F425,2)</f>
        <v>2740.8</v>
      </c>
      <c r="O425" s="2" t="str">
        <f aca="false">IF(COUNTIF($A$2:$A$1201,A425)&gt;1,"DUPLICATE","Unique")</f>
        <v>Unique</v>
      </c>
      <c r="P425" s="2" t="str">
        <f aca="false">IF(L425="","MISSING","OK")</f>
        <v>OK</v>
      </c>
      <c r="Q425" s="2" t="str">
        <f aca="false">IF(ISNUMBER(B425),"OK","BAD DATE")</f>
        <v>OK</v>
      </c>
      <c r="R425" s="2" t="str">
        <f aca="false">IF(ROUND(F425,2)=F425,"OK","FIX")</f>
        <v>OK</v>
      </c>
    </row>
    <row r="426" customFormat="false" ht="15" hidden="false" customHeight="false" outlineLevel="0" collapsed="false">
      <c r="A426" s="2" t="str">
        <f aca="false">TRIM(UPPER(Raw_Data!A426))</f>
        <v>ORD200424</v>
      </c>
      <c r="B426" s="3" t="n">
        <f aca="false">IF(ISNUMBER(Raw_Data!B426),Raw_Data!B426,DATEVALUE(Raw_Data!B426))</f>
        <v>45028</v>
      </c>
      <c r="C426" s="2" t="str">
        <f aca="false">TRIM(UPPER(Raw_Data!C426))</f>
        <v>C49491</v>
      </c>
      <c r="D426" s="2" t="str">
        <f aca="false">PROPER(TRIM(Raw_Data!D426))</f>
        <v>Chair</v>
      </c>
      <c r="E426" s="2" t="n">
        <f aca="false">Raw_Data!E426</f>
        <v>5</v>
      </c>
      <c r="F426" s="4" t="n">
        <f aca="false">ROUND(Raw_Data!F426,2)</f>
        <v>22.94</v>
      </c>
      <c r="G426" s="2" t="str">
        <f aca="false">PROPER(TRIM(Raw_Data!G426))</f>
        <v>339 Main St</v>
      </c>
      <c r="H426" s="2" t="str">
        <f aca="false">PROPER(TRIM(Raw_Data!H426))</f>
        <v>Cash</v>
      </c>
      <c r="I426" s="2" t="str">
        <f aca="false">PROPER(TRIM(Raw_Data!I426))</f>
        <v>Pending</v>
      </c>
      <c r="J426" s="2" t="str">
        <f aca="false">TRIM(UPPER(Raw_Data!J426))</f>
        <v>TRK64012257</v>
      </c>
      <c r="K426" s="2" t="n">
        <f aca="false">Raw_Data!K426</f>
        <v>10</v>
      </c>
      <c r="L426" s="2" t="str">
        <f aca="false">IF(TRIM(Raw_Data!L426)="","No Coupon",TRIM(UPPER(Raw_Data!L426)))</f>
        <v>No Coupon</v>
      </c>
      <c r="M426" s="2" t="str">
        <f aca="false">PROPER(TRIM(Raw_Data!M426))</f>
        <v>Email</v>
      </c>
      <c r="N426" s="4" t="n">
        <f aca="false">ROUND(E426*F426,2)</f>
        <v>114.7</v>
      </c>
      <c r="O426" s="2" t="str">
        <f aca="false">IF(COUNTIF($A$2:$A$1201,A426)&gt;1,"DUPLICATE","Unique")</f>
        <v>Unique</v>
      </c>
      <c r="P426" s="2" t="str">
        <f aca="false">IF(L426="","MISSING","OK")</f>
        <v>OK</v>
      </c>
      <c r="Q426" s="2" t="str">
        <f aca="false">IF(ISNUMBER(B426),"OK","BAD DATE")</f>
        <v>OK</v>
      </c>
      <c r="R426" s="2" t="str">
        <f aca="false">IF(ROUND(F426,2)=F426,"OK","FIX")</f>
        <v>OK</v>
      </c>
    </row>
    <row r="427" customFormat="false" ht="15" hidden="false" customHeight="false" outlineLevel="0" collapsed="false">
      <c r="A427" s="2" t="str">
        <f aca="false">TRIM(UPPER(Raw_Data!A427))</f>
        <v>ORD200425</v>
      </c>
      <c r="B427" s="3" t="n">
        <f aca="false">IF(ISNUMBER(Raw_Data!B427),Raw_Data!B427,DATEVALUE(Raw_Data!B427))</f>
        <v>44994</v>
      </c>
      <c r="C427" s="2" t="str">
        <f aca="false">TRIM(UPPER(Raw_Data!C427))</f>
        <v>C40648</v>
      </c>
      <c r="D427" s="2" t="str">
        <f aca="false">PROPER(TRIM(Raw_Data!D427))</f>
        <v>Laptop</v>
      </c>
      <c r="E427" s="2" t="n">
        <f aca="false">Raw_Data!E427</f>
        <v>2</v>
      </c>
      <c r="F427" s="4" t="n">
        <f aca="false">ROUND(Raw_Data!F427,2)</f>
        <v>301.88</v>
      </c>
      <c r="G427" s="2" t="str">
        <f aca="false">PROPER(TRIM(Raw_Data!G427))</f>
        <v>488 Main St</v>
      </c>
      <c r="H427" s="2" t="str">
        <f aca="false">PROPER(TRIM(Raw_Data!H427))</f>
        <v>Gift Card</v>
      </c>
      <c r="I427" s="2" t="str">
        <f aca="false">PROPER(TRIM(Raw_Data!I427))</f>
        <v>Returned</v>
      </c>
      <c r="J427" s="2" t="str">
        <f aca="false">TRIM(UPPER(Raw_Data!J427))</f>
        <v>TRK25325993</v>
      </c>
      <c r="K427" s="2" t="n">
        <f aca="false">Raw_Data!K427</f>
        <v>5</v>
      </c>
      <c r="L427" s="2" t="str">
        <f aca="false">IF(TRIM(Raw_Data!L427)="","No Coupon",TRIM(UPPER(Raw_Data!L427)))</f>
        <v>WINTER15</v>
      </c>
      <c r="M427" s="2" t="str">
        <f aca="false">PROPER(TRIM(Raw_Data!M427))</f>
        <v>Email</v>
      </c>
      <c r="N427" s="4" t="n">
        <f aca="false">ROUND(E427*F427,2)</f>
        <v>603.76</v>
      </c>
      <c r="O427" s="2" t="str">
        <f aca="false">IF(COUNTIF($A$2:$A$1201,A427)&gt;1,"DUPLICATE","Unique")</f>
        <v>Unique</v>
      </c>
      <c r="P427" s="2" t="str">
        <f aca="false">IF(L427="","MISSING","OK")</f>
        <v>OK</v>
      </c>
      <c r="Q427" s="2" t="str">
        <f aca="false">IF(ISNUMBER(B427),"OK","BAD DATE")</f>
        <v>OK</v>
      </c>
      <c r="R427" s="2" t="str">
        <f aca="false">IF(ROUND(F427,2)=F427,"OK","FIX")</f>
        <v>OK</v>
      </c>
    </row>
    <row r="428" customFormat="false" ht="15" hidden="false" customHeight="false" outlineLevel="0" collapsed="false">
      <c r="A428" s="2" t="str">
        <f aca="false">TRIM(UPPER(Raw_Data!A428))</f>
        <v>ORD200426</v>
      </c>
      <c r="B428" s="3" t="n">
        <f aca="false">IF(ISNUMBER(Raw_Data!B428),Raw_Data!B428,DATEVALUE(Raw_Data!B428))</f>
        <v>45732</v>
      </c>
      <c r="C428" s="2" t="str">
        <f aca="false">TRIM(UPPER(Raw_Data!C428))</f>
        <v>C40967</v>
      </c>
      <c r="D428" s="2" t="str">
        <f aca="false">PROPER(TRIM(Raw_Data!D428))</f>
        <v>Monitor</v>
      </c>
      <c r="E428" s="2" t="n">
        <f aca="false">Raw_Data!E428</f>
        <v>5</v>
      </c>
      <c r="F428" s="4" t="n">
        <f aca="false">ROUND(Raw_Data!F428,2)</f>
        <v>57.45</v>
      </c>
      <c r="G428" s="2" t="str">
        <f aca="false">PROPER(TRIM(Raw_Data!G428))</f>
        <v>315 Main St</v>
      </c>
      <c r="H428" s="2" t="str">
        <f aca="false">PROPER(TRIM(Raw_Data!H428))</f>
        <v>Cash</v>
      </c>
      <c r="I428" s="2" t="str">
        <f aca="false">PROPER(TRIM(Raw_Data!I428))</f>
        <v>Cancelled</v>
      </c>
      <c r="J428" s="2" t="str">
        <f aca="false">TRIM(UPPER(Raw_Data!J428))</f>
        <v>TRK24839296</v>
      </c>
      <c r="K428" s="2" t="n">
        <f aca="false">Raw_Data!K428</f>
        <v>10</v>
      </c>
      <c r="L428" s="2" t="str">
        <f aca="false">IF(TRIM(Raw_Data!L428)="","No Coupon",TRIM(UPPER(Raw_Data!L428)))</f>
        <v>No Coupon</v>
      </c>
      <c r="M428" s="2" t="str">
        <f aca="false">PROPER(TRIM(Raw_Data!M428))</f>
        <v>Facebook</v>
      </c>
      <c r="N428" s="4" t="n">
        <f aca="false">ROUND(E428*F428,2)</f>
        <v>287.25</v>
      </c>
      <c r="O428" s="2" t="str">
        <f aca="false">IF(COUNTIF($A$2:$A$1201,A428)&gt;1,"DUPLICATE","Unique")</f>
        <v>Unique</v>
      </c>
      <c r="P428" s="2" t="str">
        <f aca="false">IF(L428="","MISSING","OK")</f>
        <v>OK</v>
      </c>
      <c r="Q428" s="2" t="str">
        <f aca="false">IF(ISNUMBER(B428),"OK","BAD DATE")</f>
        <v>OK</v>
      </c>
      <c r="R428" s="2" t="str">
        <f aca="false">IF(ROUND(F428,2)=F428,"OK","FIX")</f>
        <v>OK</v>
      </c>
    </row>
    <row r="429" customFormat="false" ht="15" hidden="false" customHeight="false" outlineLevel="0" collapsed="false">
      <c r="A429" s="2" t="str">
        <f aca="false">TRIM(UPPER(Raw_Data!A429))</f>
        <v>ORD200427</v>
      </c>
      <c r="B429" s="3" t="n">
        <f aca="false">IF(ISNUMBER(Raw_Data!B429),Raw_Data!B429,DATEVALUE(Raw_Data!B429))</f>
        <v>45644</v>
      </c>
      <c r="C429" s="2" t="str">
        <f aca="false">TRIM(UPPER(Raw_Data!C429))</f>
        <v>C25406</v>
      </c>
      <c r="D429" s="2" t="str">
        <f aca="false">PROPER(TRIM(Raw_Data!D429))</f>
        <v>Desk</v>
      </c>
      <c r="E429" s="2" t="n">
        <f aca="false">Raw_Data!E429</f>
        <v>1</v>
      </c>
      <c r="F429" s="4" t="n">
        <f aca="false">ROUND(Raw_Data!F429,2)</f>
        <v>161.24</v>
      </c>
      <c r="G429" s="2" t="str">
        <f aca="false">PROPER(TRIM(Raw_Data!G429))</f>
        <v>379 Main St</v>
      </c>
      <c r="H429" s="2" t="str">
        <f aca="false">PROPER(TRIM(Raw_Data!H429))</f>
        <v>Credit Card</v>
      </c>
      <c r="I429" s="2" t="str">
        <f aca="false">PROPER(TRIM(Raw_Data!I429))</f>
        <v>Pending</v>
      </c>
      <c r="J429" s="2" t="str">
        <f aca="false">TRIM(UPPER(Raw_Data!J429))</f>
        <v>TRK70952564</v>
      </c>
      <c r="K429" s="2" t="n">
        <f aca="false">Raw_Data!K429</f>
        <v>3</v>
      </c>
      <c r="L429" s="2" t="str">
        <f aca="false">IF(TRIM(Raw_Data!L429)="","No Coupon",TRIM(UPPER(Raw_Data!L429)))</f>
        <v>WINTER15</v>
      </c>
      <c r="M429" s="2" t="str">
        <f aca="false">PROPER(TRIM(Raw_Data!M429))</f>
        <v>Instagram</v>
      </c>
      <c r="N429" s="4" t="n">
        <f aca="false">ROUND(E429*F429,2)</f>
        <v>161.24</v>
      </c>
      <c r="O429" s="2" t="str">
        <f aca="false">IF(COUNTIF($A$2:$A$1201,A429)&gt;1,"DUPLICATE","Unique")</f>
        <v>Unique</v>
      </c>
      <c r="P429" s="2" t="str">
        <f aca="false">IF(L429="","MISSING","OK")</f>
        <v>OK</v>
      </c>
      <c r="Q429" s="2" t="str">
        <f aca="false">IF(ISNUMBER(B429),"OK","BAD DATE")</f>
        <v>OK</v>
      </c>
      <c r="R429" s="2" t="str">
        <f aca="false">IF(ROUND(F429,2)=F429,"OK","FIX")</f>
        <v>OK</v>
      </c>
    </row>
    <row r="430" customFormat="false" ht="15" hidden="false" customHeight="false" outlineLevel="0" collapsed="false">
      <c r="A430" s="2" t="str">
        <f aca="false">TRIM(UPPER(Raw_Data!A430))</f>
        <v>ORD200428</v>
      </c>
      <c r="B430" s="3" t="n">
        <f aca="false">IF(ISNUMBER(Raw_Data!B430),Raw_Data!B430,DATEVALUE(Raw_Data!B430))</f>
        <v>45622</v>
      </c>
      <c r="C430" s="2" t="str">
        <f aca="false">TRIM(UPPER(Raw_Data!C430))</f>
        <v>C77085</v>
      </c>
      <c r="D430" s="2" t="str">
        <f aca="false">PROPER(TRIM(Raw_Data!D430))</f>
        <v>Chair</v>
      </c>
      <c r="E430" s="2" t="n">
        <f aca="false">Raw_Data!E430</f>
        <v>4</v>
      </c>
      <c r="F430" s="4" t="n">
        <f aca="false">ROUND(Raw_Data!F430,2)</f>
        <v>262.58</v>
      </c>
      <c r="G430" s="2" t="str">
        <f aca="false">PROPER(TRIM(Raw_Data!G430))</f>
        <v>895 Main St</v>
      </c>
      <c r="H430" s="2" t="str">
        <f aca="false">PROPER(TRIM(Raw_Data!H430))</f>
        <v>Online</v>
      </c>
      <c r="I430" s="2" t="str">
        <f aca="false">PROPER(TRIM(Raw_Data!I430))</f>
        <v>Cancelled</v>
      </c>
      <c r="J430" s="2" t="str">
        <f aca="false">TRIM(UPPER(Raw_Data!J430))</f>
        <v>TRK57227640</v>
      </c>
      <c r="K430" s="2" t="n">
        <f aca="false">Raw_Data!K430</f>
        <v>8</v>
      </c>
      <c r="L430" s="2" t="str">
        <f aca="false">IF(TRIM(Raw_Data!L430)="","No Coupon",TRIM(UPPER(Raw_Data!L430)))</f>
        <v>WINTER15</v>
      </c>
      <c r="M430" s="2" t="str">
        <f aca="false">PROPER(TRIM(Raw_Data!M430))</f>
        <v>Email</v>
      </c>
      <c r="N430" s="4" t="n">
        <f aca="false">ROUND(E430*F430,2)</f>
        <v>1050.32</v>
      </c>
      <c r="O430" s="2" t="str">
        <f aca="false">IF(COUNTIF($A$2:$A$1201,A430)&gt;1,"DUPLICATE","Unique")</f>
        <v>Unique</v>
      </c>
      <c r="P430" s="2" t="str">
        <f aca="false">IF(L430="","MISSING","OK")</f>
        <v>OK</v>
      </c>
      <c r="Q430" s="2" t="str">
        <f aca="false">IF(ISNUMBER(B430),"OK","BAD DATE")</f>
        <v>OK</v>
      </c>
      <c r="R430" s="2" t="str">
        <f aca="false">IF(ROUND(F430,2)=F430,"OK","FIX")</f>
        <v>OK</v>
      </c>
    </row>
    <row r="431" customFormat="false" ht="15" hidden="false" customHeight="false" outlineLevel="0" collapsed="false">
      <c r="A431" s="2" t="str">
        <f aca="false">TRIM(UPPER(Raw_Data!A431))</f>
        <v>ORD200429</v>
      </c>
      <c r="B431" s="3" t="n">
        <f aca="false">IF(ISNUMBER(Raw_Data!B431),Raw_Data!B431,DATEVALUE(Raw_Data!B431))</f>
        <v>45645</v>
      </c>
      <c r="C431" s="2" t="str">
        <f aca="false">TRIM(UPPER(Raw_Data!C431))</f>
        <v>C38126</v>
      </c>
      <c r="D431" s="2" t="str">
        <f aca="false">PROPER(TRIM(Raw_Data!D431))</f>
        <v>Printer</v>
      </c>
      <c r="E431" s="2" t="n">
        <f aca="false">Raw_Data!E431</f>
        <v>4</v>
      </c>
      <c r="F431" s="4" t="n">
        <f aca="false">ROUND(Raw_Data!F431,2)</f>
        <v>515.19</v>
      </c>
      <c r="G431" s="2" t="str">
        <f aca="false">PROPER(TRIM(Raw_Data!G431))</f>
        <v>522 Main St</v>
      </c>
      <c r="H431" s="2" t="str">
        <f aca="false">PROPER(TRIM(Raw_Data!H431))</f>
        <v>Credit Card</v>
      </c>
      <c r="I431" s="2" t="str">
        <f aca="false">PROPER(TRIM(Raw_Data!I431))</f>
        <v>Pending</v>
      </c>
      <c r="J431" s="2" t="str">
        <f aca="false">TRIM(UPPER(Raw_Data!J431))</f>
        <v>TRK90838498</v>
      </c>
      <c r="K431" s="2" t="n">
        <f aca="false">Raw_Data!K431</f>
        <v>9</v>
      </c>
      <c r="L431" s="2" t="str">
        <f aca="false">IF(TRIM(Raw_Data!L431)="","No Coupon",TRIM(UPPER(Raw_Data!L431)))</f>
        <v>SAVE10</v>
      </c>
      <c r="M431" s="2" t="str">
        <f aca="false">PROPER(TRIM(Raw_Data!M431))</f>
        <v>Facebook</v>
      </c>
      <c r="N431" s="4" t="n">
        <f aca="false">ROUND(E431*F431,2)</f>
        <v>2060.76</v>
      </c>
      <c r="O431" s="2" t="str">
        <f aca="false">IF(COUNTIF($A$2:$A$1201,A431)&gt;1,"DUPLICATE","Unique")</f>
        <v>Unique</v>
      </c>
      <c r="P431" s="2" t="str">
        <f aca="false">IF(L431="","MISSING","OK")</f>
        <v>OK</v>
      </c>
      <c r="Q431" s="2" t="str">
        <f aca="false">IF(ISNUMBER(B431),"OK","BAD DATE")</f>
        <v>OK</v>
      </c>
      <c r="R431" s="2" t="str">
        <f aca="false">IF(ROUND(F431,2)=F431,"OK","FIX")</f>
        <v>OK</v>
      </c>
    </row>
    <row r="432" customFormat="false" ht="15" hidden="false" customHeight="false" outlineLevel="0" collapsed="false">
      <c r="A432" s="2" t="str">
        <f aca="false">TRIM(UPPER(Raw_Data!A432))</f>
        <v>ORD200430</v>
      </c>
      <c r="B432" s="3" t="n">
        <f aca="false">IF(ISNUMBER(Raw_Data!B432),Raw_Data!B432,DATEVALUE(Raw_Data!B432))</f>
        <v>45084</v>
      </c>
      <c r="C432" s="2" t="str">
        <f aca="false">TRIM(UPPER(Raw_Data!C432))</f>
        <v>C87448</v>
      </c>
      <c r="D432" s="2" t="str">
        <f aca="false">PROPER(TRIM(Raw_Data!D432))</f>
        <v>Phone</v>
      </c>
      <c r="E432" s="2" t="n">
        <f aca="false">Raw_Data!E432</f>
        <v>1</v>
      </c>
      <c r="F432" s="4" t="n">
        <f aca="false">ROUND(Raw_Data!F432,2)</f>
        <v>450.07</v>
      </c>
      <c r="G432" s="2" t="str">
        <f aca="false">PROPER(TRIM(Raw_Data!G432))</f>
        <v>433 Main St</v>
      </c>
      <c r="H432" s="2" t="str">
        <f aca="false">PROPER(TRIM(Raw_Data!H432))</f>
        <v>Gift Card</v>
      </c>
      <c r="I432" s="2" t="str">
        <f aca="false">PROPER(TRIM(Raw_Data!I432))</f>
        <v>Shipped</v>
      </c>
      <c r="J432" s="2" t="str">
        <f aca="false">TRIM(UPPER(Raw_Data!J432))</f>
        <v>TRK44134016</v>
      </c>
      <c r="K432" s="2" t="n">
        <f aca="false">Raw_Data!K432</f>
        <v>6</v>
      </c>
      <c r="L432" s="2" t="str">
        <f aca="false">IF(TRIM(Raw_Data!L432)="","No Coupon",TRIM(UPPER(Raw_Data!L432)))</f>
        <v>FREESHIP</v>
      </c>
      <c r="M432" s="2" t="str">
        <f aca="false">PROPER(TRIM(Raw_Data!M432))</f>
        <v>Google</v>
      </c>
      <c r="N432" s="4" t="n">
        <f aca="false">ROUND(E432*F432,2)</f>
        <v>450.07</v>
      </c>
      <c r="O432" s="2" t="str">
        <f aca="false">IF(COUNTIF($A$2:$A$1201,A432)&gt;1,"DUPLICATE","Unique")</f>
        <v>Unique</v>
      </c>
      <c r="P432" s="2" t="str">
        <f aca="false">IF(L432="","MISSING","OK")</f>
        <v>OK</v>
      </c>
      <c r="Q432" s="2" t="str">
        <f aca="false">IF(ISNUMBER(B432),"OK","BAD DATE")</f>
        <v>OK</v>
      </c>
      <c r="R432" s="2" t="str">
        <f aca="false">IF(ROUND(F432,2)=F432,"OK","FIX")</f>
        <v>OK</v>
      </c>
    </row>
    <row r="433" customFormat="false" ht="15" hidden="false" customHeight="false" outlineLevel="0" collapsed="false">
      <c r="A433" s="2" t="str">
        <f aca="false">TRIM(UPPER(Raw_Data!A433))</f>
        <v>ORD200431</v>
      </c>
      <c r="B433" s="3" t="n">
        <f aca="false">IF(ISNUMBER(Raw_Data!B433),Raw_Data!B433,DATEVALUE(Raw_Data!B433))</f>
        <v>45571</v>
      </c>
      <c r="C433" s="2" t="str">
        <f aca="false">TRIM(UPPER(Raw_Data!C433))</f>
        <v>C62312</v>
      </c>
      <c r="D433" s="2" t="str">
        <f aca="false">PROPER(TRIM(Raw_Data!D433))</f>
        <v>Printer</v>
      </c>
      <c r="E433" s="2" t="n">
        <f aca="false">Raw_Data!E433</f>
        <v>1</v>
      </c>
      <c r="F433" s="4" t="n">
        <f aca="false">ROUND(Raw_Data!F433,2)</f>
        <v>52.54</v>
      </c>
      <c r="G433" s="2" t="str">
        <f aca="false">PROPER(TRIM(Raw_Data!G433))</f>
        <v>651 Main St</v>
      </c>
      <c r="H433" s="2" t="str">
        <f aca="false">PROPER(TRIM(Raw_Data!H433))</f>
        <v>Debit Card</v>
      </c>
      <c r="I433" s="2" t="str">
        <f aca="false">PROPER(TRIM(Raw_Data!I433))</f>
        <v>Cancelled</v>
      </c>
      <c r="J433" s="2" t="str">
        <f aca="false">TRIM(UPPER(Raw_Data!J433))</f>
        <v>TRK59623037</v>
      </c>
      <c r="K433" s="2" t="n">
        <f aca="false">Raw_Data!K433</f>
        <v>6</v>
      </c>
      <c r="L433" s="2" t="str">
        <f aca="false">IF(TRIM(Raw_Data!L433)="","No Coupon",TRIM(UPPER(Raw_Data!L433)))</f>
        <v>WINTER15</v>
      </c>
      <c r="M433" s="2" t="str">
        <f aca="false">PROPER(TRIM(Raw_Data!M433))</f>
        <v>Facebook</v>
      </c>
      <c r="N433" s="4" t="n">
        <f aca="false">ROUND(E433*F433,2)</f>
        <v>52.54</v>
      </c>
      <c r="O433" s="2" t="str">
        <f aca="false">IF(COUNTIF($A$2:$A$1201,A433)&gt;1,"DUPLICATE","Unique")</f>
        <v>Unique</v>
      </c>
      <c r="P433" s="2" t="str">
        <f aca="false">IF(L433="","MISSING","OK")</f>
        <v>OK</v>
      </c>
      <c r="Q433" s="2" t="str">
        <f aca="false">IF(ISNUMBER(B433),"OK","BAD DATE")</f>
        <v>OK</v>
      </c>
      <c r="R433" s="2" t="str">
        <f aca="false">IF(ROUND(F433,2)=F433,"OK","FIX")</f>
        <v>OK</v>
      </c>
    </row>
    <row r="434" customFormat="false" ht="15" hidden="false" customHeight="false" outlineLevel="0" collapsed="false">
      <c r="A434" s="2" t="str">
        <f aca="false">TRIM(UPPER(Raw_Data!A434))</f>
        <v>ORD200432</v>
      </c>
      <c r="B434" s="3" t="n">
        <f aca="false">IF(ISNUMBER(Raw_Data!B434),Raw_Data!B434,DATEVALUE(Raw_Data!B434))</f>
        <v>45173</v>
      </c>
      <c r="C434" s="2" t="str">
        <f aca="false">TRIM(UPPER(Raw_Data!C434))</f>
        <v>C58443</v>
      </c>
      <c r="D434" s="2" t="str">
        <f aca="false">PROPER(TRIM(Raw_Data!D434))</f>
        <v>Tablet</v>
      </c>
      <c r="E434" s="2" t="n">
        <f aca="false">Raw_Data!E434</f>
        <v>2</v>
      </c>
      <c r="F434" s="4" t="n">
        <f aca="false">ROUND(Raw_Data!F434,2)</f>
        <v>424.32</v>
      </c>
      <c r="G434" s="2" t="str">
        <f aca="false">PROPER(TRIM(Raw_Data!G434))</f>
        <v>662 Main St</v>
      </c>
      <c r="H434" s="2" t="str">
        <f aca="false">PROPER(TRIM(Raw_Data!H434))</f>
        <v>Credit Card</v>
      </c>
      <c r="I434" s="2" t="str">
        <f aca="false">PROPER(TRIM(Raw_Data!I434))</f>
        <v>Returned</v>
      </c>
      <c r="J434" s="2" t="str">
        <f aca="false">TRIM(UPPER(Raw_Data!J434))</f>
        <v>TRK77163738</v>
      </c>
      <c r="K434" s="2" t="n">
        <f aca="false">Raw_Data!K434</f>
        <v>6</v>
      </c>
      <c r="L434" s="2" t="str">
        <f aca="false">IF(TRIM(Raw_Data!L434)="","No Coupon",TRIM(UPPER(Raw_Data!L434)))</f>
        <v>No Coupon</v>
      </c>
      <c r="M434" s="2" t="str">
        <f aca="false">PROPER(TRIM(Raw_Data!M434))</f>
        <v>Referral</v>
      </c>
      <c r="N434" s="4" t="n">
        <f aca="false">ROUND(E434*F434,2)</f>
        <v>848.64</v>
      </c>
      <c r="O434" s="2" t="str">
        <f aca="false">IF(COUNTIF($A$2:$A$1201,A434)&gt;1,"DUPLICATE","Unique")</f>
        <v>Unique</v>
      </c>
      <c r="P434" s="2" t="str">
        <f aca="false">IF(L434="","MISSING","OK")</f>
        <v>OK</v>
      </c>
      <c r="Q434" s="2" t="str">
        <f aca="false">IF(ISNUMBER(B434),"OK","BAD DATE")</f>
        <v>OK</v>
      </c>
      <c r="R434" s="2" t="str">
        <f aca="false">IF(ROUND(F434,2)=F434,"OK","FIX")</f>
        <v>OK</v>
      </c>
    </row>
    <row r="435" customFormat="false" ht="15" hidden="false" customHeight="false" outlineLevel="0" collapsed="false">
      <c r="A435" s="2" t="str">
        <f aca="false">TRIM(UPPER(Raw_Data!A435))</f>
        <v>ORD200433</v>
      </c>
      <c r="B435" s="3" t="n">
        <f aca="false">IF(ISNUMBER(Raw_Data!B435),Raw_Data!B435,DATEVALUE(Raw_Data!B435))</f>
        <v>45164</v>
      </c>
      <c r="C435" s="2" t="str">
        <f aca="false">TRIM(UPPER(Raw_Data!C435))</f>
        <v>C36613</v>
      </c>
      <c r="D435" s="2" t="str">
        <f aca="false">PROPER(TRIM(Raw_Data!D435))</f>
        <v>Monitor</v>
      </c>
      <c r="E435" s="2" t="n">
        <f aca="false">Raw_Data!E435</f>
        <v>3</v>
      </c>
      <c r="F435" s="4" t="n">
        <f aca="false">ROUND(Raw_Data!F435,2)</f>
        <v>631.64</v>
      </c>
      <c r="G435" s="2" t="str">
        <f aca="false">PROPER(TRIM(Raw_Data!G435))</f>
        <v>785 Main St</v>
      </c>
      <c r="H435" s="2" t="str">
        <f aca="false">PROPER(TRIM(Raw_Data!H435))</f>
        <v>Credit Card</v>
      </c>
      <c r="I435" s="2" t="str">
        <f aca="false">PROPER(TRIM(Raw_Data!I435))</f>
        <v>Returned</v>
      </c>
      <c r="J435" s="2" t="str">
        <f aca="false">TRIM(UPPER(Raw_Data!J435))</f>
        <v>TRK13282106</v>
      </c>
      <c r="K435" s="2" t="n">
        <f aca="false">Raw_Data!K435</f>
        <v>3</v>
      </c>
      <c r="L435" s="2" t="str">
        <f aca="false">IF(TRIM(Raw_Data!L435)="","No Coupon",TRIM(UPPER(Raw_Data!L435)))</f>
        <v>FREESHIP</v>
      </c>
      <c r="M435" s="2" t="str">
        <f aca="false">PROPER(TRIM(Raw_Data!M435))</f>
        <v>Facebook</v>
      </c>
      <c r="N435" s="4" t="n">
        <f aca="false">ROUND(E435*F435,2)</f>
        <v>1894.92</v>
      </c>
      <c r="O435" s="2" t="str">
        <f aca="false">IF(COUNTIF($A$2:$A$1201,A435)&gt;1,"DUPLICATE","Unique")</f>
        <v>Unique</v>
      </c>
      <c r="P435" s="2" t="str">
        <f aca="false">IF(L435="","MISSING","OK")</f>
        <v>OK</v>
      </c>
      <c r="Q435" s="2" t="str">
        <f aca="false">IF(ISNUMBER(B435),"OK","BAD DATE")</f>
        <v>OK</v>
      </c>
      <c r="R435" s="2" t="str">
        <f aca="false">IF(ROUND(F435,2)=F435,"OK","FIX")</f>
        <v>OK</v>
      </c>
    </row>
    <row r="436" customFormat="false" ht="15" hidden="false" customHeight="false" outlineLevel="0" collapsed="false">
      <c r="A436" s="2" t="str">
        <f aca="false">TRIM(UPPER(Raw_Data!A436))</f>
        <v>ORD200434</v>
      </c>
      <c r="B436" s="3" t="n">
        <f aca="false">IF(ISNUMBER(Raw_Data!B436),Raw_Data!B436,DATEVALUE(Raw_Data!B436))</f>
        <v>45221</v>
      </c>
      <c r="C436" s="2" t="str">
        <f aca="false">TRIM(UPPER(Raw_Data!C436))</f>
        <v>C73893</v>
      </c>
      <c r="D436" s="2" t="str">
        <f aca="false">PROPER(TRIM(Raw_Data!D436))</f>
        <v>Printer</v>
      </c>
      <c r="E436" s="2" t="n">
        <f aca="false">Raw_Data!E436</f>
        <v>5</v>
      </c>
      <c r="F436" s="4" t="n">
        <f aca="false">ROUND(Raw_Data!F436,2)</f>
        <v>327.68</v>
      </c>
      <c r="G436" s="2" t="str">
        <f aca="false">PROPER(TRIM(Raw_Data!G436))</f>
        <v>384 Main St</v>
      </c>
      <c r="H436" s="2" t="str">
        <f aca="false">PROPER(TRIM(Raw_Data!H436))</f>
        <v>Credit Card</v>
      </c>
      <c r="I436" s="2" t="str">
        <f aca="false">PROPER(TRIM(Raw_Data!I436))</f>
        <v>Returned</v>
      </c>
      <c r="J436" s="2" t="str">
        <f aca="false">TRIM(UPPER(Raw_Data!J436))</f>
        <v>TRK85939879</v>
      </c>
      <c r="K436" s="2" t="n">
        <f aca="false">Raw_Data!K436</f>
        <v>6</v>
      </c>
      <c r="L436" s="2" t="str">
        <f aca="false">IF(TRIM(Raw_Data!L436)="","No Coupon",TRIM(UPPER(Raw_Data!L436)))</f>
        <v>No Coupon</v>
      </c>
      <c r="M436" s="2" t="str">
        <f aca="false">PROPER(TRIM(Raw_Data!M436))</f>
        <v>Facebook</v>
      </c>
      <c r="N436" s="4" t="n">
        <f aca="false">ROUND(E436*F436,2)</f>
        <v>1638.4</v>
      </c>
      <c r="O436" s="2" t="str">
        <f aca="false">IF(COUNTIF($A$2:$A$1201,A436)&gt;1,"DUPLICATE","Unique")</f>
        <v>Unique</v>
      </c>
      <c r="P436" s="2" t="str">
        <f aca="false">IF(L436="","MISSING","OK")</f>
        <v>OK</v>
      </c>
      <c r="Q436" s="2" t="str">
        <f aca="false">IF(ISNUMBER(B436),"OK","BAD DATE")</f>
        <v>OK</v>
      </c>
      <c r="R436" s="2" t="str">
        <f aca="false">IF(ROUND(F436,2)=F436,"OK","FIX")</f>
        <v>OK</v>
      </c>
    </row>
    <row r="437" customFormat="false" ht="15" hidden="false" customHeight="false" outlineLevel="0" collapsed="false">
      <c r="A437" s="2" t="str">
        <f aca="false">TRIM(UPPER(Raw_Data!A437))</f>
        <v>ORD200435</v>
      </c>
      <c r="B437" s="3" t="n">
        <f aca="false">IF(ISNUMBER(Raw_Data!B437),Raw_Data!B437,DATEVALUE(Raw_Data!B437))</f>
        <v>45073</v>
      </c>
      <c r="C437" s="2" t="str">
        <f aca="false">TRIM(UPPER(Raw_Data!C437))</f>
        <v>C48601</v>
      </c>
      <c r="D437" s="2" t="str">
        <f aca="false">PROPER(TRIM(Raw_Data!D437))</f>
        <v>Printer</v>
      </c>
      <c r="E437" s="2" t="n">
        <f aca="false">Raw_Data!E437</f>
        <v>1</v>
      </c>
      <c r="F437" s="4" t="n">
        <f aca="false">ROUND(Raw_Data!F437,2)</f>
        <v>414.47</v>
      </c>
      <c r="G437" s="2" t="str">
        <f aca="false">PROPER(TRIM(Raw_Data!G437))</f>
        <v>101 Main St</v>
      </c>
      <c r="H437" s="2" t="str">
        <f aca="false">PROPER(TRIM(Raw_Data!H437))</f>
        <v>Debit Card</v>
      </c>
      <c r="I437" s="2" t="str">
        <f aca="false">PROPER(TRIM(Raw_Data!I437))</f>
        <v>Returned</v>
      </c>
      <c r="J437" s="2" t="str">
        <f aca="false">TRIM(UPPER(Raw_Data!J437))</f>
        <v>TRK97868309</v>
      </c>
      <c r="K437" s="2" t="n">
        <f aca="false">Raw_Data!K437</f>
        <v>3</v>
      </c>
      <c r="L437" s="2" t="str">
        <f aca="false">IF(TRIM(Raw_Data!L437)="","No Coupon",TRIM(UPPER(Raw_Data!L437)))</f>
        <v>FREESHIP</v>
      </c>
      <c r="M437" s="2" t="str">
        <f aca="false">PROPER(TRIM(Raw_Data!M437))</f>
        <v>Instagram</v>
      </c>
      <c r="N437" s="4" t="n">
        <f aca="false">ROUND(E437*F437,2)</f>
        <v>414.47</v>
      </c>
      <c r="O437" s="2" t="str">
        <f aca="false">IF(COUNTIF($A$2:$A$1201,A437)&gt;1,"DUPLICATE","Unique")</f>
        <v>Unique</v>
      </c>
      <c r="P437" s="2" t="str">
        <f aca="false">IF(L437="","MISSING","OK")</f>
        <v>OK</v>
      </c>
      <c r="Q437" s="2" t="str">
        <f aca="false">IF(ISNUMBER(B437),"OK","BAD DATE")</f>
        <v>OK</v>
      </c>
      <c r="R437" s="2" t="str">
        <f aca="false">IF(ROUND(F437,2)=F437,"OK","FIX")</f>
        <v>OK</v>
      </c>
    </row>
    <row r="438" customFormat="false" ht="15" hidden="false" customHeight="false" outlineLevel="0" collapsed="false">
      <c r="A438" s="2" t="str">
        <f aca="false">TRIM(UPPER(Raw_Data!A438))</f>
        <v>ORD200436</v>
      </c>
      <c r="B438" s="3" t="n">
        <f aca="false">IF(ISNUMBER(Raw_Data!B438),Raw_Data!B438,DATEVALUE(Raw_Data!B438))</f>
        <v>44968</v>
      </c>
      <c r="C438" s="2" t="str">
        <f aca="false">TRIM(UPPER(Raw_Data!C438))</f>
        <v>C14568</v>
      </c>
      <c r="D438" s="2" t="str">
        <f aca="false">PROPER(TRIM(Raw_Data!D438))</f>
        <v>Laptop</v>
      </c>
      <c r="E438" s="2" t="n">
        <f aca="false">Raw_Data!E438</f>
        <v>4</v>
      </c>
      <c r="F438" s="4" t="n">
        <f aca="false">ROUND(Raw_Data!F438,2)</f>
        <v>221.33</v>
      </c>
      <c r="G438" s="2" t="str">
        <f aca="false">PROPER(TRIM(Raw_Data!G438))</f>
        <v>651 Main St</v>
      </c>
      <c r="H438" s="2" t="str">
        <f aca="false">PROPER(TRIM(Raw_Data!H438))</f>
        <v>Online</v>
      </c>
      <c r="I438" s="2" t="str">
        <f aca="false">PROPER(TRIM(Raw_Data!I438))</f>
        <v>Pending</v>
      </c>
      <c r="J438" s="2" t="str">
        <f aca="false">TRIM(UPPER(Raw_Data!J438))</f>
        <v>TRK73545796</v>
      </c>
      <c r="K438" s="2" t="n">
        <f aca="false">Raw_Data!K438</f>
        <v>5</v>
      </c>
      <c r="L438" s="2" t="str">
        <f aca="false">IF(TRIM(Raw_Data!L438)="","No Coupon",TRIM(UPPER(Raw_Data!L438)))</f>
        <v>No Coupon</v>
      </c>
      <c r="M438" s="2" t="str">
        <f aca="false">PROPER(TRIM(Raw_Data!M438))</f>
        <v>Google</v>
      </c>
      <c r="N438" s="4" t="n">
        <f aca="false">ROUND(E438*F438,2)</f>
        <v>885.32</v>
      </c>
      <c r="O438" s="2" t="str">
        <f aca="false">IF(COUNTIF($A$2:$A$1201,A438)&gt;1,"DUPLICATE","Unique")</f>
        <v>Unique</v>
      </c>
      <c r="P438" s="2" t="str">
        <f aca="false">IF(L438="","MISSING","OK")</f>
        <v>OK</v>
      </c>
      <c r="Q438" s="2" t="str">
        <f aca="false">IF(ISNUMBER(B438),"OK","BAD DATE")</f>
        <v>OK</v>
      </c>
      <c r="R438" s="2" t="str">
        <f aca="false">IF(ROUND(F438,2)=F438,"OK","FIX")</f>
        <v>OK</v>
      </c>
    </row>
    <row r="439" customFormat="false" ht="15" hidden="false" customHeight="false" outlineLevel="0" collapsed="false">
      <c r="A439" s="2" t="str">
        <f aca="false">TRIM(UPPER(Raw_Data!A439))</f>
        <v>ORD200437</v>
      </c>
      <c r="B439" s="3" t="n">
        <f aca="false">IF(ISNUMBER(Raw_Data!B439),Raw_Data!B439,DATEVALUE(Raw_Data!B439))</f>
        <v>45400</v>
      </c>
      <c r="C439" s="2" t="str">
        <f aca="false">TRIM(UPPER(Raw_Data!C439))</f>
        <v>C63378</v>
      </c>
      <c r="D439" s="2" t="str">
        <f aca="false">PROPER(TRIM(Raw_Data!D439))</f>
        <v>Phone</v>
      </c>
      <c r="E439" s="2" t="n">
        <f aca="false">Raw_Data!E439</f>
        <v>1</v>
      </c>
      <c r="F439" s="4" t="n">
        <f aca="false">ROUND(Raw_Data!F439,2)</f>
        <v>512.39</v>
      </c>
      <c r="G439" s="2" t="str">
        <f aca="false">PROPER(TRIM(Raw_Data!G439))</f>
        <v>955 Main St</v>
      </c>
      <c r="H439" s="2" t="str">
        <f aca="false">PROPER(TRIM(Raw_Data!H439))</f>
        <v>Online</v>
      </c>
      <c r="I439" s="2" t="str">
        <f aca="false">PROPER(TRIM(Raw_Data!I439))</f>
        <v>Delivered</v>
      </c>
      <c r="J439" s="2" t="str">
        <f aca="false">TRIM(UPPER(Raw_Data!J439))</f>
        <v>TRK20863705</v>
      </c>
      <c r="K439" s="2" t="n">
        <f aca="false">Raw_Data!K439</f>
        <v>2</v>
      </c>
      <c r="L439" s="2" t="str">
        <f aca="false">IF(TRIM(Raw_Data!L439)="","No Coupon",TRIM(UPPER(Raw_Data!L439)))</f>
        <v>FREESHIP</v>
      </c>
      <c r="M439" s="2" t="str">
        <f aca="false">PROPER(TRIM(Raw_Data!M439))</f>
        <v>Instagram</v>
      </c>
      <c r="N439" s="4" t="n">
        <f aca="false">ROUND(E439*F439,2)</f>
        <v>512.39</v>
      </c>
      <c r="O439" s="2" t="str">
        <f aca="false">IF(COUNTIF($A$2:$A$1201,A439)&gt;1,"DUPLICATE","Unique")</f>
        <v>Unique</v>
      </c>
      <c r="P439" s="2" t="str">
        <f aca="false">IF(L439="","MISSING","OK")</f>
        <v>OK</v>
      </c>
      <c r="Q439" s="2" t="str">
        <f aca="false">IF(ISNUMBER(B439),"OK","BAD DATE")</f>
        <v>OK</v>
      </c>
      <c r="R439" s="2" t="str">
        <f aca="false">IF(ROUND(F439,2)=F439,"OK","FIX")</f>
        <v>OK</v>
      </c>
    </row>
    <row r="440" customFormat="false" ht="15" hidden="false" customHeight="false" outlineLevel="0" collapsed="false">
      <c r="A440" s="2" t="str">
        <f aca="false">TRIM(UPPER(Raw_Data!A440))</f>
        <v>ORD200438</v>
      </c>
      <c r="B440" s="3" t="n">
        <f aca="false">IF(ISNUMBER(Raw_Data!B440),Raw_Data!B440,DATEVALUE(Raw_Data!B440))</f>
        <v>45660</v>
      </c>
      <c r="C440" s="2" t="str">
        <f aca="false">TRIM(UPPER(Raw_Data!C440))</f>
        <v>C77800</v>
      </c>
      <c r="D440" s="2" t="str">
        <f aca="false">PROPER(TRIM(Raw_Data!D440))</f>
        <v>Tablet</v>
      </c>
      <c r="E440" s="2" t="n">
        <f aca="false">Raw_Data!E440</f>
        <v>3</v>
      </c>
      <c r="F440" s="4" t="n">
        <f aca="false">ROUND(Raw_Data!F440,2)</f>
        <v>459.34</v>
      </c>
      <c r="G440" s="2" t="str">
        <f aca="false">PROPER(TRIM(Raw_Data!G440))</f>
        <v>436 Main St</v>
      </c>
      <c r="H440" s="2" t="str">
        <f aca="false">PROPER(TRIM(Raw_Data!H440))</f>
        <v>Gift Card</v>
      </c>
      <c r="I440" s="2" t="str">
        <f aca="false">PROPER(TRIM(Raw_Data!I440))</f>
        <v>Pending</v>
      </c>
      <c r="J440" s="2" t="str">
        <f aca="false">TRIM(UPPER(Raw_Data!J440))</f>
        <v>TRK27439574</v>
      </c>
      <c r="K440" s="2" t="n">
        <f aca="false">Raw_Data!K440</f>
        <v>3</v>
      </c>
      <c r="L440" s="2" t="str">
        <f aca="false">IF(TRIM(Raw_Data!L440)="","No Coupon",TRIM(UPPER(Raw_Data!L440)))</f>
        <v>SAVE10</v>
      </c>
      <c r="M440" s="2" t="str">
        <f aca="false">PROPER(TRIM(Raw_Data!M440))</f>
        <v>Instagram</v>
      </c>
      <c r="N440" s="4" t="n">
        <f aca="false">ROUND(E440*F440,2)</f>
        <v>1378.02</v>
      </c>
      <c r="O440" s="2" t="str">
        <f aca="false">IF(COUNTIF($A$2:$A$1201,A440)&gt;1,"DUPLICATE","Unique")</f>
        <v>Unique</v>
      </c>
      <c r="P440" s="2" t="str">
        <f aca="false">IF(L440="","MISSING","OK")</f>
        <v>OK</v>
      </c>
      <c r="Q440" s="2" t="str">
        <f aca="false">IF(ISNUMBER(B440),"OK","BAD DATE")</f>
        <v>OK</v>
      </c>
      <c r="R440" s="2" t="str">
        <f aca="false">IF(ROUND(F440,2)=F440,"OK","FIX")</f>
        <v>OK</v>
      </c>
    </row>
    <row r="441" customFormat="false" ht="15" hidden="false" customHeight="false" outlineLevel="0" collapsed="false">
      <c r="A441" s="2" t="str">
        <f aca="false">TRIM(UPPER(Raw_Data!A441))</f>
        <v>ORD200439</v>
      </c>
      <c r="B441" s="3" t="n">
        <f aca="false">IF(ISNUMBER(Raw_Data!B441),Raw_Data!B441,DATEVALUE(Raw_Data!B441))</f>
        <v>45543</v>
      </c>
      <c r="C441" s="2" t="str">
        <f aca="false">TRIM(UPPER(Raw_Data!C441))</f>
        <v>C91155</v>
      </c>
      <c r="D441" s="2" t="str">
        <f aca="false">PROPER(TRIM(Raw_Data!D441))</f>
        <v>Tablet</v>
      </c>
      <c r="E441" s="2" t="n">
        <f aca="false">Raw_Data!E441</f>
        <v>1</v>
      </c>
      <c r="F441" s="4" t="n">
        <f aca="false">ROUND(Raw_Data!F441,2)</f>
        <v>146.32</v>
      </c>
      <c r="G441" s="2" t="str">
        <f aca="false">PROPER(TRIM(Raw_Data!G441))</f>
        <v>321 Main St</v>
      </c>
      <c r="H441" s="2" t="str">
        <f aca="false">PROPER(TRIM(Raw_Data!H441))</f>
        <v>Online</v>
      </c>
      <c r="I441" s="2" t="str">
        <f aca="false">PROPER(TRIM(Raw_Data!I441))</f>
        <v>Shipped</v>
      </c>
      <c r="J441" s="2" t="str">
        <f aca="false">TRIM(UPPER(Raw_Data!J441))</f>
        <v>TRK36260319</v>
      </c>
      <c r="K441" s="2" t="n">
        <f aca="false">Raw_Data!K441</f>
        <v>4</v>
      </c>
      <c r="L441" s="2" t="str">
        <f aca="false">IF(TRIM(Raw_Data!L441)="","No Coupon",TRIM(UPPER(Raw_Data!L441)))</f>
        <v>WINTER15</v>
      </c>
      <c r="M441" s="2" t="str">
        <f aca="false">PROPER(TRIM(Raw_Data!M441))</f>
        <v>Facebook</v>
      </c>
      <c r="N441" s="4" t="n">
        <f aca="false">ROUND(E441*F441,2)</f>
        <v>146.32</v>
      </c>
      <c r="O441" s="2" t="str">
        <f aca="false">IF(COUNTIF($A$2:$A$1201,A441)&gt;1,"DUPLICATE","Unique")</f>
        <v>Unique</v>
      </c>
      <c r="P441" s="2" t="str">
        <f aca="false">IF(L441="","MISSING","OK")</f>
        <v>OK</v>
      </c>
      <c r="Q441" s="2" t="str">
        <f aca="false">IF(ISNUMBER(B441),"OK","BAD DATE")</f>
        <v>OK</v>
      </c>
      <c r="R441" s="2" t="str">
        <f aca="false">IF(ROUND(F441,2)=F441,"OK","FIX")</f>
        <v>OK</v>
      </c>
    </row>
    <row r="442" customFormat="false" ht="15" hidden="false" customHeight="false" outlineLevel="0" collapsed="false">
      <c r="A442" s="2" t="str">
        <f aca="false">TRIM(UPPER(Raw_Data!A442))</f>
        <v>ORD200440</v>
      </c>
      <c r="B442" s="3" t="n">
        <f aca="false">IF(ISNUMBER(Raw_Data!B442),Raw_Data!B442,DATEVALUE(Raw_Data!B442))</f>
        <v>45601</v>
      </c>
      <c r="C442" s="2" t="str">
        <f aca="false">TRIM(UPPER(Raw_Data!C442))</f>
        <v>C60215</v>
      </c>
      <c r="D442" s="2" t="str">
        <f aca="false">PROPER(TRIM(Raw_Data!D442))</f>
        <v>Desk</v>
      </c>
      <c r="E442" s="2" t="n">
        <f aca="false">Raw_Data!E442</f>
        <v>4</v>
      </c>
      <c r="F442" s="4" t="n">
        <f aca="false">ROUND(Raw_Data!F442,2)</f>
        <v>83.6</v>
      </c>
      <c r="G442" s="2" t="str">
        <f aca="false">PROPER(TRIM(Raw_Data!G442))</f>
        <v>978 Main St</v>
      </c>
      <c r="H442" s="2" t="str">
        <f aca="false">PROPER(TRIM(Raw_Data!H442))</f>
        <v>Debit Card</v>
      </c>
      <c r="I442" s="2" t="str">
        <f aca="false">PROPER(TRIM(Raw_Data!I442))</f>
        <v>Pending</v>
      </c>
      <c r="J442" s="2" t="str">
        <f aca="false">TRIM(UPPER(Raw_Data!J442))</f>
        <v>TRK31727767</v>
      </c>
      <c r="K442" s="2" t="n">
        <f aca="false">Raw_Data!K442</f>
        <v>4</v>
      </c>
      <c r="L442" s="2" t="str">
        <f aca="false">IF(TRIM(Raw_Data!L442)="","No Coupon",TRIM(UPPER(Raw_Data!L442)))</f>
        <v>SAVE10</v>
      </c>
      <c r="M442" s="2" t="str">
        <f aca="false">PROPER(TRIM(Raw_Data!M442))</f>
        <v>Facebook</v>
      </c>
      <c r="N442" s="4" t="n">
        <f aca="false">ROUND(E442*F442,2)</f>
        <v>334.4</v>
      </c>
      <c r="O442" s="2" t="str">
        <f aca="false">IF(COUNTIF($A$2:$A$1201,A442)&gt;1,"DUPLICATE","Unique")</f>
        <v>Unique</v>
      </c>
      <c r="P442" s="2" t="str">
        <f aca="false">IF(L442="","MISSING","OK")</f>
        <v>OK</v>
      </c>
      <c r="Q442" s="2" t="str">
        <f aca="false">IF(ISNUMBER(B442),"OK","BAD DATE")</f>
        <v>OK</v>
      </c>
      <c r="R442" s="2" t="str">
        <f aca="false">IF(ROUND(F442,2)=F442,"OK","FIX")</f>
        <v>OK</v>
      </c>
    </row>
    <row r="443" customFormat="false" ht="15" hidden="false" customHeight="false" outlineLevel="0" collapsed="false">
      <c r="A443" s="2" t="str">
        <f aca="false">TRIM(UPPER(Raw_Data!A443))</f>
        <v>ORD200441</v>
      </c>
      <c r="B443" s="3" t="n">
        <f aca="false">IF(ISNUMBER(Raw_Data!B443),Raw_Data!B443,DATEVALUE(Raw_Data!B443))</f>
        <v>45273</v>
      </c>
      <c r="C443" s="2" t="str">
        <f aca="false">TRIM(UPPER(Raw_Data!C443))</f>
        <v>C52915</v>
      </c>
      <c r="D443" s="2" t="str">
        <f aca="false">PROPER(TRIM(Raw_Data!D443))</f>
        <v>Printer</v>
      </c>
      <c r="E443" s="2" t="n">
        <f aca="false">Raw_Data!E443</f>
        <v>2</v>
      </c>
      <c r="F443" s="4" t="n">
        <f aca="false">ROUND(Raw_Data!F443,2)</f>
        <v>328.54</v>
      </c>
      <c r="G443" s="2" t="str">
        <f aca="false">PROPER(TRIM(Raw_Data!G443))</f>
        <v>475 Main St</v>
      </c>
      <c r="H443" s="2" t="str">
        <f aca="false">PROPER(TRIM(Raw_Data!H443))</f>
        <v>Gift Card</v>
      </c>
      <c r="I443" s="2" t="str">
        <f aca="false">PROPER(TRIM(Raw_Data!I443))</f>
        <v>Returned</v>
      </c>
      <c r="J443" s="2" t="str">
        <f aca="false">TRIM(UPPER(Raw_Data!J443))</f>
        <v>TRK79466982</v>
      </c>
      <c r="K443" s="2" t="n">
        <f aca="false">Raw_Data!K443</f>
        <v>6</v>
      </c>
      <c r="L443" s="2" t="str">
        <f aca="false">IF(TRIM(Raw_Data!L443)="","No Coupon",TRIM(UPPER(Raw_Data!L443)))</f>
        <v>FREESHIP</v>
      </c>
      <c r="M443" s="2" t="str">
        <f aca="false">PROPER(TRIM(Raw_Data!M443))</f>
        <v>Email</v>
      </c>
      <c r="N443" s="4" t="n">
        <f aca="false">ROUND(E443*F443,2)</f>
        <v>657.08</v>
      </c>
      <c r="O443" s="2" t="str">
        <f aca="false">IF(COUNTIF($A$2:$A$1201,A443)&gt;1,"DUPLICATE","Unique")</f>
        <v>Unique</v>
      </c>
      <c r="P443" s="2" t="str">
        <f aca="false">IF(L443="","MISSING","OK")</f>
        <v>OK</v>
      </c>
      <c r="Q443" s="2" t="str">
        <f aca="false">IF(ISNUMBER(B443),"OK","BAD DATE")</f>
        <v>OK</v>
      </c>
      <c r="R443" s="2" t="str">
        <f aca="false">IF(ROUND(F443,2)=F443,"OK","FIX")</f>
        <v>OK</v>
      </c>
    </row>
    <row r="444" customFormat="false" ht="15" hidden="false" customHeight="false" outlineLevel="0" collapsed="false">
      <c r="A444" s="2" t="str">
        <f aca="false">TRIM(UPPER(Raw_Data!A444))</f>
        <v>ORD200442</v>
      </c>
      <c r="B444" s="3" t="n">
        <f aca="false">IF(ISNUMBER(Raw_Data!B444),Raw_Data!B444,DATEVALUE(Raw_Data!B444))</f>
        <v>45418</v>
      </c>
      <c r="C444" s="2" t="str">
        <f aca="false">TRIM(UPPER(Raw_Data!C444))</f>
        <v>C72588</v>
      </c>
      <c r="D444" s="2" t="str">
        <f aca="false">PROPER(TRIM(Raw_Data!D444))</f>
        <v>Chair</v>
      </c>
      <c r="E444" s="2" t="n">
        <f aca="false">Raw_Data!E444</f>
        <v>5</v>
      </c>
      <c r="F444" s="4" t="n">
        <f aca="false">ROUND(Raw_Data!F444,2)</f>
        <v>314.94</v>
      </c>
      <c r="G444" s="2" t="str">
        <f aca="false">PROPER(TRIM(Raw_Data!G444))</f>
        <v>661 Main St</v>
      </c>
      <c r="H444" s="2" t="str">
        <f aca="false">PROPER(TRIM(Raw_Data!H444))</f>
        <v>Cash</v>
      </c>
      <c r="I444" s="2" t="str">
        <f aca="false">PROPER(TRIM(Raw_Data!I444))</f>
        <v>Pending</v>
      </c>
      <c r="J444" s="2" t="str">
        <f aca="false">TRIM(UPPER(Raw_Data!J444))</f>
        <v>TRK43410829</v>
      </c>
      <c r="K444" s="2" t="n">
        <f aca="false">Raw_Data!K444</f>
        <v>8</v>
      </c>
      <c r="L444" s="2" t="str">
        <f aca="false">IF(TRIM(Raw_Data!L444)="","No Coupon",TRIM(UPPER(Raw_Data!L444)))</f>
        <v>SAVE10</v>
      </c>
      <c r="M444" s="2" t="str">
        <f aca="false">PROPER(TRIM(Raw_Data!M444))</f>
        <v>Instagram</v>
      </c>
      <c r="N444" s="4" t="n">
        <f aca="false">ROUND(E444*F444,2)</f>
        <v>1574.7</v>
      </c>
      <c r="O444" s="2" t="str">
        <f aca="false">IF(COUNTIF($A$2:$A$1201,A444)&gt;1,"DUPLICATE","Unique")</f>
        <v>Unique</v>
      </c>
      <c r="P444" s="2" t="str">
        <f aca="false">IF(L444="","MISSING","OK")</f>
        <v>OK</v>
      </c>
      <c r="Q444" s="2" t="str">
        <f aca="false">IF(ISNUMBER(B444),"OK","BAD DATE")</f>
        <v>OK</v>
      </c>
      <c r="R444" s="2" t="str">
        <f aca="false">IF(ROUND(F444,2)=F444,"OK","FIX")</f>
        <v>OK</v>
      </c>
    </row>
    <row r="445" customFormat="false" ht="15" hidden="false" customHeight="false" outlineLevel="0" collapsed="false">
      <c r="A445" s="2" t="str">
        <f aca="false">TRIM(UPPER(Raw_Data!A445))</f>
        <v>ORD200443</v>
      </c>
      <c r="B445" s="3" t="n">
        <f aca="false">IF(ISNUMBER(Raw_Data!B445),Raw_Data!B445,DATEVALUE(Raw_Data!B445))</f>
        <v>45426</v>
      </c>
      <c r="C445" s="2" t="str">
        <f aca="false">TRIM(UPPER(Raw_Data!C445))</f>
        <v>C61668</v>
      </c>
      <c r="D445" s="2" t="str">
        <f aca="false">PROPER(TRIM(Raw_Data!D445))</f>
        <v>Chair</v>
      </c>
      <c r="E445" s="2" t="n">
        <f aca="false">Raw_Data!E445</f>
        <v>2</v>
      </c>
      <c r="F445" s="4" t="n">
        <f aca="false">ROUND(Raw_Data!F445,2)</f>
        <v>69.64</v>
      </c>
      <c r="G445" s="2" t="str">
        <f aca="false">PROPER(TRIM(Raw_Data!G445))</f>
        <v>813 Main St</v>
      </c>
      <c r="H445" s="2" t="str">
        <f aca="false">PROPER(TRIM(Raw_Data!H445))</f>
        <v>Cash</v>
      </c>
      <c r="I445" s="2" t="str">
        <f aca="false">PROPER(TRIM(Raw_Data!I445))</f>
        <v>Returned</v>
      </c>
      <c r="J445" s="2" t="str">
        <f aca="false">TRIM(UPPER(Raw_Data!J445))</f>
        <v>TRK58970302</v>
      </c>
      <c r="K445" s="2" t="n">
        <f aca="false">Raw_Data!K445</f>
        <v>6</v>
      </c>
      <c r="L445" s="2" t="str">
        <f aca="false">IF(TRIM(Raw_Data!L445)="","No Coupon",TRIM(UPPER(Raw_Data!L445)))</f>
        <v>No Coupon</v>
      </c>
      <c r="M445" s="2" t="str">
        <f aca="false">PROPER(TRIM(Raw_Data!M445))</f>
        <v>Facebook</v>
      </c>
      <c r="N445" s="4" t="n">
        <f aca="false">ROUND(E445*F445,2)</f>
        <v>139.28</v>
      </c>
      <c r="O445" s="2" t="str">
        <f aca="false">IF(COUNTIF($A$2:$A$1201,A445)&gt;1,"DUPLICATE","Unique")</f>
        <v>Unique</v>
      </c>
      <c r="P445" s="2" t="str">
        <f aca="false">IF(L445="","MISSING","OK")</f>
        <v>OK</v>
      </c>
      <c r="Q445" s="2" t="str">
        <f aca="false">IF(ISNUMBER(B445),"OK","BAD DATE")</f>
        <v>OK</v>
      </c>
      <c r="R445" s="2" t="str">
        <f aca="false">IF(ROUND(F445,2)=F445,"OK","FIX")</f>
        <v>OK</v>
      </c>
    </row>
    <row r="446" customFormat="false" ht="15" hidden="false" customHeight="false" outlineLevel="0" collapsed="false">
      <c r="A446" s="2" t="str">
        <f aca="false">TRIM(UPPER(Raw_Data!A446))</f>
        <v>ORD200444</v>
      </c>
      <c r="B446" s="3" t="n">
        <f aca="false">IF(ISNUMBER(Raw_Data!B446),Raw_Data!B446,DATEVALUE(Raw_Data!B446))</f>
        <v>45451</v>
      </c>
      <c r="C446" s="2" t="str">
        <f aca="false">TRIM(UPPER(Raw_Data!C446))</f>
        <v>C79508</v>
      </c>
      <c r="D446" s="2" t="str">
        <f aca="false">PROPER(TRIM(Raw_Data!D446))</f>
        <v>Printer</v>
      </c>
      <c r="E446" s="2" t="n">
        <f aca="false">Raw_Data!E446</f>
        <v>1</v>
      </c>
      <c r="F446" s="4" t="n">
        <f aca="false">ROUND(Raw_Data!F446,2)</f>
        <v>135.17</v>
      </c>
      <c r="G446" s="2" t="str">
        <f aca="false">PROPER(TRIM(Raw_Data!G446))</f>
        <v>585 Main St</v>
      </c>
      <c r="H446" s="2" t="str">
        <f aca="false">PROPER(TRIM(Raw_Data!H446))</f>
        <v>Online</v>
      </c>
      <c r="I446" s="2" t="str">
        <f aca="false">PROPER(TRIM(Raw_Data!I446))</f>
        <v>Shipped</v>
      </c>
      <c r="J446" s="2" t="str">
        <f aca="false">TRIM(UPPER(Raw_Data!J446))</f>
        <v>TRK61882353</v>
      </c>
      <c r="K446" s="2" t="n">
        <f aca="false">Raw_Data!K446</f>
        <v>6</v>
      </c>
      <c r="L446" s="2" t="str">
        <f aca="false">IF(TRIM(Raw_Data!L446)="","No Coupon",TRIM(UPPER(Raw_Data!L446)))</f>
        <v>FREESHIP</v>
      </c>
      <c r="M446" s="2" t="str">
        <f aca="false">PROPER(TRIM(Raw_Data!M446))</f>
        <v>Instagram</v>
      </c>
      <c r="N446" s="4" t="n">
        <f aca="false">ROUND(E446*F446,2)</f>
        <v>135.17</v>
      </c>
      <c r="O446" s="2" t="str">
        <f aca="false">IF(COUNTIF($A$2:$A$1201,A446)&gt;1,"DUPLICATE","Unique")</f>
        <v>Unique</v>
      </c>
      <c r="P446" s="2" t="str">
        <f aca="false">IF(L446="","MISSING","OK")</f>
        <v>OK</v>
      </c>
      <c r="Q446" s="2" t="str">
        <f aca="false">IF(ISNUMBER(B446),"OK","BAD DATE")</f>
        <v>OK</v>
      </c>
      <c r="R446" s="2" t="str">
        <f aca="false">IF(ROUND(F446,2)=F446,"OK","FIX")</f>
        <v>OK</v>
      </c>
    </row>
    <row r="447" customFormat="false" ht="15" hidden="false" customHeight="false" outlineLevel="0" collapsed="false">
      <c r="A447" s="2" t="str">
        <f aca="false">TRIM(UPPER(Raw_Data!A447))</f>
        <v>ORD200445</v>
      </c>
      <c r="B447" s="3" t="n">
        <f aca="false">IF(ISNUMBER(Raw_Data!B447),Raw_Data!B447,DATEVALUE(Raw_Data!B447))</f>
        <v>45374</v>
      </c>
      <c r="C447" s="2" t="str">
        <f aca="false">TRIM(UPPER(Raw_Data!C447))</f>
        <v>C94569</v>
      </c>
      <c r="D447" s="2" t="str">
        <f aca="false">PROPER(TRIM(Raw_Data!D447))</f>
        <v>Phone</v>
      </c>
      <c r="E447" s="2" t="n">
        <f aca="false">Raw_Data!E447</f>
        <v>1</v>
      </c>
      <c r="F447" s="4" t="n">
        <f aca="false">ROUND(Raw_Data!F447,2)</f>
        <v>487.21</v>
      </c>
      <c r="G447" s="2" t="str">
        <f aca="false">PROPER(TRIM(Raw_Data!G447))</f>
        <v>227 Main St</v>
      </c>
      <c r="H447" s="2" t="str">
        <f aca="false">PROPER(TRIM(Raw_Data!H447))</f>
        <v>Cash</v>
      </c>
      <c r="I447" s="2" t="str">
        <f aca="false">PROPER(TRIM(Raw_Data!I447))</f>
        <v>Delivered</v>
      </c>
      <c r="J447" s="2" t="str">
        <f aca="false">TRIM(UPPER(Raw_Data!J447))</f>
        <v>TRK31351770</v>
      </c>
      <c r="K447" s="2" t="n">
        <f aca="false">Raw_Data!K447</f>
        <v>3</v>
      </c>
      <c r="L447" s="2" t="str">
        <f aca="false">IF(TRIM(Raw_Data!L447)="","No Coupon",TRIM(UPPER(Raw_Data!L447)))</f>
        <v>SAVE10</v>
      </c>
      <c r="M447" s="2" t="str">
        <f aca="false">PROPER(TRIM(Raw_Data!M447))</f>
        <v>Referral</v>
      </c>
      <c r="N447" s="4" t="n">
        <f aca="false">ROUND(E447*F447,2)</f>
        <v>487.21</v>
      </c>
      <c r="O447" s="2" t="str">
        <f aca="false">IF(COUNTIF($A$2:$A$1201,A447)&gt;1,"DUPLICATE","Unique")</f>
        <v>Unique</v>
      </c>
      <c r="P447" s="2" t="str">
        <f aca="false">IF(L447="","MISSING","OK")</f>
        <v>OK</v>
      </c>
      <c r="Q447" s="2" t="str">
        <f aca="false">IF(ISNUMBER(B447),"OK","BAD DATE")</f>
        <v>OK</v>
      </c>
      <c r="R447" s="2" t="str">
        <f aca="false">IF(ROUND(F447,2)=F447,"OK","FIX")</f>
        <v>OK</v>
      </c>
    </row>
    <row r="448" customFormat="false" ht="15" hidden="false" customHeight="false" outlineLevel="0" collapsed="false">
      <c r="A448" s="2" t="str">
        <f aca="false">TRIM(UPPER(Raw_Data!A448))</f>
        <v>ORD200446</v>
      </c>
      <c r="B448" s="3" t="n">
        <f aca="false">IF(ISNUMBER(Raw_Data!B448),Raw_Data!B448,DATEVALUE(Raw_Data!B448))</f>
        <v>45217</v>
      </c>
      <c r="C448" s="2" t="str">
        <f aca="false">TRIM(UPPER(Raw_Data!C448))</f>
        <v>C89592</v>
      </c>
      <c r="D448" s="2" t="str">
        <f aca="false">PROPER(TRIM(Raw_Data!D448))</f>
        <v>Laptop</v>
      </c>
      <c r="E448" s="2" t="n">
        <f aca="false">Raw_Data!E448</f>
        <v>5</v>
      </c>
      <c r="F448" s="4" t="n">
        <f aca="false">ROUND(Raw_Data!F448,2)</f>
        <v>509.58</v>
      </c>
      <c r="G448" s="2" t="str">
        <f aca="false">PROPER(TRIM(Raw_Data!G448))</f>
        <v>262 Main St</v>
      </c>
      <c r="H448" s="2" t="str">
        <f aca="false">PROPER(TRIM(Raw_Data!H448))</f>
        <v>Online</v>
      </c>
      <c r="I448" s="2" t="str">
        <f aca="false">PROPER(TRIM(Raw_Data!I448))</f>
        <v>Delivered</v>
      </c>
      <c r="J448" s="2" t="str">
        <f aca="false">TRIM(UPPER(Raw_Data!J448))</f>
        <v>TRK49442402</v>
      </c>
      <c r="K448" s="2" t="n">
        <f aca="false">Raw_Data!K448</f>
        <v>6</v>
      </c>
      <c r="L448" s="2" t="str">
        <f aca="false">IF(TRIM(Raw_Data!L448)="","No Coupon",TRIM(UPPER(Raw_Data!L448)))</f>
        <v>FREESHIP</v>
      </c>
      <c r="M448" s="2" t="str">
        <f aca="false">PROPER(TRIM(Raw_Data!M448))</f>
        <v>Instagram</v>
      </c>
      <c r="N448" s="4" t="n">
        <f aca="false">ROUND(E448*F448,2)</f>
        <v>2547.9</v>
      </c>
      <c r="O448" s="2" t="str">
        <f aca="false">IF(COUNTIF($A$2:$A$1201,A448)&gt;1,"DUPLICATE","Unique")</f>
        <v>Unique</v>
      </c>
      <c r="P448" s="2" t="str">
        <f aca="false">IF(L448="","MISSING","OK")</f>
        <v>OK</v>
      </c>
      <c r="Q448" s="2" t="str">
        <f aca="false">IF(ISNUMBER(B448),"OK","BAD DATE")</f>
        <v>OK</v>
      </c>
      <c r="R448" s="2" t="str">
        <f aca="false">IF(ROUND(F448,2)=F448,"OK","FIX")</f>
        <v>OK</v>
      </c>
    </row>
    <row r="449" customFormat="false" ht="15" hidden="false" customHeight="false" outlineLevel="0" collapsed="false">
      <c r="A449" s="2" t="str">
        <f aca="false">TRIM(UPPER(Raw_Data!A449))</f>
        <v>ORD200447</v>
      </c>
      <c r="B449" s="3" t="n">
        <f aca="false">IF(ISNUMBER(Raw_Data!B449),Raw_Data!B449,DATEVALUE(Raw_Data!B449))</f>
        <v>45389</v>
      </c>
      <c r="C449" s="2" t="str">
        <f aca="false">TRIM(UPPER(Raw_Data!C449))</f>
        <v>C48207</v>
      </c>
      <c r="D449" s="2" t="str">
        <f aca="false">PROPER(TRIM(Raw_Data!D449))</f>
        <v>Printer</v>
      </c>
      <c r="E449" s="2" t="n">
        <f aca="false">Raw_Data!E449</f>
        <v>2</v>
      </c>
      <c r="F449" s="4" t="n">
        <f aca="false">ROUND(Raw_Data!F449,2)</f>
        <v>416.81</v>
      </c>
      <c r="G449" s="2" t="str">
        <f aca="false">PROPER(TRIM(Raw_Data!G449))</f>
        <v>356 Main St</v>
      </c>
      <c r="H449" s="2" t="str">
        <f aca="false">PROPER(TRIM(Raw_Data!H449))</f>
        <v>Cash</v>
      </c>
      <c r="I449" s="2" t="str">
        <f aca="false">PROPER(TRIM(Raw_Data!I449))</f>
        <v>Returned</v>
      </c>
      <c r="J449" s="2" t="str">
        <f aca="false">TRIM(UPPER(Raw_Data!J449))</f>
        <v>TRK45355655</v>
      </c>
      <c r="K449" s="2" t="n">
        <f aca="false">Raw_Data!K449</f>
        <v>2</v>
      </c>
      <c r="L449" s="2" t="str">
        <f aca="false">IF(TRIM(Raw_Data!L449)="","No Coupon",TRIM(UPPER(Raw_Data!L449)))</f>
        <v>No Coupon</v>
      </c>
      <c r="M449" s="2" t="str">
        <f aca="false">PROPER(TRIM(Raw_Data!M449))</f>
        <v>Facebook</v>
      </c>
      <c r="N449" s="4" t="n">
        <f aca="false">ROUND(E449*F449,2)</f>
        <v>833.62</v>
      </c>
      <c r="O449" s="2" t="str">
        <f aca="false">IF(COUNTIF($A$2:$A$1201,A449)&gt;1,"DUPLICATE","Unique")</f>
        <v>Unique</v>
      </c>
      <c r="P449" s="2" t="str">
        <f aca="false">IF(L449="","MISSING","OK")</f>
        <v>OK</v>
      </c>
      <c r="Q449" s="2" t="str">
        <f aca="false">IF(ISNUMBER(B449),"OK","BAD DATE")</f>
        <v>OK</v>
      </c>
      <c r="R449" s="2" t="str">
        <f aca="false">IF(ROUND(F449,2)=F449,"OK","FIX")</f>
        <v>OK</v>
      </c>
    </row>
    <row r="450" customFormat="false" ht="15" hidden="false" customHeight="false" outlineLevel="0" collapsed="false">
      <c r="A450" s="2" t="str">
        <f aca="false">TRIM(UPPER(Raw_Data!A450))</f>
        <v>ORD200448</v>
      </c>
      <c r="B450" s="3" t="n">
        <f aca="false">IF(ISNUMBER(Raw_Data!B450),Raw_Data!B450,DATEVALUE(Raw_Data!B450))</f>
        <v>45173</v>
      </c>
      <c r="C450" s="2" t="str">
        <f aca="false">TRIM(UPPER(Raw_Data!C450))</f>
        <v>C16776</v>
      </c>
      <c r="D450" s="2" t="str">
        <f aca="false">PROPER(TRIM(Raw_Data!D450))</f>
        <v>Laptop</v>
      </c>
      <c r="E450" s="2" t="n">
        <f aca="false">Raw_Data!E450</f>
        <v>2</v>
      </c>
      <c r="F450" s="4" t="n">
        <f aca="false">ROUND(Raw_Data!F450,2)</f>
        <v>160</v>
      </c>
      <c r="G450" s="2" t="str">
        <f aca="false">PROPER(TRIM(Raw_Data!G450))</f>
        <v>854 Main St</v>
      </c>
      <c r="H450" s="2" t="str">
        <f aca="false">PROPER(TRIM(Raw_Data!H450))</f>
        <v>Cash</v>
      </c>
      <c r="I450" s="2" t="str">
        <f aca="false">PROPER(TRIM(Raw_Data!I450))</f>
        <v>Pending</v>
      </c>
      <c r="J450" s="2" t="str">
        <f aca="false">TRIM(UPPER(Raw_Data!J450))</f>
        <v>TRK12860600</v>
      </c>
      <c r="K450" s="2" t="n">
        <f aca="false">Raw_Data!K450</f>
        <v>4</v>
      </c>
      <c r="L450" s="2" t="str">
        <f aca="false">IF(TRIM(Raw_Data!L450)="","No Coupon",TRIM(UPPER(Raw_Data!L450)))</f>
        <v>SAVE10</v>
      </c>
      <c r="M450" s="2" t="str">
        <f aca="false">PROPER(TRIM(Raw_Data!M450))</f>
        <v>Instagram</v>
      </c>
      <c r="N450" s="4" t="n">
        <f aca="false">ROUND(E450*F450,2)</f>
        <v>320</v>
      </c>
      <c r="O450" s="2" t="str">
        <f aca="false">IF(COUNTIF($A$2:$A$1201,A450)&gt;1,"DUPLICATE","Unique")</f>
        <v>Unique</v>
      </c>
      <c r="P450" s="2" t="str">
        <f aca="false">IF(L450="","MISSING","OK")</f>
        <v>OK</v>
      </c>
      <c r="Q450" s="2" t="str">
        <f aca="false">IF(ISNUMBER(B450),"OK","BAD DATE")</f>
        <v>OK</v>
      </c>
      <c r="R450" s="2" t="str">
        <f aca="false">IF(ROUND(F450,2)=F450,"OK","FIX")</f>
        <v>OK</v>
      </c>
    </row>
    <row r="451" customFormat="false" ht="15" hidden="false" customHeight="false" outlineLevel="0" collapsed="false">
      <c r="A451" s="2" t="str">
        <f aca="false">TRIM(UPPER(Raw_Data!A451))</f>
        <v>ORD200449</v>
      </c>
      <c r="B451" s="3" t="n">
        <f aca="false">IF(ISNUMBER(Raw_Data!B451),Raw_Data!B451,DATEVALUE(Raw_Data!B451))</f>
        <v>45530</v>
      </c>
      <c r="C451" s="2" t="str">
        <f aca="false">TRIM(UPPER(Raw_Data!C451))</f>
        <v>C91518</v>
      </c>
      <c r="D451" s="2" t="str">
        <f aca="false">PROPER(TRIM(Raw_Data!D451))</f>
        <v>Tablet</v>
      </c>
      <c r="E451" s="2" t="n">
        <f aca="false">Raw_Data!E451</f>
        <v>3</v>
      </c>
      <c r="F451" s="4" t="n">
        <f aca="false">ROUND(Raw_Data!F451,2)</f>
        <v>253.05</v>
      </c>
      <c r="G451" s="2" t="str">
        <f aca="false">PROPER(TRIM(Raw_Data!G451))</f>
        <v>286 Main St</v>
      </c>
      <c r="H451" s="2" t="str">
        <f aca="false">PROPER(TRIM(Raw_Data!H451))</f>
        <v>Online</v>
      </c>
      <c r="I451" s="2" t="str">
        <f aca="false">PROPER(TRIM(Raw_Data!I451))</f>
        <v>Pending</v>
      </c>
      <c r="J451" s="2" t="str">
        <f aca="false">TRIM(UPPER(Raw_Data!J451))</f>
        <v>TRK48688724</v>
      </c>
      <c r="K451" s="2" t="n">
        <f aca="false">Raw_Data!K451</f>
        <v>3</v>
      </c>
      <c r="L451" s="2" t="str">
        <f aca="false">IF(TRIM(Raw_Data!L451)="","No Coupon",TRIM(UPPER(Raw_Data!L451)))</f>
        <v>No Coupon</v>
      </c>
      <c r="M451" s="2" t="str">
        <f aca="false">PROPER(TRIM(Raw_Data!M451))</f>
        <v>Instagram</v>
      </c>
      <c r="N451" s="4" t="n">
        <f aca="false">ROUND(E451*F451,2)</f>
        <v>759.15</v>
      </c>
      <c r="O451" s="2" t="str">
        <f aca="false">IF(COUNTIF($A$2:$A$1201,A451)&gt;1,"DUPLICATE","Unique")</f>
        <v>Unique</v>
      </c>
      <c r="P451" s="2" t="str">
        <f aca="false">IF(L451="","MISSING","OK")</f>
        <v>OK</v>
      </c>
      <c r="Q451" s="2" t="str">
        <f aca="false">IF(ISNUMBER(B451),"OK","BAD DATE")</f>
        <v>OK</v>
      </c>
      <c r="R451" s="2" t="str">
        <f aca="false">IF(ROUND(F451,2)=F451,"OK","FIX")</f>
        <v>OK</v>
      </c>
    </row>
    <row r="452" customFormat="false" ht="15" hidden="false" customHeight="false" outlineLevel="0" collapsed="false">
      <c r="A452" s="2" t="str">
        <f aca="false">TRIM(UPPER(Raw_Data!A452))</f>
        <v>ORD200450</v>
      </c>
      <c r="B452" s="3" t="n">
        <f aca="false">IF(ISNUMBER(Raw_Data!B452),Raw_Data!B452,DATEVALUE(Raw_Data!B452))</f>
        <v>45306</v>
      </c>
      <c r="C452" s="2" t="str">
        <f aca="false">TRIM(UPPER(Raw_Data!C452))</f>
        <v>C36408</v>
      </c>
      <c r="D452" s="2" t="str">
        <f aca="false">PROPER(TRIM(Raw_Data!D452))</f>
        <v>Monitor</v>
      </c>
      <c r="E452" s="2" t="n">
        <f aca="false">Raw_Data!E452</f>
        <v>5</v>
      </c>
      <c r="F452" s="4" t="n">
        <f aca="false">ROUND(Raw_Data!F452,2)</f>
        <v>615.1</v>
      </c>
      <c r="G452" s="2" t="str">
        <f aca="false">PROPER(TRIM(Raw_Data!G452))</f>
        <v>160 Main St</v>
      </c>
      <c r="H452" s="2" t="str">
        <f aca="false">PROPER(TRIM(Raw_Data!H452))</f>
        <v>Gift Card</v>
      </c>
      <c r="I452" s="2" t="str">
        <f aca="false">PROPER(TRIM(Raw_Data!I452))</f>
        <v>Returned</v>
      </c>
      <c r="J452" s="2" t="str">
        <f aca="false">TRIM(UPPER(Raw_Data!J452))</f>
        <v>TRK94023253</v>
      </c>
      <c r="K452" s="2" t="n">
        <f aca="false">Raw_Data!K452</f>
        <v>10</v>
      </c>
      <c r="L452" s="2" t="str">
        <f aca="false">IF(TRIM(Raw_Data!L452)="","No Coupon",TRIM(UPPER(Raw_Data!L452)))</f>
        <v>WINTER15</v>
      </c>
      <c r="M452" s="2" t="str">
        <f aca="false">PROPER(TRIM(Raw_Data!M452))</f>
        <v>Instagram</v>
      </c>
      <c r="N452" s="4" t="n">
        <f aca="false">ROUND(E452*F452,2)</f>
        <v>3075.5</v>
      </c>
      <c r="O452" s="2" t="str">
        <f aca="false">IF(COUNTIF($A$2:$A$1201,A452)&gt;1,"DUPLICATE","Unique")</f>
        <v>Unique</v>
      </c>
      <c r="P452" s="2" t="str">
        <f aca="false">IF(L452="","MISSING","OK")</f>
        <v>OK</v>
      </c>
      <c r="Q452" s="2" t="str">
        <f aca="false">IF(ISNUMBER(B452),"OK","BAD DATE")</f>
        <v>OK</v>
      </c>
      <c r="R452" s="2" t="str">
        <f aca="false">IF(ROUND(F452,2)=F452,"OK","FIX")</f>
        <v>OK</v>
      </c>
    </row>
    <row r="453" customFormat="false" ht="15" hidden="false" customHeight="false" outlineLevel="0" collapsed="false">
      <c r="A453" s="2" t="str">
        <f aca="false">TRIM(UPPER(Raw_Data!A453))</f>
        <v>ORD200451</v>
      </c>
      <c r="B453" s="3" t="n">
        <f aca="false">IF(ISNUMBER(Raw_Data!B453),Raw_Data!B453,DATEVALUE(Raw_Data!B453))</f>
        <v>45017</v>
      </c>
      <c r="C453" s="2" t="str">
        <f aca="false">TRIM(UPPER(Raw_Data!C453))</f>
        <v>C14837</v>
      </c>
      <c r="D453" s="2" t="str">
        <f aca="false">PROPER(TRIM(Raw_Data!D453))</f>
        <v>Monitor</v>
      </c>
      <c r="E453" s="2" t="n">
        <f aca="false">Raw_Data!E453</f>
        <v>1</v>
      </c>
      <c r="F453" s="4" t="n">
        <f aca="false">ROUND(Raw_Data!F453,2)</f>
        <v>183.18</v>
      </c>
      <c r="G453" s="2" t="str">
        <f aca="false">PROPER(TRIM(Raw_Data!G453))</f>
        <v>647 Main St</v>
      </c>
      <c r="H453" s="2" t="str">
        <f aca="false">PROPER(TRIM(Raw_Data!H453))</f>
        <v>Debit Card</v>
      </c>
      <c r="I453" s="2" t="str">
        <f aca="false">PROPER(TRIM(Raw_Data!I453))</f>
        <v>Cancelled</v>
      </c>
      <c r="J453" s="2" t="str">
        <f aca="false">TRIM(UPPER(Raw_Data!J453))</f>
        <v>TRK17501136</v>
      </c>
      <c r="K453" s="2" t="n">
        <f aca="false">Raw_Data!K453</f>
        <v>6</v>
      </c>
      <c r="L453" s="2" t="str">
        <f aca="false">IF(TRIM(Raw_Data!L453)="","No Coupon",TRIM(UPPER(Raw_Data!L453)))</f>
        <v>SAVE10</v>
      </c>
      <c r="M453" s="2" t="str">
        <f aca="false">PROPER(TRIM(Raw_Data!M453))</f>
        <v>Email</v>
      </c>
      <c r="N453" s="4" t="n">
        <f aca="false">ROUND(E453*F453,2)</f>
        <v>183.18</v>
      </c>
      <c r="O453" s="2" t="str">
        <f aca="false">IF(COUNTIF($A$2:$A$1201,A453)&gt;1,"DUPLICATE","Unique")</f>
        <v>Unique</v>
      </c>
      <c r="P453" s="2" t="str">
        <f aca="false">IF(L453="","MISSING","OK")</f>
        <v>OK</v>
      </c>
      <c r="Q453" s="2" t="str">
        <f aca="false">IF(ISNUMBER(B453),"OK","BAD DATE")</f>
        <v>OK</v>
      </c>
      <c r="R453" s="2" t="str">
        <f aca="false">IF(ROUND(F453,2)=F453,"OK","FIX")</f>
        <v>OK</v>
      </c>
    </row>
    <row r="454" customFormat="false" ht="15" hidden="false" customHeight="false" outlineLevel="0" collapsed="false">
      <c r="A454" s="2" t="str">
        <f aca="false">TRIM(UPPER(Raw_Data!A454))</f>
        <v>ORD200452</v>
      </c>
      <c r="B454" s="3" t="n">
        <f aca="false">IF(ISNUMBER(Raw_Data!B454),Raw_Data!B454,DATEVALUE(Raw_Data!B454))</f>
        <v>45130</v>
      </c>
      <c r="C454" s="2" t="str">
        <f aca="false">TRIM(UPPER(Raw_Data!C454))</f>
        <v>C36467</v>
      </c>
      <c r="D454" s="2" t="str">
        <f aca="false">PROPER(TRIM(Raw_Data!D454))</f>
        <v>Printer</v>
      </c>
      <c r="E454" s="2" t="n">
        <f aca="false">Raw_Data!E454</f>
        <v>1</v>
      </c>
      <c r="F454" s="4" t="n">
        <f aca="false">ROUND(Raw_Data!F454,2)</f>
        <v>75.78</v>
      </c>
      <c r="G454" s="2" t="str">
        <f aca="false">PROPER(TRIM(Raw_Data!G454))</f>
        <v>581 Main St</v>
      </c>
      <c r="H454" s="2" t="str">
        <f aca="false">PROPER(TRIM(Raw_Data!H454))</f>
        <v>Cash</v>
      </c>
      <c r="I454" s="2" t="str">
        <f aca="false">PROPER(TRIM(Raw_Data!I454))</f>
        <v>Pending</v>
      </c>
      <c r="J454" s="2" t="str">
        <f aca="false">TRIM(UPPER(Raw_Data!J454))</f>
        <v>TRK20863987</v>
      </c>
      <c r="K454" s="2" t="n">
        <f aca="false">Raw_Data!K454</f>
        <v>5</v>
      </c>
      <c r="L454" s="2" t="str">
        <f aca="false">IF(TRIM(Raw_Data!L454)="","No Coupon",TRIM(UPPER(Raw_Data!L454)))</f>
        <v>SAVE10</v>
      </c>
      <c r="M454" s="2" t="str">
        <f aca="false">PROPER(TRIM(Raw_Data!M454))</f>
        <v>Google</v>
      </c>
      <c r="N454" s="4" t="n">
        <f aca="false">ROUND(E454*F454,2)</f>
        <v>75.78</v>
      </c>
      <c r="O454" s="2" t="str">
        <f aca="false">IF(COUNTIF($A$2:$A$1201,A454)&gt;1,"DUPLICATE","Unique")</f>
        <v>Unique</v>
      </c>
      <c r="P454" s="2" t="str">
        <f aca="false">IF(L454="","MISSING","OK")</f>
        <v>OK</v>
      </c>
      <c r="Q454" s="2" t="str">
        <f aca="false">IF(ISNUMBER(B454),"OK","BAD DATE")</f>
        <v>OK</v>
      </c>
      <c r="R454" s="2" t="str">
        <f aca="false">IF(ROUND(F454,2)=F454,"OK","FIX")</f>
        <v>OK</v>
      </c>
    </row>
    <row r="455" customFormat="false" ht="15" hidden="false" customHeight="false" outlineLevel="0" collapsed="false">
      <c r="A455" s="2" t="str">
        <f aca="false">TRIM(UPPER(Raw_Data!A455))</f>
        <v>ORD200453</v>
      </c>
      <c r="B455" s="3" t="n">
        <f aca="false">IF(ISNUMBER(Raw_Data!B455),Raw_Data!B455,DATEVALUE(Raw_Data!B455))</f>
        <v>45779</v>
      </c>
      <c r="C455" s="2" t="str">
        <f aca="false">TRIM(UPPER(Raw_Data!C455))</f>
        <v>C15017</v>
      </c>
      <c r="D455" s="2" t="str">
        <f aca="false">PROPER(TRIM(Raw_Data!D455))</f>
        <v>Tablet</v>
      </c>
      <c r="E455" s="2" t="n">
        <f aca="false">Raw_Data!E455</f>
        <v>1</v>
      </c>
      <c r="F455" s="4" t="n">
        <f aca="false">ROUND(Raw_Data!F455,2)</f>
        <v>675.57</v>
      </c>
      <c r="G455" s="2" t="str">
        <f aca="false">PROPER(TRIM(Raw_Data!G455))</f>
        <v>492 Main St</v>
      </c>
      <c r="H455" s="2" t="str">
        <f aca="false">PROPER(TRIM(Raw_Data!H455))</f>
        <v>Cash</v>
      </c>
      <c r="I455" s="2" t="str">
        <f aca="false">PROPER(TRIM(Raw_Data!I455))</f>
        <v>Shipped</v>
      </c>
      <c r="J455" s="2" t="str">
        <f aca="false">TRIM(UPPER(Raw_Data!J455))</f>
        <v>TRK51241924</v>
      </c>
      <c r="K455" s="2" t="n">
        <f aca="false">Raw_Data!K455</f>
        <v>1</v>
      </c>
      <c r="L455" s="2" t="str">
        <f aca="false">IF(TRIM(Raw_Data!L455)="","No Coupon",TRIM(UPPER(Raw_Data!L455)))</f>
        <v>WINTER15</v>
      </c>
      <c r="M455" s="2" t="str">
        <f aca="false">PROPER(TRIM(Raw_Data!M455))</f>
        <v>Facebook</v>
      </c>
      <c r="N455" s="4" t="n">
        <f aca="false">ROUND(E455*F455,2)</f>
        <v>675.57</v>
      </c>
      <c r="O455" s="2" t="str">
        <f aca="false">IF(COUNTIF($A$2:$A$1201,A455)&gt;1,"DUPLICATE","Unique")</f>
        <v>Unique</v>
      </c>
      <c r="P455" s="2" t="str">
        <f aca="false">IF(L455="","MISSING","OK")</f>
        <v>OK</v>
      </c>
      <c r="Q455" s="2" t="str">
        <f aca="false">IF(ISNUMBER(B455),"OK","BAD DATE")</f>
        <v>OK</v>
      </c>
      <c r="R455" s="2" t="str">
        <f aca="false">IF(ROUND(F455,2)=F455,"OK","FIX")</f>
        <v>OK</v>
      </c>
    </row>
    <row r="456" customFormat="false" ht="15" hidden="false" customHeight="false" outlineLevel="0" collapsed="false">
      <c r="A456" s="2" t="str">
        <f aca="false">TRIM(UPPER(Raw_Data!A456))</f>
        <v>ORD200454</v>
      </c>
      <c r="B456" s="3" t="n">
        <f aca="false">IF(ISNUMBER(Raw_Data!B456),Raw_Data!B456,DATEVALUE(Raw_Data!B456))</f>
        <v>45623</v>
      </c>
      <c r="C456" s="2" t="str">
        <f aca="false">TRIM(UPPER(Raw_Data!C456))</f>
        <v>C54759</v>
      </c>
      <c r="D456" s="2" t="str">
        <f aca="false">PROPER(TRIM(Raw_Data!D456))</f>
        <v>Laptop</v>
      </c>
      <c r="E456" s="2" t="n">
        <f aca="false">Raw_Data!E456</f>
        <v>1</v>
      </c>
      <c r="F456" s="4" t="n">
        <f aca="false">ROUND(Raw_Data!F456,2)</f>
        <v>109.29</v>
      </c>
      <c r="G456" s="2" t="str">
        <f aca="false">PROPER(TRIM(Raw_Data!G456))</f>
        <v>686 Main St</v>
      </c>
      <c r="H456" s="2" t="str">
        <f aca="false">PROPER(TRIM(Raw_Data!H456))</f>
        <v>Debit Card</v>
      </c>
      <c r="I456" s="2" t="str">
        <f aca="false">PROPER(TRIM(Raw_Data!I456))</f>
        <v>Cancelled</v>
      </c>
      <c r="J456" s="2" t="str">
        <f aca="false">TRIM(UPPER(Raw_Data!J456))</f>
        <v>TRK75583042</v>
      </c>
      <c r="K456" s="2" t="n">
        <f aca="false">Raw_Data!K456</f>
        <v>5</v>
      </c>
      <c r="L456" s="2" t="str">
        <f aca="false">IF(TRIM(Raw_Data!L456)="","No Coupon",TRIM(UPPER(Raw_Data!L456)))</f>
        <v>FREESHIP</v>
      </c>
      <c r="M456" s="2" t="str">
        <f aca="false">PROPER(TRIM(Raw_Data!M456))</f>
        <v>Google</v>
      </c>
      <c r="N456" s="4" t="n">
        <f aca="false">ROUND(E456*F456,2)</f>
        <v>109.29</v>
      </c>
      <c r="O456" s="2" t="str">
        <f aca="false">IF(COUNTIF($A$2:$A$1201,A456)&gt;1,"DUPLICATE","Unique")</f>
        <v>Unique</v>
      </c>
      <c r="P456" s="2" t="str">
        <f aca="false">IF(L456="","MISSING","OK")</f>
        <v>OK</v>
      </c>
      <c r="Q456" s="2" t="str">
        <f aca="false">IF(ISNUMBER(B456),"OK","BAD DATE")</f>
        <v>OK</v>
      </c>
      <c r="R456" s="2" t="str">
        <f aca="false">IF(ROUND(F456,2)=F456,"OK","FIX")</f>
        <v>OK</v>
      </c>
    </row>
    <row r="457" customFormat="false" ht="15" hidden="false" customHeight="false" outlineLevel="0" collapsed="false">
      <c r="A457" s="2" t="str">
        <f aca="false">TRIM(UPPER(Raw_Data!A457))</f>
        <v>ORD200455</v>
      </c>
      <c r="B457" s="3" t="n">
        <f aca="false">IF(ISNUMBER(Raw_Data!B457),Raw_Data!B457,DATEVALUE(Raw_Data!B457))</f>
        <v>45377</v>
      </c>
      <c r="C457" s="2" t="str">
        <f aca="false">TRIM(UPPER(Raw_Data!C457))</f>
        <v>C58341</v>
      </c>
      <c r="D457" s="2" t="str">
        <f aca="false">PROPER(TRIM(Raw_Data!D457))</f>
        <v>Phone</v>
      </c>
      <c r="E457" s="2" t="n">
        <f aca="false">Raw_Data!E457</f>
        <v>1</v>
      </c>
      <c r="F457" s="4" t="n">
        <f aca="false">ROUND(Raw_Data!F457,2)</f>
        <v>639.83</v>
      </c>
      <c r="G457" s="2" t="str">
        <f aca="false">PROPER(TRIM(Raw_Data!G457))</f>
        <v>874 Main St</v>
      </c>
      <c r="H457" s="2" t="str">
        <f aca="false">PROPER(TRIM(Raw_Data!H457))</f>
        <v>Debit Card</v>
      </c>
      <c r="I457" s="2" t="str">
        <f aca="false">PROPER(TRIM(Raw_Data!I457))</f>
        <v>Pending</v>
      </c>
      <c r="J457" s="2" t="str">
        <f aca="false">TRIM(UPPER(Raw_Data!J457))</f>
        <v>TRK32856728</v>
      </c>
      <c r="K457" s="2" t="n">
        <f aca="false">Raw_Data!K457</f>
        <v>2</v>
      </c>
      <c r="L457" s="2" t="str">
        <f aca="false">IF(TRIM(Raw_Data!L457)="","No Coupon",TRIM(UPPER(Raw_Data!L457)))</f>
        <v>SAVE10</v>
      </c>
      <c r="M457" s="2" t="str">
        <f aca="false">PROPER(TRIM(Raw_Data!M457))</f>
        <v>Referral</v>
      </c>
      <c r="N457" s="4" t="n">
        <f aca="false">ROUND(E457*F457,2)</f>
        <v>639.83</v>
      </c>
      <c r="O457" s="2" t="str">
        <f aca="false">IF(COUNTIF($A$2:$A$1201,A457)&gt;1,"DUPLICATE","Unique")</f>
        <v>Unique</v>
      </c>
      <c r="P457" s="2" t="str">
        <f aca="false">IF(L457="","MISSING","OK")</f>
        <v>OK</v>
      </c>
      <c r="Q457" s="2" t="str">
        <f aca="false">IF(ISNUMBER(B457),"OK","BAD DATE")</f>
        <v>OK</v>
      </c>
      <c r="R457" s="2" t="str">
        <f aca="false">IF(ROUND(F457,2)=F457,"OK","FIX")</f>
        <v>OK</v>
      </c>
    </row>
    <row r="458" customFormat="false" ht="15" hidden="false" customHeight="false" outlineLevel="0" collapsed="false">
      <c r="A458" s="2" t="str">
        <f aca="false">TRIM(UPPER(Raw_Data!A458))</f>
        <v>ORD200456</v>
      </c>
      <c r="B458" s="3" t="n">
        <f aca="false">IF(ISNUMBER(Raw_Data!B458),Raw_Data!B458,DATEVALUE(Raw_Data!B458))</f>
        <v>45103</v>
      </c>
      <c r="C458" s="2" t="str">
        <f aca="false">TRIM(UPPER(Raw_Data!C458))</f>
        <v>C94479</v>
      </c>
      <c r="D458" s="2" t="str">
        <f aca="false">PROPER(TRIM(Raw_Data!D458))</f>
        <v>Desk</v>
      </c>
      <c r="E458" s="2" t="n">
        <f aca="false">Raw_Data!E458</f>
        <v>5</v>
      </c>
      <c r="F458" s="4" t="n">
        <f aca="false">ROUND(Raw_Data!F458,2)</f>
        <v>62.81</v>
      </c>
      <c r="G458" s="2" t="str">
        <f aca="false">PROPER(TRIM(Raw_Data!G458))</f>
        <v>259 Main St</v>
      </c>
      <c r="H458" s="2" t="str">
        <f aca="false">PROPER(TRIM(Raw_Data!H458))</f>
        <v>Credit Card</v>
      </c>
      <c r="I458" s="2" t="str">
        <f aca="false">PROPER(TRIM(Raw_Data!I458))</f>
        <v>Shipped</v>
      </c>
      <c r="J458" s="2" t="str">
        <f aca="false">TRIM(UPPER(Raw_Data!J458))</f>
        <v>TRK69089975</v>
      </c>
      <c r="K458" s="2" t="n">
        <f aca="false">Raw_Data!K458</f>
        <v>9</v>
      </c>
      <c r="L458" s="2" t="str">
        <f aca="false">IF(TRIM(Raw_Data!L458)="","No Coupon",TRIM(UPPER(Raw_Data!L458)))</f>
        <v>SAVE10</v>
      </c>
      <c r="M458" s="2" t="str">
        <f aca="false">PROPER(TRIM(Raw_Data!M458))</f>
        <v>Facebook</v>
      </c>
      <c r="N458" s="4" t="n">
        <f aca="false">ROUND(E458*F458,2)</f>
        <v>314.05</v>
      </c>
      <c r="O458" s="2" t="str">
        <f aca="false">IF(COUNTIF($A$2:$A$1201,A458)&gt;1,"DUPLICATE","Unique")</f>
        <v>Unique</v>
      </c>
      <c r="P458" s="2" t="str">
        <f aca="false">IF(L458="","MISSING","OK")</f>
        <v>OK</v>
      </c>
      <c r="Q458" s="2" t="str">
        <f aca="false">IF(ISNUMBER(B458),"OK","BAD DATE")</f>
        <v>OK</v>
      </c>
      <c r="R458" s="2" t="str">
        <f aca="false">IF(ROUND(F458,2)=F458,"OK","FIX")</f>
        <v>OK</v>
      </c>
    </row>
    <row r="459" customFormat="false" ht="15" hidden="false" customHeight="false" outlineLevel="0" collapsed="false">
      <c r="A459" s="2" t="str">
        <f aca="false">TRIM(UPPER(Raw_Data!A459))</f>
        <v>ORD200457</v>
      </c>
      <c r="B459" s="3" t="n">
        <f aca="false">IF(ISNUMBER(Raw_Data!B459),Raw_Data!B459,DATEVALUE(Raw_Data!B459))</f>
        <v>45802</v>
      </c>
      <c r="C459" s="2" t="str">
        <f aca="false">TRIM(UPPER(Raw_Data!C459))</f>
        <v>C50236</v>
      </c>
      <c r="D459" s="2" t="str">
        <f aca="false">PROPER(TRIM(Raw_Data!D459))</f>
        <v>Desk</v>
      </c>
      <c r="E459" s="2" t="n">
        <f aca="false">Raw_Data!E459</f>
        <v>4</v>
      </c>
      <c r="F459" s="4" t="n">
        <f aca="false">ROUND(Raw_Data!F459,2)</f>
        <v>615.83</v>
      </c>
      <c r="G459" s="2" t="str">
        <f aca="false">PROPER(TRIM(Raw_Data!G459))</f>
        <v>545 Main St</v>
      </c>
      <c r="H459" s="2" t="str">
        <f aca="false">PROPER(TRIM(Raw_Data!H459))</f>
        <v>Online</v>
      </c>
      <c r="I459" s="2" t="str">
        <f aca="false">PROPER(TRIM(Raw_Data!I459))</f>
        <v>Returned</v>
      </c>
      <c r="J459" s="2" t="str">
        <f aca="false">TRIM(UPPER(Raw_Data!J459))</f>
        <v>TRK67692578</v>
      </c>
      <c r="K459" s="2" t="n">
        <f aca="false">Raw_Data!K459</f>
        <v>4</v>
      </c>
      <c r="L459" s="2" t="str">
        <f aca="false">IF(TRIM(Raw_Data!L459)="","No Coupon",TRIM(UPPER(Raw_Data!L459)))</f>
        <v>WINTER15</v>
      </c>
      <c r="M459" s="2" t="str">
        <f aca="false">PROPER(TRIM(Raw_Data!M459))</f>
        <v>Instagram</v>
      </c>
      <c r="N459" s="4" t="n">
        <f aca="false">ROUND(E459*F459,2)</f>
        <v>2463.32</v>
      </c>
      <c r="O459" s="2" t="str">
        <f aca="false">IF(COUNTIF($A$2:$A$1201,A459)&gt;1,"DUPLICATE","Unique")</f>
        <v>Unique</v>
      </c>
      <c r="P459" s="2" t="str">
        <f aca="false">IF(L459="","MISSING","OK")</f>
        <v>OK</v>
      </c>
      <c r="Q459" s="2" t="str">
        <f aca="false">IF(ISNUMBER(B459),"OK","BAD DATE")</f>
        <v>OK</v>
      </c>
      <c r="R459" s="2" t="str">
        <f aca="false">IF(ROUND(F459,2)=F459,"OK","FIX")</f>
        <v>OK</v>
      </c>
    </row>
    <row r="460" customFormat="false" ht="15" hidden="false" customHeight="false" outlineLevel="0" collapsed="false">
      <c r="A460" s="2" t="str">
        <f aca="false">TRIM(UPPER(Raw_Data!A460))</f>
        <v>ORD200458</v>
      </c>
      <c r="B460" s="3" t="n">
        <f aca="false">IF(ISNUMBER(Raw_Data!B460),Raw_Data!B460,DATEVALUE(Raw_Data!B460))</f>
        <v>45475</v>
      </c>
      <c r="C460" s="2" t="str">
        <f aca="false">TRIM(UPPER(Raw_Data!C460))</f>
        <v>C31412</v>
      </c>
      <c r="D460" s="2" t="str">
        <f aca="false">PROPER(TRIM(Raw_Data!D460))</f>
        <v>Monitor</v>
      </c>
      <c r="E460" s="2" t="n">
        <f aca="false">Raw_Data!E460</f>
        <v>4</v>
      </c>
      <c r="F460" s="4" t="n">
        <f aca="false">ROUND(Raw_Data!F460,2)</f>
        <v>510.58</v>
      </c>
      <c r="G460" s="2" t="str">
        <f aca="false">PROPER(TRIM(Raw_Data!G460))</f>
        <v>196 Main St</v>
      </c>
      <c r="H460" s="2" t="str">
        <f aca="false">PROPER(TRIM(Raw_Data!H460))</f>
        <v>Credit Card</v>
      </c>
      <c r="I460" s="2" t="str">
        <f aca="false">PROPER(TRIM(Raw_Data!I460))</f>
        <v>Returned</v>
      </c>
      <c r="J460" s="2" t="str">
        <f aca="false">TRIM(UPPER(Raw_Data!J460))</f>
        <v>TRK61946127</v>
      </c>
      <c r="K460" s="2" t="n">
        <f aca="false">Raw_Data!K460</f>
        <v>7</v>
      </c>
      <c r="L460" s="2" t="str">
        <f aca="false">IF(TRIM(Raw_Data!L460)="","No Coupon",TRIM(UPPER(Raw_Data!L460)))</f>
        <v>WINTER15</v>
      </c>
      <c r="M460" s="2" t="str">
        <f aca="false">PROPER(TRIM(Raw_Data!M460))</f>
        <v>Email</v>
      </c>
      <c r="N460" s="4" t="n">
        <f aca="false">ROUND(E460*F460,2)</f>
        <v>2042.32</v>
      </c>
      <c r="O460" s="2" t="str">
        <f aca="false">IF(COUNTIF($A$2:$A$1201,A460)&gt;1,"DUPLICATE","Unique")</f>
        <v>Unique</v>
      </c>
      <c r="P460" s="2" t="str">
        <f aca="false">IF(L460="","MISSING","OK")</f>
        <v>OK</v>
      </c>
      <c r="Q460" s="2" t="str">
        <f aca="false">IF(ISNUMBER(B460),"OK","BAD DATE")</f>
        <v>OK</v>
      </c>
      <c r="R460" s="2" t="str">
        <f aca="false">IF(ROUND(F460,2)=F460,"OK","FIX")</f>
        <v>OK</v>
      </c>
    </row>
    <row r="461" customFormat="false" ht="15" hidden="false" customHeight="false" outlineLevel="0" collapsed="false">
      <c r="A461" s="2" t="str">
        <f aca="false">TRIM(UPPER(Raw_Data!A461))</f>
        <v>ORD200459</v>
      </c>
      <c r="B461" s="3" t="n">
        <f aca="false">IF(ISNUMBER(Raw_Data!B461),Raw_Data!B461,DATEVALUE(Raw_Data!B461))</f>
        <v>45497</v>
      </c>
      <c r="C461" s="2" t="str">
        <f aca="false">TRIM(UPPER(Raw_Data!C461))</f>
        <v>C90142</v>
      </c>
      <c r="D461" s="2" t="str">
        <f aca="false">PROPER(TRIM(Raw_Data!D461))</f>
        <v>Desk</v>
      </c>
      <c r="E461" s="2" t="n">
        <f aca="false">Raw_Data!E461</f>
        <v>1</v>
      </c>
      <c r="F461" s="4" t="n">
        <f aca="false">ROUND(Raw_Data!F461,2)</f>
        <v>334.39</v>
      </c>
      <c r="G461" s="2" t="str">
        <f aca="false">PROPER(TRIM(Raw_Data!G461))</f>
        <v>433 Main St</v>
      </c>
      <c r="H461" s="2" t="str">
        <f aca="false">PROPER(TRIM(Raw_Data!H461))</f>
        <v>Credit Card</v>
      </c>
      <c r="I461" s="2" t="str">
        <f aca="false">PROPER(TRIM(Raw_Data!I461))</f>
        <v>Returned</v>
      </c>
      <c r="J461" s="2" t="str">
        <f aca="false">TRIM(UPPER(Raw_Data!J461))</f>
        <v>TRK39717191</v>
      </c>
      <c r="K461" s="2" t="n">
        <f aca="false">Raw_Data!K461</f>
        <v>2</v>
      </c>
      <c r="L461" s="2" t="str">
        <f aca="false">IF(TRIM(Raw_Data!L461)="","No Coupon",TRIM(UPPER(Raw_Data!L461)))</f>
        <v>No Coupon</v>
      </c>
      <c r="M461" s="2" t="str">
        <f aca="false">PROPER(TRIM(Raw_Data!M461))</f>
        <v>Instagram</v>
      </c>
      <c r="N461" s="4" t="n">
        <f aca="false">ROUND(E461*F461,2)</f>
        <v>334.39</v>
      </c>
      <c r="O461" s="2" t="str">
        <f aca="false">IF(COUNTIF($A$2:$A$1201,A461)&gt;1,"DUPLICATE","Unique")</f>
        <v>Unique</v>
      </c>
      <c r="P461" s="2" t="str">
        <f aca="false">IF(L461="","MISSING","OK")</f>
        <v>OK</v>
      </c>
      <c r="Q461" s="2" t="str">
        <f aca="false">IF(ISNUMBER(B461),"OK","BAD DATE")</f>
        <v>OK</v>
      </c>
      <c r="R461" s="2" t="str">
        <f aca="false">IF(ROUND(F461,2)=F461,"OK","FIX")</f>
        <v>OK</v>
      </c>
    </row>
    <row r="462" customFormat="false" ht="15" hidden="false" customHeight="false" outlineLevel="0" collapsed="false">
      <c r="A462" s="2" t="str">
        <f aca="false">TRIM(UPPER(Raw_Data!A462))</f>
        <v>ORD200460</v>
      </c>
      <c r="B462" s="3" t="n">
        <f aca="false">IF(ISNUMBER(Raw_Data!B462),Raw_Data!B462,DATEVALUE(Raw_Data!B462))</f>
        <v>45571</v>
      </c>
      <c r="C462" s="2" t="str">
        <f aca="false">TRIM(UPPER(Raw_Data!C462))</f>
        <v>C83548</v>
      </c>
      <c r="D462" s="2" t="str">
        <f aca="false">PROPER(TRIM(Raw_Data!D462))</f>
        <v>Laptop</v>
      </c>
      <c r="E462" s="2" t="n">
        <f aca="false">Raw_Data!E462</f>
        <v>1</v>
      </c>
      <c r="F462" s="4" t="n">
        <f aca="false">ROUND(Raw_Data!F462,2)</f>
        <v>144.25</v>
      </c>
      <c r="G462" s="2" t="str">
        <f aca="false">PROPER(TRIM(Raw_Data!G462))</f>
        <v>474 Main St</v>
      </c>
      <c r="H462" s="2" t="str">
        <f aca="false">PROPER(TRIM(Raw_Data!H462))</f>
        <v>Cash</v>
      </c>
      <c r="I462" s="2" t="str">
        <f aca="false">PROPER(TRIM(Raw_Data!I462))</f>
        <v>Returned</v>
      </c>
      <c r="J462" s="2" t="str">
        <f aca="false">TRIM(UPPER(Raw_Data!J462))</f>
        <v>TRK93822942</v>
      </c>
      <c r="K462" s="2" t="n">
        <f aca="false">Raw_Data!K462</f>
        <v>2</v>
      </c>
      <c r="L462" s="2" t="str">
        <f aca="false">IF(TRIM(Raw_Data!L462)="","No Coupon",TRIM(UPPER(Raw_Data!L462)))</f>
        <v>WINTER15</v>
      </c>
      <c r="M462" s="2" t="str">
        <f aca="false">PROPER(TRIM(Raw_Data!M462))</f>
        <v>Referral</v>
      </c>
      <c r="N462" s="4" t="n">
        <f aca="false">ROUND(E462*F462,2)</f>
        <v>144.25</v>
      </c>
      <c r="O462" s="2" t="str">
        <f aca="false">IF(COUNTIF($A$2:$A$1201,A462)&gt;1,"DUPLICATE","Unique")</f>
        <v>Unique</v>
      </c>
      <c r="P462" s="2" t="str">
        <f aca="false">IF(L462="","MISSING","OK")</f>
        <v>OK</v>
      </c>
      <c r="Q462" s="2" t="str">
        <f aca="false">IF(ISNUMBER(B462),"OK","BAD DATE")</f>
        <v>OK</v>
      </c>
      <c r="R462" s="2" t="str">
        <f aca="false">IF(ROUND(F462,2)=F462,"OK","FIX")</f>
        <v>OK</v>
      </c>
    </row>
    <row r="463" customFormat="false" ht="15" hidden="false" customHeight="false" outlineLevel="0" collapsed="false">
      <c r="A463" s="2" t="str">
        <f aca="false">TRIM(UPPER(Raw_Data!A463))</f>
        <v>ORD200461</v>
      </c>
      <c r="B463" s="3" t="n">
        <f aca="false">IF(ISNUMBER(Raw_Data!B463),Raw_Data!B463,DATEVALUE(Raw_Data!B463))</f>
        <v>45451</v>
      </c>
      <c r="C463" s="2" t="str">
        <f aca="false">TRIM(UPPER(Raw_Data!C463))</f>
        <v>C29697</v>
      </c>
      <c r="D463" s="2" t="str">
        <f aca="false">PROPER(TRIM(Raw_Data!D463))</f>
        <v>Tablet</v>
      </c>
      <c r="E463" s="2" t="n">
        <f aca="false">Raw_Data!E463</f>
        <v>1</v>
      </c>
      <c r="F463" s="4" t="n">
        <f aca="false">ROUND(Raw_Data!F463,2)</f>
        <v>401.82</v>
      </c>
      <c r="G463" s="2" t="str">
        <f aca="false">PROPER(TRIM(Raw_Data!G463))</f>
        <v>407 Main St</v>
      </c>
      <c r="H463" s="2" t="str">
        <f aca="false">PROPER(TRIM(Raw_Data!H463))</f>
        <v>Credit Card</v>
      </c>
      <c r="I463" s="2" t="str">
        <f aca="false">PROPER(TRIM(Raw_Data!I463))</f>
        <v>Shipped</v>
      </c>
      <c r="J463" s="2" t="str">
        <f aca="false">TRIM(UPPER(Raw_Data!J463))</f>
        <v>TRK47776482</v>
      </c>
      <c r="K463" s="2" t="n">
        <f aca="false">Raw_Data!K463</f>
        <v>5</v>
      </c>
      <c r="L463" s="2" t="str">
        <f aca="false">IF(TRIM(Raw_Data!L463)="","No Coupon",TRIM(UPPER(Raw_Data!L463)))</f>
        <v>FREESHIP</v>
      </c>
      <c r="M463" s="2" t="str">
        <f aca="false">PROPER(TRIM(Raw_Data!M463))</f>
        <v>Google</v>
      </c>
      <c r="N463" s="4" t="n">
        <f aca="false">ROUND(E463*F463,2)</f>
        <v>401.82</v>
      </c>
      <c r="O463" s="2" t="str">
        <f aca="false">IF(COUNTIF($A$2:$A$1201,A463)&gt;1,"DUPLICATE","Unique")</f>
        <v>Unique</v>
      </c>
      <c r="P463" s="2" t="str">
        <f aca="false">IF(L463="","MISSING","OK")</f>
        <v>OK</v>
      </c>
      <c r="Q463" s="2" t="str">
        <f aca="false">IF(ISNUMBER(B463),"OK","BAD DATE")</f>
        <v>OK</v>
      </c>
      <c r="R463" s="2" t="str">
        <f aca="false">IF(ROUND(F463,2)=F463,"OK","FIX")</f>
        <v>OK</v>
      </c>
    </row>
    <row r="464" customFormat="false" ht="15" hidden="false" customHeight="false" outlineLevel="0" collapsed="false">
      <c r="A464" s="2" t="str">
        <f aca="false">TRIM(UPPER(Raw_Data!A464))</f>
        <v>ORD200462</v>
      </c>
      <c r="B464" s="3" t="n">
        <f aca="false">IF(ISNUMBER(Raw_Data!B464),Raw_Data!B464,DATEVALUE(Raw_Data!B464))</f>
        <v>45747</v>
      </c>
      <c r="C464" s="2" t="str">
        <f aca="false">TRIM(UPPER(Raw_Data!C464))</f>
        <v>C22991</v>
      </c>
      <c r="D464" s="2" t="str">
        <f aca="false">PROPER(TRIM(Raw_Data!D464))</f>
        <v>Phone</v>
      </c>
      <c r="E464" s="2" t="n">
        <f aca="false">Raw_Data!E464</f>
        <v>1</v>
      </c>
      <c r="F464" s="4" t="n">
        <f aca="false">ROUND(Raw_Data!F464,2)</f>
        <v>252.68</v>
      </c>
      <c r="G464" s="2" t="str">
        <f aca="false">PROPER(TRIM(Raw_Data!G464))</f>
        <v>731 Main St</v>
      </c>
      <c r="H464" s="2" t="str">
        <f aca="false">PROPER(TRIM(Raw_Data!H464))</f>
        <v>Online</v>
      </c>
      <c r="I464" s="2" t="str">
        <f aca="false">PROPER(TRIM(Raw_Data!I464))</f>
        <v>Cancelled</v>
      </c>
      <c r="J464" s="2" t="str">
        <f aca="false">TRIM(UPPER(Raw_Data!J464))</f>
        <v>TRK32796086</v>
      </c>
      <c r="K464" s="2" t="n">
        <f aca="false">Raw_Data!K464</f>
        <v>1</v>
      </c>
      <c r="L464" s="2" t="str">
        <f aca="false">IF(TRIM(Raw_Data!L464)="","No Coupon",TRIM(UPPER(Raw_Data!L464)))</f>
        <v>No Coupon</v>
      </c>
      <c r="M464" s="2" t="str">
        <f aca="false">PROPER(TRIM(Raw_Data!M464))</f>
        <v>Referral</v>
      </c>
      <c r="N464" s="4" t="n">
        <f aca="false">ROUND(E464*F464,2)</f>
        <v>252.68</v>
      </c>
      <c r="O464" s="2" t="str">
        <f aca="false">IF(COUNTIF($A$2:$A$1201,A464)&gt;1,"DUPLICATE","Unique")</f>
        <v>Unique</v>
      </c>
      <c r="P464" s="2" t="str">
        <f aca="false">IF(L464="","MISSING","OK")</f>
        <v>OK</v>
      </c>
      <c r="Q464" s="2" t="str">
        <f aca="false">IF(ISNUMBER(B464),"OK","BAD DATE")</f>
        <v>OK</v>
      </c>
      <c r="R464" s="2" t="str">
        <f aca="false">IF(ROUND(F464,2)=F464,"OK","FIX")</f>
        <v>OK</v>
      </c>
    </row>
    <row r="465" customFormat="false" ht="15" hidden="false" customHeight="false" outlineLevel="0" collapsed="false">
      <c r="A465" s="2" t="str">
        <f aca="false">TRIM(UPPER(Raw_Data!A465))</f>
        <v>ORD200463</v>
      </c>
      <c r="B465" s="3" t="n">
        <f aca="false">IF(ISNUMBER(Raw_Data!B465),Raw_Data!B465,DATEVALUE(Raw_Data!B465))</f>
        <v>45072</v>
      </c>
      <c r="C465" s="2" t="str">
        <f aca="false">TRIM(UPPER(Raw_Data!C465))</f>
        <v>C25276</v>
      </c>
      <c r="D465" s="2" t="str">
        <f aca="false">PROPER(TRIM(Raw_Data!D465))</f>
        <v>Laptop</v>
      </c>
      <c r="E465" s="2" t="n">
        <f aca="false">Raw_Data!E465</f>
        <v>5</v>
      </c>
      <c r="F465" s="4" t="n">
        <f aca="false">ROUND(Raw_Data!F465,2)</f>
        <v>662.78</v>
      </c>
      <c r="G465" s="2" t="str">
        <f aca="false">PROPER(TRIM(Raw_Data!G465))</f>
        <v>214 Main St</v>
      </c>
      <c r="H465" s="2" t="str">
        <f aca="false">PROPER(TRIM(Raw_Data!H465))</f>
        <v>Debit Card</v>
      </c>
      <c r="I465" s="2" t="str">
        <f aca="false">PROPER(TRIM(Raw_Data!I465))</f>
        <v>Shipped</v>
      </c>
      <c r="J465" s="2" t="str">
        <f aca="false">TRIM(UPPER(Raw_Data!J465))</f>
        <v>TRK14011732</v>
      </c>
      <c r="K465" s="2" t="n">
        <f aca="false">Raw_Data!K465</f>
        <v>9</v>
      </c>
      <c r="L465" s="2" t="str">
        <f aca="false">IF(TRIM(Raw_Data!L465)="","No Coupon",TRIM(UPPER(Raw_Data!L465)))</f>
        <v>SAVE10</v>
      </c>
      <c r="M465" s="2" t="str">
        <f aca="false">PROPER(TRIM(Raw_Data!M465))</f>
        <v>Instagram</v>
      </c>
      <c r="N465" s="4" t="n">
        <f aca="false">ROUND(E465*F465,2)</f>
        <v>3313.9</v>
      </c>
      <c r="O465" s="2" t="str">
        <f aca="false">IF(COUNTIF($A$2:$A$1201,A465)&gt;1,"DUPLICATE","Unique")</f>
        <v>Unique</v>
      </c>
      <c r="P465" s="2" t="str">
        <f aca="false">IF(L465="","MISSING","OK")</f>
        <v>OK</v>
      </c>
      <c r="Q465" s="2" t="str">
        <f aca="false">IF(ISNUMBER(B465),"OK","BAD DATE")</f>
        <v>OK</v>
      </c>
      <c r="R465" s="2" t="str">
        <f aca="false">IF(ROUND(F465,2)=F465,"OK","FIX")</f>
        <v>OK</v>
      </c>
    </row>
    <row r="466" customFormat="false" ht="15" hidden="false" customHeight="false" outlineLevel="0" collapsed="false">
      <c r="A466" s="2" t="str">
        <f aca="false">TRIM(UPPER(Raw_Data!A466))</f>
        <v>ORD200464</v>
      </c>
      <c r="B466" s="3" t="n">
        <f aca="false">IF(ISNUMBER(Raw_Data!B466),Raw_Data!B466,DATEVALUE(Raw_Data!B466))</f>
        <v>44999</v>
      </c>
      <c r="C466" s="2" t="str">
        <f aca="false">TRIM(UPPER(Raw_Data!C466))</f>
        <v>C39176</v>
      </c>
      <c r="D466" s="2" t="str">
        <f aca="false">PROPER(TRIM(Raw_Data!D466))</f>
        <v>Tablet</v>
      </c>
      <c r="E466" s="2" t="n">
        <f aca="false">Raw_Data!E466</f>
        <v>4</v>
      </c>
      <c r="F466" s="4" t="n">
        <f aca="false">ROUND(Raw_Data!F466,2)</f>
        <v>434.42</v>
      </c>
      <c r="G466" s="2" t="str">
        <f aca="false">PROPER(TRIM(Raw_Data!G466))</f>
        <v>739 Main St</v>
      </c>
      <c r="H466" s="2" t="str">
        <f aca="false">PROPER(TRIM(Raw_Data!H466))</f>
        <v>Online</v>
      </c>
      <c r="I466" s="2" t="str">
        <f aca="false">PROPER(TRIM(Raw_Data!I466))</f>
        <v>Cancelled</v>
      </c>
      <c r="J466" s="2" t="str">
        <f aca="false">TRIM(UPPER(Raw_Data!J466))</f>
        <v>TRK71418686</v>
      </c>
      <c r="K466" s="2" t="n">
        <f aca="false">Raw_Data!K466</f>
        <v>6</v>
      </c>
      <c r="L466" s="2" t="str">
        <f aca="false">IF(TRIM(Raw_Data!L466)="","No Coupon",TRIM(UPPER(Raw_Data!L466)))</f>
        <v>FREESHIP</v>
      </c>
      <c r="M466" s="2" t="str">
        <f aca="false">PROPER(TRIM(Raw_Data!M466))</f>
        <v>Google</v>
      </c>
      <c r="N466" s="4" t="n">
        <f aca="false">ROUND(E466*F466,2)</f>
        <v>1737.68</v>
      </c>
      <c r="O466" s="2" t="str">
        <f aca="false">IF(COUNTIF($A$2:$A$1201,A466)&gt;1,"DUPLICATE","Unique")</f>
        <v>Unique</v>
      </c>
      <c r="P466" s="2" t="str">
        <f aca="false">IF(L466="","MISSING","OK")</f>
        <v>OK</v>
      </c>
      <c r="Q466" s="2" t="str">
        <f aca="false">IF(ISNUMBER(B466),"OK","BAD DATE")</f>
        <v>OK</v>
      </c>
      <c r="R466" s="2" t="str">
        <f aca="false">IF(ROUND(F466,2)=F466,"OK","FIX")</f>
        <v>OK</v>
      </c>
    </row>
    <row r="467" customFormat="false" ht="15" hidden="false" customHeight="false" outlineLevel="0" collapsed="false">
      <c r="A467" s="2" t="str">
        <f aca="false">TRIM(UPPER(Raw_Data!A467))</f>
        <v>ORD200465</v>
      </c>
      <c r="B467" s="3" t="n">
        <f aca="false">IF(ISNUMBER(Raw_Data!B467),Raw_Data!B467,DATEVALUE(Raw_Data!B467))</f>
        <v>45348</v>
      </c>
      <c r="C467" s="2" t="str">
        <f aca="false">TRIM(UPPER(Raw_Data!C467))</f>
        <v>C58773</v>
      </c>
      <c r="D467" s="2" t="str">
        <f aca="false">PROPER(TRIM(Raw_Data!D467))</f>
        <v>Printer</v>
      </c>
      <c r="E467" s="2" t="n">
        <f aca="false">Raw_Data!E467</f>
        <v>5</v>
      </c>
      <c r="F467" s="4" t="n">
        <f aca="false">ROUND(Raw_Data!F467,2)</f>
        <v>513.49</v>
      </c>
      <c r="G467" s="2" t="str">
        <f aca="false">PROPER(TRIM(Raw_Data!G467))</f>
        <v>391 Main St</v>
      </c>
      <c r="H467" s="2" t="str">
        <f aca="false">PROPER(TRIM(Raw_Data!H467))</f>
        <v>Gift Card</v>
      </c>
      <c r="I467" s="2" t="str">
        <f aca="false">PROPER(TRIM(Raw_Data!I467))</f>
        <v>Cancelled</v>
      </c>
      <c r="J467" s="2" t="str">
        <f aca="false">TRIM(UPPER(Raw_Data!J467))</f>
        <v>TRK65438300</v>
      </c>
      <c r="K467" s="2" t="n">
        <f aca="false">Raw_Data!K467</f>
        <v>8</v>
      </c>
      <c r="L467" s="2" t="str">
        <f aca="false">IF(TRIM(Raw_Data!L467)="","No Coupon",TRIM(UPPER(Raw_Data!L467)))</f>
        <v>No Coupon</v>
      </c>
      <c r="M467" s="2" t="str">
        <f aca="false">PROPER(TRIM(Raw_Data!M467))</f>
        <v>Google</v>
      </c>
      <c r="N467" s="4" t="n">
        <f aca="false">ROUND(E467*F467,2)</f>
        <v>2567.45</v>
      </c>
      <c r="O467" s="2" t="str">
        <f aca="false">IF(COUNTIF($A$2:$A$1201,A467)&gt;1,"DUPLICATE","Unique")</f>
        <v>Unique</v>
      </c>
      <c r="P467" s="2" t="str">
        <f aca="false">IF(L467="","MISSING","OK")</f>
        <v>OK</v>
      </c>
      <c r="Q467" s="2" t="str">
        <f aca="false">IF(ISNUMBER(B467),"OK","BAD DATE")</f>
        <v>OK</v>
      </c>
      <c r="R467" s="2" t="str">
        <f aca="false">IF(ROUND(F467,2)=F467,"OK","FIX")</f>
        <v>OK</v>
      </c>
    </row>
    <row r="468" customFormat="false" ht="15" hidden="false" customHeight="false" outlineLevel="0" collapsed="false">
      <c r="A468" s="2" t="str">
        <f aca="false">TRIM(UPPER(Raw_Data!A468))</f>
        <v>ORD200466</v>
      </c>
      <c r="B468" s="3" t="n">
        <f aca="false">IF(ISNUMBER(Raw_Data!B468),Raw_Data!B468,DATEVALUE(Raw_Data!B468))</f>
        <v>45125</v>
      </c>
      <c r="C468" s="2" t="str">
        <f aca="false">TRIM(UPPER(Raw_Data!C468))</f>
        <v>C37412</v>
      </c>
      <c r="D468" s="2" t="str">
        <f aca="false">PROPER(TRIM(Raw_Data!D468))</f>
        <v>Phone</v>
      </c>
      <c r="E468" s="2" t="n">
        <f aca="false">Raw_Data!E468</f>
        <v>1</v>
      </c>
      <c r="F468" s="4" t="n">
        <f aca="false">ROUND(Raw_Data!F468,2)</f>
        <v>432.47</v>
      </c>
      <c r="G468" s="2" t="str">
        <f aca="false">PROPER(TRIM(Raw_Data!G468))</f>
        <v>895 Main St</v>
      </c>
      <c r="H468" s="2" t="str">
        <f aca="false">PROPER(TRIM(Raw_Data!H468))</f>
        <v>Cash</v>
      </c>
      <c r="I468" s="2" t="str">
        <f aca="false">PROPER(TRIM(Raw_Data!I468))</f>
        <v>Delivered</v>
      </c>
      <c r="J468" s="2" t="str">
        <f aca="false">TRIM(UPPER(Raw_Data!J468))</f>
        <v>TRK97829604</v>
      </c>
      <c r="K468" s="2" t="n">
        <f aca="false">Raw_Data!K468</f>
        <v>4</v>
      </c>
      <c r="L468" s="2" t="str">
        <f aca="false">IF(TRIM(Raw_Data!L468)="","No Coupon",TRIM(UPPER(Raw_Data!L468)))</f>
        <v>FREESHIP</v>
      </c>
      <c r="M468" s="2" t="str">
        <f aca="false">PROPER(TRIM(Raw_Data!M468))</f>
        <v>Referral</v>
      </c>
      <c r="N468" s="4" t="n">
        <f aca="false">ROUND(E468*F468,2)</f>
        <v>432.47</v>
      </c>
      <c r="O468" s="2" t="str">
        <f aca="false">IF(COUNTIF($A$2:$A$1201,A468)&gt;1,"DUPLICATE","Unique")</f>
        <v>Unique</v>
      </c>
      <c r="P468" s="2" t="str">
        <f aca="false">IF(L468="","MISSING","OK")</f>
        <v>OK</v>
      </c>
      <c r="Q468" s="2" t="str">
        <f aca="false">IF(ISNUMBER(B468),"OK","BAD DATE")</f>
        <v>OK</v>
      </c>
      <c r="R468" s="2" t="str">
        <f aca="false">IF(ROUND(F468,2)=F468,"OK","FIX")</f>
        <v>OK</v>
      </c>
    </row>
    <row r="469" customFormat="false" ht="15" hidden="false" customHeight="false" outlineLevel="0" collapsed="false">
      <c r="A469" s="2" t="str">
        <f aca="false">TRIM(UPPER(Raw_Data!A469))</f>
        <v>ORD200467</v>
      </c>
      <c r="B469" s="3" t="n">
        <f aca="false">IF(ISNUMBER(Raw_Data!B469),Raw_Data!B469,DATEVALUE(Raw_Data!B469))</f>
        <v>45534</v>
      </c>
      <c r="C469" s="2" t="str">
        <f aca="false">TRIM(UPPER(Raw_Data!C469))</f>
        <v>C36492</v>
      </c>
      <c r="D469" s="2" t="str">
        <f aca="false">PROPER(TRIM(Raw_Data!D469))</f>
        <v>Desk</v>
      </c>
      <c r="E469" s="2" t="n">
        <f aca="false">Raw_Data!E469</f>
        <v>1</v>
      </c>
      <c r="F469" s="4" t="n">
        <f aca="false">ROUND(Raw_Data!F469,2)</f>
        <v>45.94</v>
      </c>
      <c r="G469" s="2" t="str">
        <f aca="false">PROPER(TRIM(Raw_Data!G469))</f>
        <v>572 Main St</v>
      </c>
      <c r="H469" s="2" t="str">
        <f aca="false">PROPER(TRIM(Raw_Data!H469))</f>
        <v>Cash</v>
      </c>
      <c r="I469" s="2" t="str">
        <f aca="false">PROPER(TRIM(Raw_Data!I469))</f>
        <v>Cancelled</v>
      </c>
      <c r="J469" s="2" t="str">
        <f aca="false">TRIM(UPPER(Raw_Data!J469))</f>
        <v>TRK44350440</v>
      </c>
      <c r="K469" s="2" t="n">
        <f aca="false">Raw_Data!K469</f>
        <v>2</v>
      </c>
      <c r="L469" s="2" t="str">
        <f aca="false">IF(TRIM(Raw_Data!L469)="","No Coupon",TRIM(UPPER(Raw_Data!L469)))</f>
        <v>WINTER15</v>
      </c>
      <c r="M469" s="2" t="str">
        <f aca="false">PROPER(TRIM(Raw_Data!M469))</f>
        <v>Email</v>
      </c>
      <c r="N469" s="4" t="n">
        <f aca="false">ROUND(E469*F469,2)</f>
        <v>45.94</v>
      </c>
      <c r="O469" s="2" t="str">
        <f aca="false">IF(COUNTIF($A$2:$A$1201,A469)&gt;1,"DUPLICATE","Unique")</f>
        <v>Unique</v>
      </c>
      <c r="P469" s="2" t="str">
        <f aca="false">IF(L469="","MISSING","OK")</f>
        <v>OK</v>
      </c>
      <c r="Q469" s="2" t="str">
        <f aca="false">IF(ISNUMBER(B469),"OK","BAD DATE")</f>
        <v>OK</v>
      </c>
      <c r="R469" s="2" t="str">
        <f aca="false">IF(ROUND(F469,2)=F469,"OK","FIX")</f>
        <v>OK</v>
      </c>
    </row>
    <row r="470" customFormat="false" ht="15" hidden="false" customHeight="false" outlineLevel="0" collapsed="false">
      <c r="A470" s="2" t="str">
        <f aca="false">TRIM(UPPER(Raw_Data!A470))</f>
        <v>ORD200468</v>
      </c>
      <c r="B470" s="3" t="n">
        <f aca="false">IF(ISNUMBER(Raw_Data!B470),Raw_Data!B470,DATEVALUE(Raw_Data!B470))</f>
        <v>45829</v>
      </c>
      <c r="C470" s="2" t="str">
        <f aca="false">TRIM(UPPER(Raw_Data!C470))</f>
        <v>C90110</v>
      </c>
      <c r="D470" s="2" t="str">
        <f aca="false">PROPER(TRIM(Raw_Data!D470))</f>
        <v>Phone</v>
      </c>
      <c r="E470" s="2" t="n">
        <f aca="false">Raw_Data!E470</f>
        <v>1</v>
      </c>
      <c r="F470" s="4" t="n">
        <f aca="false">ROUND(Raw_Data!F470,2)</f>
        <v>418.36</v>
      </c>
      <c r="G470" s="2" t="str">
        <f aca="false">PROPER(TRIM(Raw_Data!G470))</f>
        <v>998 Main St</v>
      </c>
      <c r="H470" s="2" t="str">
        <f aca="false">PROPER(TRIM(Raw_Data!H470))</f>
        <v>Credit Card</v>
      </c>
      <c r="I470" s="2" t="str">
        <f aca="false">PROPER(TRIM(Raw_Data!I470))</f>
        <v>Delivered</v>
      </c>
      <c r="J470" s="2" t="str">
        <f aca="false">TRIM(UPPER(Raw_Data!J470))</f>
        <v>TRK60203957</v>
      </c>
      <c r="K470" s="2" t="n">
        <f aca="false">Raw_Data!K470</f>
        <v>5</v>
      </c>
      <c r="L470" s="2" t="str">
        <f aca="false">IF(TRIM(Raw_Data!L470)="","No Coupon",TRIM(UPPER(Raw_Data!L470)))</f>
        <v>FREESHIP</v>
      </c>
      <c r="M470" s="2" t="str">
        <f aca="false">PROPER(TRIM(Raw_Data!M470))</f>
        <v>Email</v>
      </c>
      <c r="N470" s="4" t="n">
        <f aca="false">ROUND(E470*F470,2)</f>
        <v>418.36</v>
      </c>
      <c r="O470" s="2" t="str">
        <f aca="false">IF(COUNTIF($A$2:$A$1201,A470)&gt;1,"DUPLICATE","Unique")</f>
        <v>Unique</v>
      </c>
      <c r="P470" s="2" t="str">
        <f aca="false">IF(L470="","MISSING","OK")</f>
        <v>OK</v>
      </c>
      <c r="Q470" s="2" t="str">
        <f aca="false">IF(ISNUMBER(B470),"OK","BAD DATE")</f>
        <v>OK</v>
      </c>
      <c r="R470" s="2" t="str">
        <f aca="false">IF(ROUND(F470,2)=F470,"OK","FIX")</f>
        <v>OK</v>
      </c>
    </row>
    <row r="471" customFormat="false" ht="15" hidden="false" customHeight="false" outlineLevel="0" collapsed="false">
      <c r="A471" s="2" t="str">
        <f aca="false">TRIM(UPPER(Raw_Data!A471))</f>
        <v>ORD200469</v>
      </c>
      <c r="B471" s="3" t="n">
        <f aca="false">IF(ISNUMBER(Raw_Data!B471),Raw_Data!B471,DATEVALUE(Raw_Data!B471))</f>
        <v>45256</v>
      </c>
      <c r="C471" s="2" t="str">
        <f aca="false">TRIM(UPPER(Raw_Data!C471))</f>
        <v>C13877</v>
      </c>
      <c r="D471" s="2" t="str">
        <f aca="false">PROPER(TRIM(Raw_Data!D471))</f>
        <v>Chair</v>
      </c>
      <c r="E471" s="2" t="n">
        <f aca="false">Raw_Data!E471</f>
        <v>5</v>
      </c>
      <c r="F471" s="4" t="n">
        <f aca="false">ROUND(Raw_Data!F471,2)</f>
        <v>676.98</v>
      </c>
      <c r="G471" s="2" t="str">
        <f aca="false">PROPER(TRIM(Raw_Data!G471))</f>
        <v>893 Main St</v>
      </c>
      <c r="H471" s="2" t="str">
        <f aca="false">PROPER(TRIM(Raw_Data!H471))</f>
        <v>Cash</v>
      </c>
      <c r="I471" s="2" t="str">
        <f aca="false">PROPER(TRIM(Raw_Data!I471))</f>
        <v>Cancelled</v>
      </c>
      <c r="J471" s="2" t="str">
        <f aca="false">TRIM(UPPER(Raw_Data!J471))</f>
        <v>TRK17254691</v>
      </c>
      <c r="K471" s="2" t="n">
        <f aca="false">Raw_Data!K471</f>
        <v>5</v>
      </c>
      <c r="L471" s="2" t="str">
        <f aca="false">IF(TRIM(Raw_Data!L471)="","No Coupon",TRIM(UPPER(Raw_Data!L471)))</f>
        <v>No Coupon</v>
      </c>
      <c r="M471" s="2" t="str">
        <f aca="false">PROPER(TRIM(Raw_Data!M471))</f>
        <v>Facebook</v>
      </c>
      <c r="N471" s="4" t="n">
        <f aca="false">ROUND(E471*F471,2)</f>
        <v>3384.9</v>
      </c>
      <c r="O471" s="2" t="str">
        <f aca="false">IF(COUNTIF($A$2:$A$1201,A471)&gt;1,"DUPLICATE","Unique")</f>
        <v>Unique</v>
      </c>
      <c r="P471" s="2" t="str">
        <f aca="false">IF(L471="","MISSING","OK")</f>
        <v>OK</v>
      </c>
      <c r="Q471" s="2" t="str">
        <f aca="false">IF(ISNUMBER(B471),"OK","BAD DATE")</f>
        <v>OK</v>
      </c>
      <c r="R471" s="2" t="str">
        <f aca="false">IF(ROUND(F471,2)=F471,"OK","FIX")</f>
        <v>OK</v>
      </c>
    </row>
    <row r="472" customFormat="false" ht="15" hidden="false" customHeight="false" outlineLevel="0" collapsed="false">
      <c r="A472" s="2" t="str">
        <f aca="false">TRIM(UPPER(Raw_Data!A472))</f>
        <v>ORD200470</v>
      </c>
      <c r="B472" s="3" t="n">
        <f aca="false">IF(ISNUMBER(Raw_Data!B472),Raw_Data!B472,DATEVALUE(Raw_Data!B472))</f>
        <v>45198</v>
      </c>
      <c r="C472" s="2" t="str">
        <f aca="false">TRIM(UPPER(Raw_Data!C472))</f>
        <v>C25149</v>
      </c>
      <c r="D472" s="2" t="str">
        <f aca="false">PROPER(TRIM(Raw_Data!D472))</f>
        <v>Tablet</v>
      </c>
      <c r="E472" s="2" t="n">
        <f aca="false">Raw_Data!E472</f>
        <v>4</v>
      </c>
      <c r="F472" s="4" t="n">
        <f aca="false">ROUND(Raw_Data!F472,2)</f>
        <v>263.62</v>
      </c>
      <c r="G472" s="2" t="str">
        <f aca="false">PROPER(TRIM(Raw_Data!G472))</f>
        <v>672 Main St</v>
      </c>
      <c r="H472" s="2" t="str">
        <f aca="false">PROPER(TRIM(Raw_Data!H472))</f>
        <v>Cash</v>
      </c>
      <c r="I472" s="2" t="str">
        <f aca="false">PROPER(TRIM(Raw_Data!I472))</f>
        <v>Shipped</v>
      </c>
      <c r="J472" s="2" t="str">
        <f aca="false">TRIM(UPPER(Raw_Data!J472))</f>
        <v>TRK33538608</v>
      </c>
      <c r="K472" s="2" t="n">
        <f aca="false">Raw_Data!K472</f>
        <v>5</v>
      </c>
      <c r="L472" s="2" t="str">
        <f aca="false">IF(TRIM(Raw_Data!L472)="","No Coupon",TRIM(UPPER(Raw_Data!L472)))</f>
        <v>SAVE10</v>
      </c>
      <c r="M472" s="2" t="str">
        <f aca="false">PROPER(TRIM(Raw_Data!M472))</f>
        <v>Email</v>
      </c>
      <c r="N472" s="4" t="n">
        <f aca="false">ROUND(E472*F472,2)</f>
        <v>1054.48</v>
      </c>
      <c r="O472" s="2" t="str">
        <f aca="false">IF(COUNTIF($A$2:$A$1201,A472)&gt;1,"DUPLICATE","Unique")</f>
        <v>Unique</v>
      </c>
      <c r="P472" s="2" t="str">
        <f aca="false">IF(L472="","MISSING","OK")</f>
        <v>OK</v>
      </c>
      <c r="Q472" s="2" t="str">
        <f aca="false">IF(ISNUMBER(B472),"OK","BAD DATE")</f>
        <v>OK</v>
      </c>
      <c r="R472" s="2" t="str">
        <f aca="false">IF(ROUND(F472,2)=F472,"OK","FIX")</f>
        <v>OK</v>
      </c>
    </row>
    <row r="473" customFormat="false" ht="15" hidden="false" customHeight="false" outlineLevel="0" collapsed="false">
      <c r="A473" s="2" t="str">
        <f aca="false">TRIM(UPPER(Raw_Data!A473))</f>
        <v>ORD200471</v>
      </c>
      <c r="B473" s="3" t="n">
        <f aca="false">IF(ISNUMBER(Raw_Data!B473),Raw_Data!B473,DATEVALUE(Raw_Data!B473))</f>
        <v>45766</v>
      </c>
      <c r="C473" s="2" t="str">
        <f aca="false">TRIM(UPPER(Raw_Data!C473))</f>
        <v>C52717</v>
      </c>
      <c r="D473" s="2" t="str">
        <f aca="false">PROPER(TRIM(Raw_Data!D473))</f>
        <v>Desk</v>
      </c>
      <c r="E473" s="2" t="n">
        <f aca="false">Raw_Data!E473</f>
        <v>5</v>
      </c>
      <c r="F473" s="4" t="n">
        <f aca="false">ROUND(Raw_Data!F473,2)</f>
        <v>551.27</v>
      </c>
      <c r="G473" s="2" t="str">
        <f aca="false">PROPER(TRIM(Raw_Data!G473))</f>
        <v>395 Main St</v>
      </c>
      <c r="H473" s="2" t="str">
        <f aca="false">PROPER(TRIM(Raw_Data!H473))</f>
        <v>Online</v>
      </c>
      <c r="I473" s="2" t="str">
        <f aca="false">PROPER(TRIM(Raw_Data!I473))</f>
        <v>Cancelled</v>
      </c>
      <c r="J473" s="2" t="str">
        <f aca="false">TRIM(UPPER(Raw_Data!J473))</f>
        <v>TRK27625571</v>
      </c>
      <c r="K473" s="2" t="n">
        <f aca="false">Raw_Data!K473</f>
        <v>7</v>
      </c>
      <c r="L473" s="2" t="str">
        <f aca="false">IF(TRIM(Raw_Data!L473)="","No Coupon",TRIM(UPPER(Raw_Data!L473)))</f>
        <v>FREESHIP</v>
      </c>
      <c r="M473" s="2" t="str">
        <f aca="false">PROPER(TRIM(Raw_Data!M473))</f>
        <v>Referral</v>
      </c>
      <c r="N473" s="4" t="n">
        <f aca="false">ROUND(E473*F473,2)</f>
        <v>2756.35</v>
      </c>
      <c r="O473" s="2" t="str">
        <f aca="false">IF(COUNTIF($A$2:$A$1201,A473)&gt;1,"DUPLICATE","Unique")</f>
        <v>Unique</v>
      </c>
      <c r="P473" s="2" t="str">
        <f aca="false">IF(L473="","MISSING","OK")</f>
        <v>OK</v>
      </c>
      <c r="Q473" s="2" t="str">
        <f aca="false">IF(ISNUMBER(B473),"OK","BAD DATE")</f>
        <v>OK</v>
      </c>
      <c r="R473" s="2" t="str">
        <f aca="false">IF(ROUND(F473,2)=F473,"OK","FIX")</f>
        <v>OK</v>
      </c>
    </row>
    <row r="474" customFormat="false" ht="15" hidden="false" customHeight="false" outlineLevel="0" collapsed="false">
      <c r="A474" s="2" t="str">
        <f aca="false">TRIM(UPPER(Raw_Data!A474))</f>
        <v>ORD200472</v>
      </c>
      <c r="B474" s="3" t="n">
        <f aca="false">IF(ISNUMBER(Raw_Data!B474),Raw_Data!B474,DATEVALUE(Raw_Data!B474))</f>
        <v>44932</v>
      </c>
      <c r="C474" s="2" t="str">
        <f aca="false">TRIM(UPPER(Raw_Data!C474))</f>
        <v>C60029</v>
      </c>
      <c r="D474" s="2" t="str">
        <f aca="false">PROPER(TRIM(Raw_Data!D474))</f>
        <v>Chair</v>
      </c>
      <c r="E474" s="2" t="n">
        <f aca="false">Raw_Data!E474</f>
        <v>3</v>
      </c>
      <c r="F474" s="4" t="n">
        <f aca="false">ROUND(Raw_Data!F474,2)</f>
        <v>508.12</v>
      </c>
      <c r="G474" s="2" t="str">
        <f aca="false">PROPER(TRIM(Raw_Data!G474))</f>
        <v>796 Main St</v>
      </c>
      <c r="H474" s="2" t="str">
        <f aca="false">PROPER(TRIM(Raw_Data!H474))</f>
        <v>Credit Card</v>
      </c>
      <c r="I474" s="2" t="str">
        <f aca="false">PROPER(TRIM(Raw_Data!I474))</f>
        <v>Cancelled</v>
      </c>
      <c r="J474" s="2" t="str">
        <f aca="false">TRIM(UPPER(Raw_Data!J474))</f>
        <v>TRK86461316</v>
      </c>
      <c r="K474" s="2" t="n">
        <f aca="false">Raw_Data!K474</f>
        <v>8</v>
      </c>
      <c r="L474" s="2" t="str">
        <f aca="false">IF(TRIM(Raw_Data!L474)="","No Coupon",TRIM(UPPER(Raw_Data!L474)))</f>
        <v>FREESHIP</v>
      </c>
      <c r="M474" s="2" t="str">
        <f aca="false">PROPER(TRIM(Raw_Data!M474))</f>
        <v>Referral</v>
      </c>
      <c r="N474" s="4" t="n">
        <f aca="false">ROUND(E474*F474,2)</f>
        <v>1524.36</v>
      </c>
      <c r="O474" s="2" t="str">
        <f aca="false">IF(COUNTIF($A$2:$A$1201,A474)&gt;1,"DUPLICATE","Unique")</f>
        <v>Unique</v>
      </c>
      <c r="P474" s="2" t="str">
        <f aca="false">IF(L474="","MISSING","OK")</f>
        <v>OK</v>
      </c>
      <c r="Q474" s="2" t="str">
        <f aca="false">IF(ISNUMBER(B474),"OK","BAD DATE")</f>
        <v>OK</v>
      </c>
      <c r="R474" s="2" t="str">
        <f aca="false">IF(ROUND(F474,2)=F474,"OK","FIX")</f>
        <v>OK</v>
      </c>
    </row>
    <row r="475" customFormat="false" ht="15" hidden="false" customHeight="false" outlineLevel="0" collapsed="false">
      <c r="A475" s="2" t="str">
        <f aca="false">TRIM(UPPER(Raw_Data!A475))</f>
        <v>ORD200473</v>
      </c>
      <c r="B475" s="3" t="n">
        <f aca="false">IF(ISNUMBER(Raw_Data!B475),Raw_Data!B475,DATEVALUE(Raw_Data!B475))</f>
        <v>45713</v>
      </c>
      <c r="C475" s="2" t="str">
        <f aca="false">TRIM(UPPER(Raw_Data!C475))</f>
        <v>C28552</v>
      </c>
      <c r="D475" s="2" t="str">
        <f aca="false">PROPER(TRIM(Raw_Data!D475))</f>
        <v>Chair</v>
      </c>
      <c r="E475" s="2" t="n">
        <f aca="false">Raw_Data!E475</f>
        <v>2</v>
      </c>
      <c r="F475" s="4" t="n">
        <f aca="false">ROUND(Raw_Data!F475,2)</f>
        <v>14.93</v>
      </c>
      <c r="G475" s="2" t="str">
        <f aca="false">PROPER(TRIM(Raw_Data!G475))</f>
        <v>449 Main St</v>
      </c>
      <c r="H475" s="2" t="str">
        <f aca="false">PROPER(TRIM(Raw_Data!H475))</f>
        <v>Online</v>
      </c>
      <c r="I475" s="2" t="str">
        <f aca="false">PROPER(TRIM(Raw_Data!I475))</f>
        <v>Shipped</v>
      </c>
      <c r="J475" s="2" t="str">
        <f aca="false">TRIM(UPPER(Raw_Data!J475))</f>
        <v>TRK71597160</v>
      </c>
      <c r="K475" s="2" t="n">
        <f aca="false">Raw_Data!K475</f>
        <v>4</v>
      </c>
      <c r="L475" s="2" t="str">
        <f aca="false">IF(TRIM(Raw_Data!L475)="","No Coupon",TRIM(UPPER(Raw_Data!L475)))</f>
        <v>No Coupon</v>
      </c>
      <c r="M475" s="2" t="str">
        <f aca="false">PROPER(TRIM(Raw_Data!M475))</f>
        <v>Facebook</v>
      </c>
      <c r="N475" s="4" t="n">
        <f aca="false">ROUND(E475*F475,2)</f>
        <v>29.86</v>
      </c>
      <c r="O475" s="2" t="str">
        <f aca="false">IF(COUNTIF($A$2:$A$1201,A475)&gt;1,"DUPLICATE","Unique")</f>
        <v>Unique</v>
      </c>
      <c r="P475" s="2" t="str">
        <f aca="false">IF(L475="","MISSING","OK")</f>
        <v>OK</v>
      </c>
      <c r="Q475" s="2" t="str">
        <f aca="false">IF(ISNUMBER(B475),"OK","BAD DATE")</f>
        <v>OK</v>
      </c>
      <c r="R475" s="2" t="str">
        <f aca="false">IF(ROUND(F475,2)=F475,"OK","FIX")</f>
        <v>OK</v>
      </c>
    </row>
    <row r="476" customFormat="false" ht="15" hidden="false" customHeight="false" outlineLevel="0" collapsed="false">
      <c r="A476" s="2" t="str">
        <f aca="false">TRIM(UPPER(Raw_Data!A476))</f>
        <v>ORD200474</v>
      </c>
      <c r="B476" s="3" t="n">
        <f aca="false">IF(ISNUMBER(Raw_Data!B476),Raw_Data!B476,DATEVALUE(Raw_Data!B476))</f>
        <v>45245</v>
      </c>
      <c r="C476" s="2" t="str">
        <f aca="false">TRIM(UPPER(Raw_Data!C476))</f>
        <v>C72293</v>
      </c>
      <c r="D476" s="2" t="str">
        <f aca="false">PROPER(TRIM(Raw_Data!D476))</f>
        <v>Printer</v>
      </c>
      <c r="E476" s="2" t="n">
        <f aca="false">Raw_Data!E476</f>
        <v>3</v>
      </c>
      <c r="F476" s="4" t="n">
        <f aca="false">ROUND(Raw_Data!F476,2)</f>
        <v>229.34</v>
      </c>
      <c r="G476" s="2" t="str">
        <f aca="false">PROPER(TRIM(Raw_Data!G476))</f>
        <v>398 Main St</v>
      </c>
      <c r="H476" s="2" t="str">
        <f aca="false">PROPER(TRIM(Raw_Data!H476))</f>
        <v>Credit Card</v>
      </c>
      <c r="I476" s="2" t="str">
        <f aca="false">PROPER(TRIM(Raw_Data!I476))</f>
        <v>Shipped</v>
      </c>
      <c r="J476" s="2" t="str">
        <f aca="false">TRIM(UPPER(Raw_Data!J476))</f>
        <v>TRK84378003</v>
      </c>
      <c r="K476" s="2" t="n">
        <f aca="false">Raw_Data!K476</f>
        <v>6</v>
      </c>
      <c r="L476" s="2" t="str">
        <f aca="false">IF(TRIM(Raw_Data!L476)="","No Coupon",TRIM(UPPER(Raw_Data!L476)))</f>
        <v>SAVE10</v>
      </c>
      <c r="M476" s="2" t="str">
        <f aca="false">PROPER(TRIM(Raw_Data!M476))</f>
        <v>Referral</v>
      </c>
      <c r="N476" s="4" t="n">
        <f aca="false">ROUND(E476*F476,2)</f>
        <v>688.02</v>
      </c>
      <c r="O476" s="2" t="str">
        <f aca="false">IF(COUNTIF($A$2:$A$1201,A476)&gt;1,"DUPLICATE","Unique")</f>
        <v>Unique</v>
      </c>
      <c r="P476" s="2" t="str">
        <f aca="false">IF(L476="","MISSING","OK")</f>
        <v>OK</v>
      </c>
      <c r="Q476" s="2" t="str">
        <f aca="false">IF(ISNUMBER(B476),"OK","BAD DATE")</f>
        <v>OK</v>
      </c>
      <c r="R476" s="2" t="str">
        <f aca="false">IF(ROUND(F476,2)=F476,"OK","FIX")</f>
        <v>OK</v>
      </c>
    </row>
    <row r="477" customFormat="false" ht="15" hidden="false" customHeight="false" outlineLevel="0" collapsed="false">
      <c r="A477" s="2" t="str">
        <f aca="false">TRIM(UPPER(Raw_Data!A477))</f>
        <v>ORD200475</v>
      </c>
      <c r="B477" s="3" t="n">
        <f aca="false">IF(ISNUMBER(Raw_Data!B477),Raw_Data!B477,DATEVALUE(Raw_Data!B477))</f>
        <v>45766</v>
      </c>
      <c r="C477" s="2" t="str">
        <f aca="false">TRIM(UPPER(Raw_Data!C477))</f>
        <v>C29844</v>
      </c>
      <c r="D477" s="2" t="str">
        <f aca="false">PROPER(TRIM(Raw_Data!D477))</f>
        <v>Tablet</v>
      </c>
      <c r="E477" s="2" t="n">
        <f aca="false">Raw_Data!E477</f>
        <v>2</v>
      </c>
      <c r="F477" s="4" t="n">
        <f aca="false">ROUND(Raw_Data!F477,2)</f>
        <v>438.62</v>
      </c>
      <c r="G477" s="2" t="str">
        <f aca="false">PROPER(TRIM(Raw_Data!G477))</f>
        <v>363 Main St</v>
      </c>
      <c r="H477" s="2" t="str">
        <f aca="false">PROPER(TRIM(Raw_Data!H477))</f>
        <v>Cash</v>
      </c>
      <c r="I477" s="2" t="str">
        <f aca="false">PROPER(TRIM(Raw_Data!I477))</f>
        <v>Cancelled</v>
      </c>
      <c r="J477" s="2" t="str">
        <f aca="false">TRIM(UPPER(Raw_Data!J477))</f>
        <v>TRK91642337</v>
      </c>
      <c r="K477" s="2" t="n">
        <f aca="false">Raw_Data!K477</f>
        <v>3</v>
      </c>
      <c r="L477" s="2" t="str">
        <f aca="false">IF(TRIM(Raw_Data!L477)="","No Coupon",TRIM(UPPER(Raw_Data!L477)))</f>
        <v>SAVE10</v>
      </c>
      <c r="M477" s="2" t="str">
        <f aca="false">PROPER(TRIM(Raw_Data!M477))</f>
        <v>Facebook</v>
      </c>
      <c r="N477" s="4" t="n">
        <f aca="false">ROUND(E477*F477,2)</f>
        <v>877.24</v>
      </c>
      <c r="O477" s="2" t="str">
        <f aca="false">IF(COUNTIF($A$2:$A$1201,A477)&gt;1,"DUPLICATE","Unique")</f>
        <v>Unique</v>
      </c>
      <c r="P477" s="2" t="str">
        <f aca="false">IF(L477="","MISSING","OK")</f>
        <v>OK</v>
      </c>
      <c r="Q477" s="2" t="str">
        <f aca="false">IF(ISNUMBER(B477),"OK","BAD DATE")</f>
        <v>OK</v>
      </c>
      <c r="R477" s="2" t="str">
        <f aca="false">IF(ROUND(F477,2)=F477,"OK","FIX")</f>
        <v>OK</v>
      </c>
    </row>
    <row r="478" customFormat="false" ht="15" hidden="false" customHeight="false" outlineLevel="0" collapsed="false">
      <c r="A478" s="2" t="str">
        <f aca="false">TRIM(UPPER(Raw_Data!A478))</f>
        <v>ORD200476</v>
      </c>
      <c r="B478" s="3" t="n">
        <f aca="false">IF(ISNUMBER(Raw_Data!B478),Raw_Data!B478,DATEVALUE(Raw_Data!B478))</f>
        <v>45306</v>
      </c>
      <c r="C478" s="2" t="str">
        <f aca="false">TRIM(UPPER(Raw_Data!C478))</f>
        <v>C77872</v>
      </c>
      <c r="D478" s="2" t="str">
        <f aca="false">PROPER(TRIM(Raw_Data!D478))</f>
        <v>Phone</v>
      </c>
      <c r="E478" s="2" t="n">
        <f aca="false">Raw_Data!E478</f>
        <v>2</v>
      </c>
      <c r="F478" s="4" t="n">
        <f aca="false">ROUND(Raw_Data!F478,2)</f>
        <v>513.59</v>
      </c>
      <c r="G478" s="2" t="str">
        <f aca="false">PROPER(TRIM(Raw_Data!G478))</f>
        <v>867 Main St</v>
      </c>
      <c r="H478" s="2" t="str">
        <f aca="false">PROPER(TRIM(Raw_Data!H478))</f>
        <v>Online</v>
      </c>
      <c r="I478" s="2" t="str">
        <f aca="false">PROPER(TRIM(Raw_Data!I478))</f>
        <v>Returned</v>
      </c>
      <c r="J478" s="2" t="str">
        <f aca="false">TRIM(UPPER(Raw_Data!J478))</f>
        <v>TRK19292184</v>
      </c>
      <c r="K478" s="2" t="n">
        <f aca="false">Raw_Data!K478</f>
        <v>4</v>
      </c>
      <c r="L478" s="2" t="str">
        <f aca="false">IF(TRIM(Raw_Data!L478)="","No Coupon",TRIM(UPPER(Raw_Data!L478)))</f>
        <v>FREESHIP</v>
      </c>
      <c r="M478" s="2" t="str">
        <f aca="false">PROPER(TRIM(Raw_Data!M478))</f>
        <v>Referral</v>
      </c>
      <c r="N478" s="4" t="n">
        <f aca="false">ROUND(E478*F478,2)</f>
        <v>1027.18</v>
      </c>
      <c r="O478" s="2" t="str">
        <f aca="false">IF(COUNTIF($A$2:$A$1201,A478)&gt;1,"DUPLICATE","Unique")</f>
        <v>Unique</v>
      </c>
      <c r="P478" s="2" t="str">
        <f aca="false">IF(L478="","MISSING","OK")</f>
        <v>OK</v>
      </c>
      <c r="Q478" s="2" t="str">
        <f aca="false">IF(ISNUMBER(B478),"OK","BAD DATE")</f>
        <v>OK</v>
      </c>
      <c r="R478" s="2" t="str">
        <f aca="false">IF(ROUND(F478,2)=F478,"OK","FIX")</f>
        <v>OK</v>
      </c>
    </row>
    <row r="479" customFormat="false" ht="15" hidden="false" customHeight="false" outlineLevel="0" collapsed="false">
      <c r="A479" s="2" t="str">
        <f aca="false">TRIM(UPPER(Raw_Data!A479))</f>
        <v>ORD200477</v>
      </c>
      <c r="B479" s="3" t="n">
        <f aca="false">IF(ISNUMBER(Raw_Data!B479),Raw_Data!B479,DATEVALUE(Raw_Data!B479))</f>
        <v>45721</v>
      </c>
      <c r="C479" s="2" t="str">
        <f aca="false">TRIM(UPPER(Raw_Data!C479))</f>
        <v>C56564</v>
      </c>
      <c r="D479" s="2" t="str">
        <f aca="false">PROPER(TRIM(Raw_Data!D479))</f>
        <v>Phone</v>
      </c>
      <c r="E479" s="2" t="n">
        <f aca="false">Raw_Data!E479</f>
        <v>2</v>
      </c>
      <c r="F479" s="4" t="n">
        <f aca="false">ROUND(Raw_Data!F479,2)</f>
        <v>253.74</v>
      </c>
      <c r="G479" s="2" t="str">
        <f aca="false">PROPER(TRIM(Raw_Data!G479))</f>
        <v>481 Main St</v>
      </c>
      <c r="H479" s="2" t="str">
        <f aca="false">PROPER(TRIM(Raw_Data!H479))</f>
        <v>Online</v>
      </c>
      <c r="I479" s="2" t="str">
        <f aca="false">PROPER(TRIM(Raw_Data!I479))</f>
        <v>Shipped</v>
      </c>
      <c r="J479" s="2" t="str">
        <f aca="false">TRIM(UPPER(Raw_Data!J479))</f>
        <v>TRK13166044</v>
      </c>
      <c r="K479" s="2" t="n">
        <f aca="false">Raw_Data!K479</f>
        <v>5</v>
      </c>
      <c r="L479" s="2" t="str">
        <f aca="false">IF(TRIM(Raw_Data!L479)="","No Coupon",TRIM(UPPER(Raw_Data!L479)))</f>
        <v>SAVE10</v>
      </c>
      <c r="M479" s="2" t="str">
        <f aca="false">PROPER(TRIM(Raw_Data!M479))</f>
        <v>Google</v>
      </c>
      <c r="N479" s="4" t="n">
        <f aca="false">ROUND(E479*F479,2)</f>
        <v>507.48</v>
      </c>
      <c r="O479" s="2" t="str">
        <f aca="false">IF(COUNTIF($A$2:$A$1201,A479)&gt;1,"DUPLICATE","Unique")</f>
        <v>Unique</v>
      </c>
      <c r="P479" s="2" t="str">
        <f aca="false">IF(L479="","MISSING","OK")</f>
        <v>OK</v>
      </c>
      <c r="Q479" s="2" t="str">
        <f aca="false">IF(ISNUMBER(B479),"OK","BAD DATE")</f>
        <v>OK</v>
      </c>
      <c r="R479" s="2" t="str">
        <f aca="false">IF(ROUND(F479,2)=F479,"OK","FIX")</f>
        <v>OK</v>
      </c>
    </row>
    <row r="480" customFormat="false" ht="15" hidden="false" customHeight="false" outlineLevel="0" collapsed="false">
      <c r="A480" s="2" t="str">
        <f aca="false">TRIM(UPPER(Raw_Data!A480))</f>
        <v>ORD200478</v>
      </c>
      <c r="B480" s="3" t="n">
        <f aca="false">IF(ISNUMBER(Raw_Data!B480),Raw_Data!B480,DATEVALUE(Raw_Data!B480))</f>
        <v>45597</v>
      </c>
      <c r="C480" s="2" t="str">
        <f aca="false">TRIM(UPPER(Raw_Data!C480))</f>
        <v>C16758</v>
      </c>
      <c r="D480" s="2" t="str">
        <f aca="false">PROPER(TRIM(Raw_Data!D480))</f>
        <v>Tablet</v>
      </c>
      <c r="E480" s="2" t="n">
        <f aca="false">Raw_Data!E480</f>
        <v>3</v>
      </c>
      <c r="F480" s="4" t="n">
        <f aca="false">ROUND(Raw_Data!F480,2)</f>
        <v>62.77</v>
      </c>
      <c r="G480" s="2" t="str">
        <f aca="false">PROPER(TRIM(Raw_Data!G480))</f>
        <v>914 Main St</v>
      </c>
      <c r="H480" s="2" t="str">
        <f aca="false">PROPER(TRIM(Raw_Data!H480))</f>
        <v>Gift Card</v>
      </c>
      <c r="I480" s="2" t="str">
        <f aca="false">PROPER(TRIM(Raw_Data!I480))</f>
        <v>Shipped</v>
      </c>
      <c r="J480" s="2" t="str">
        <f aca="false">TRIM(UPPER(Raw_Data!J480))</f>
        <v>TRK88544431</v>
      </c>
      <c r="K480" s="2" t="n">
        <f aca="false">Raw_Data!K480</f>
        <v>6</v>
      </c>
      <c r="L480" s="2" t="str">
        <f aca="false">IF(TRIM(Raw_Data!L480)="","No Coupon",TRIM(UPPER(Raw_Data!L480)))</f>
        <v>FREESHIP</v>
      </c>
      <c r="M480" s="2" t="str">
        <f aca="false">PROPER(TRIM(Raw_Data!M480))</f>
        <v>Referral</v>
      </c>
      <c r="N480" s="4" t="n">
        <f aca="false">ROUND(E480*F480,2)</f>
        <v>188.31</v>
      </c>
      <c r="O480" s="2" t="str">
        <f aca="false">IF(COUNTIF($A$2:$A$1201,A480)&gt;1,"DUPLICATE","Unique")</f>
        <v>Unique</v>
      </c>
      <c r="P480" s="2" t="str">
        <f aca="false">IF(L480="","MISSING","OK")</f>
        <v>OK</v>
      </c>
      <c r="Q480" s="2" t="str">
        <f aca="false">IF(ISNUMBER(B480),"OK","BAD DATE")</f>
        <v>OK</v>
      </c>
      <c r="R480" s="2" t="str">
        <f aca="false">IF(ROUND(F480,2)=F480,"OK","FIX")</f>
        <v>OK</v>
      </c>
    </row>
    <row r="481" customFormat="false" ht="15" hidden="false" customHeight="false" outlineLevel="0" collapsed="false">
      <c r="A481" s="2" t="str">
        <f aca="false">TRIM(UPPER(Raw_Data!A481))</f>
        <v>ORD200479</v>
      </c>
      <c r="B481" s="3" t="n">
        <f aca="false">IF(ISNUMBER(Raw_Data!B481),Raw_Data!B481,DATEVALUE(Raw_Data!B481))</f>
        <v>44975</v>
      </c>
      <c r="C481" s="2" t="str">
        <f aca="false">TRIM(UPPER(Raw_Data!C481))</f>
        <v>C87011</v>
      </c>
      <c r="D481" s="2" t="str">
        <f aca="false">PROPER(TRIM(Raw_Data!D481))</f>
        <v>Monitor</v>
      </c>
      <c r="E481" s="2" t="n">
        <f aca="false">Raw_Data!E481</f>
        <v>4</v>
      </c>
      <c r="F481" s="4" t="n">
        <f aca="false">ROUND(Raw_Data!F481,2)</f>
        <v>25.29</v>
      </c>
      <c r="G481" s="2" t="str">
        <f aca="false">PROPER(TRIM(Raw_Data!G481))</f>
        <v>943 Main St</v>
      </c>
      <c r="H481" s="2" t="str">
        <f aca="false">PROPER(TRIM(Raw_Data!H481))</f>
        <v>Credit Card</v>
      </c>
      <c r="I481" s="2" t="str">
        <f aca="false">PROPER(TRIM(Raw_Data!I481))</f>
        <v>Pending</v>
      </c>
      <c r="J481" s="2" t="str">
        <f aca="false">TRIM(UPPER(Raw_Data!J481))</f>
        <v>TRK21429162</v>
      </c>
      <c r="K481" s="2" t="n">
        <f aca="false">Raw_Data!K481</f>
        <v>8</v>
      </c>
      <c r="L481" s="2" t="str">
        <f aca="false">IF(TRIM(Raw_Data!L481)="","No Coupon",TRIM(UPPER(Raw_Data!L481)))</f>
        <v>No Coupon</v>
      </c>
      <c r="M481" s="2" t="str">
        <f aca="false">PROPER(TRIM(Raw_Data!M481))</f>
        <v>Google</v>
      </c>
      <c r="N481" s="4" t="n">
        <f aca="false">ROUND(E481*F481,2)</f>
        <v>101.16</v>
      </c>
      <c r="O481" s="2" t="str">
        <f aca="false">IF(COUNTIF($A$2:$A$1201,A481)&gt;1,"DUPLICATE","Unique")</f>
        <v>Unique</v>
      </c>
      <c r="P481" s="2" t="str">
        <f aca="false">IF(L481="","MISSING","OK")</f>
        <v>OK</v>
      </c>
      <c r="Q481" s="2" t="str">
        <f aca="false">IF(ISNUMBER(B481),"OK","BAD DATE")</f>
        <v>OK</v>
      </c>
      <c r="R481" s="2" t="str">
        <f aca="false">IF(ROUND(F481,2)=F481,"OK","FIX")</f>
        <v>OK</v>
      </c>
    </row>
    <row r="482" customFormat="false" ht="15" hidden="false" customHeight="false" outlineLevel="0" collapsed="false">
      <c r="A482" s="2" t="str">
        <f aca="false">TRIM(UPPER(Raw_Data!A482))</f>
        <v>ORD200480</v>
      </c>
      <c r="B482" s="3" t="n">
        <f aca="false">IF(ISNUMBER(Raw_Data!B482),Raw_Data!B482,DATEVALUE(Raw_Data!B482))</f>
        <v>45093</v>
      </c>
      <c r="C482" s="2" t="str">
        <f aca="false">TRIM(UPPER(Raw_Data!C482))</f>
        <v>C21147</v>
      </c>
      <c r="D482" s="2" t="str">
        <f aca="false">PROPER(TRIM(Raw_Data!D482))</f>
        <v>Chair</v>
      </c>
      <c r="E482" s="2" t="n">
        <f aca="false">Raw_Data!E482</f>
        <v>1</v>
      </c>
      <c r="F482" s="4" t="n">
        <f aca="false">ROUND(Raw_Data!F482,2)</f>
        <v>335.1</v>
      </c>
      <c r="G482" s="2" t="str">
        <f aca="false">PROPER(TRIM(Raw_Data!G482))</f>
        <v>126 Main St</v>
      </c>
      <c r="H482" s="2" t="str">
        <f aca="false">PROPER(TRIM(Raw_Data!H482))</f>
        <v>Debit Card</v>
      </c>
      <c r="I482" s="2" t="str">
        <f aca="false">PROPER(TRIM(Raw_Data!I482))</f>
        <v>Pending</v>
      </c>
      <c r="J482" s="2" t="str">
        <f aca="false">TRIM(UPPER(Raw_Data!J482))</f>
        <v>TRK93171043</v>
      </c>
      <c r="K482" s="2" t="n">
        <f aca="false">Raw_Data!K482</f>
        <v>6</v>
      </c>
      <c r="L482" s="2" t="str">
        <f aca="false">IF(TRIM(Raw_Data!L482)="","No Coupon",TRIM(UPPER(Raw_Data!L482)))</f>
        <v>FREESHIP</v>
      </c>
      <c r="M482" s="2" t="str">
        <f aca="false">PROPER(TRIM(Raw_Data!M482))</f>
        <v>Referral</v>
      </c>
      <c r="N482" s="4" t="n">
        <f aca="false">ROUND(E482*F482,2)</f>
        <v>335.1</v>
      </c>
      <c r="O482" s="2" t="str">
        <f aca="false">IF(COUNTIF($A$2:$A$1201,A482)&gt;1,"DUPLICATE","Unique")</f>
        <v>Unique</v>
      </c>
      <c r="P482" s="2" t="str">
        <f aca="false">IF(L482="","MISSING","OK")</f>
        <v>OK</v>
      </c>
      <c r="Q482" s="2" t="str">
        <f aca="false">IF(ISNUMBER(B482),"OK","BAD DATE")</f>
        <v>OK</v>
      </c>
      <c r="R482" s="2" t="str">
        <f aca="false">IF(ROUND(F482,2)=F482,"OK","FIX")</f>
        <v>OK</v>
      </c>
    </row>
    <row r="483" customFormat="false" ht="15" hidden="false" customHeight="false" outlineLevel="0" collapsed="false">
      <c r="A483" s="2" t="str">
        <f aca="false">TRIM(UPPER(Raw_Data!A483))</f>
        <v>ORD200481</v>
      </c>
      <c r="B483" s="3" t="n">
        <f aca="false">IF(ISNUMBER(Raw_Data!B483),Raw_Data!B483,DATEVALUE(Raw_Data!B483))</f>
        <v>45039</v>
      </c>
      <c r="C483" s="2" t="str">
        <f aca="false">TRIM(UPPER(Raw_Data!C483))</f>
        <v>C94568</v>
      </c>
      <c r="D483" s="2" t="str">
        <f aca="false">PROPER(TRIM(Raw_Data!D483))</f>
        <v>Laptop</v>
      </c>
      <c r="E483" s="2" t="n">
        <f aca="false">Raw_Data!E483</f>
        <v>4</v>
      </c>
      <c r="F483" s="4" t="n">
        <f aca="false">ROUND(Raw_Data!F483,2)</f>
        <v>484.85</v>
      </c>
      <c r="G483" s="2" t="str">
        <f aca="false">PROPER(TRIM(Raw_Data!G483))</f>
        <v>317 Main St</v>
      </c>
      <c r="H483" s="2" t="str">
        <f aca="false">PROPER(TRIM(Raw_Data!H483))</f>
        <v>Debit Card</v>
      </c>
      <c r="I483" s="2" t="str">
        <f aca="false">PROPER(TRIM(Raw_Data!I483))</f>
        <v>Delivered</v>
      </c>
      <c r="J483" s="2" t="str">
        <f aca="false">TRIM(UPPER(Raw_Data!J483))</f>
        <v>TRK58653915</v>
      </c>
      <c r="K483" s="2" t="n">
        <f aca="false">Raw_Data!K483</f>
        <v>5</v>
      </c>
      <c r="L483" s="2" t="str">
        <f aca="false">IF(TRIM(Raw_Data!L483)="","No Coupon",TRIM(UPPER(Raw_Data!L483)))</f>
        <v>WINTER15</v>
      </c>
      <c r="M483" s="2" t="str">
        <f aca="false">PROPER(TRIM(Raw_Data!M483))</f>
        <v>Referral</v>
      </c>
      <c r="N483" s="4" t="n">
        <f aca="false">ROUND(E483*F483,2)</f>
        <v>1939.4</v>
      </c>
      <c r="O483" s="2" t="str">
        <f aca="false">IF(COUNTIF($A$2:$A$1201,A483)&gt;1,"DUPLICATE","Unique")</f>
        <v>Unique</v>
      </c>
      <c r="P483" s="2" t="str">
        <f aca="false">IF(L483="","MISSING","OK")</f>
        <v>OK</v>
      </c>
      <c r="Q483" s="2" t="str">
        <f aca="false">IF(ISNUMBER(B483),"OK","BAD DATE")</f>
        <v>OK</v>
      </c>
      <c r="R483" s="2" t="str">
        <f aca="false">IF(ROUND(F483,2)=F483,"OK","FIX")</f>
        <v>OK</v>
      </c>
    </row>
    <row r="484" customFormat="false" ht="15" hidden="false" customHeight="false" outlineLevel="0" collapsed="false">
      <c r="A484" s="2" t="str">
        <f aca="false">TRIM(UPPER(Raw_Data!A484))</f>
        <v>ORD200482</v>
      </c>
      <c r="B484" s="3" t="n">
        <f aca="false">IF(ISNUMBER(Raw_Data!B484),Raw_Data!B484,DATEVALUE(Raw_Data!B484))</f>
        <v>45718</v>
      </c>
      <c r="C484" s="2" t="str">
        <f aca="false">TRIM(UPPER(Raw_Data!C484))</f>
        <v>C35852</v>
      </c>
      <c r="D484" s="2" t="str">
        <f aca="false">PROPER(TRIM(Raw_Data!D484))</f>
        <v>Monitor</v>
      </c>
      <c r="E484" s="2" t="n">
        <f aca="false">Raw_Data!E484</f>
        <v>3</v>
      </c>
      <c r="F484" s="4" t="n">
        <f aca="false">ROUND(Raw_Data!F484,2)</f>
        <v>381.41</v>
      </c>
      <c r="G484" s="2" t="str">
        <f aca="false">PROPER(TRIM(Raw_Data!G484))</f>
        <v>989 Main St</v>
      </c>
      <c r="H484" s="2" t="str">
        <f aca="false">PROPER(TRIM(Raw_Data!H484))</f>
        <v>Online</v>
      </c>
      <c r="I484" s="2" t="str">
        <f aca="false">PROPER(TRIM(Raw_Data!I484))</f>
        <v>Pending</v>
      </c>
      <c r="J484" s="2" t="str">
        <f aca="false">TRIM(UPPER(Raw_Data!J484))</f>
        <v>TRK22302049</v>
      </c>
      <c r="K484" s="2" t="n">
        <f aca="false">Raw_Data!K484</f>
        <v>6</v>
      </c>
      <c r="L484" s="2" t="str">
        <f aca="false">IF(TRIM(Raw_Data!L484)="","No Coupon",TRIM(UPPER(Raw_Data!L484)))</f>
        <v>No Coupon</v>
      </c>
      <c r="M484" s="2" t="str">
        <f aca="false">PROPER(TRIM(Raw_Data!M484))</f>
        <v>Instagram</v>
      </c>
      <c r="N484" s="4" t="n">
        <f aca="false">ROUND(E484*F484,2)</f>
        <v>1144.23</v>
      </c>
      <c r="O484" s="2" t="str">
        <f aca="false">IF(COUNTIF($A$2:$A$1201,A484)&gt;1,"DUPLICATE","Unique")</f>
        <v>Unique</v>
      </c>
      <c r="P484" s="2" t="str">
        <f aca="false">IF(L484="","MISSING","OK")</f>
        <v>OK</v>
      </c>
      <c r="Q484" s="2" t="str">
        <f aca="false">IF(ISNUMBER(B484),"OK","BAD DATE")</f>
        <v>OK</v>
      </c>
      <c r="R484" s="2" t="str">
        <f aca="false">IF(ROUND(F484,2)=F484,"OK","FIX")</f>
        <v>OK</v>
      </c>
    </row>
    <row r="485" customFormat="false" ht="15" hidden="false" customHeight="false" outlineLevel="0" collapsed="false">
      <c r="A485" s="2" t="str">
        <f aca="false">TRIM(UPPER(Raw_Data!A485))</f>
        <v>ORD200483</v>
      </c>
      <c r="B485" s="3" t="n">
        <f aca="false">IF(ISNUMBER(Raw_Data!B485),Raw_Data!B485,DATEVALUE(Raw_Data!B485))</f>
        <v>44944</v>
      </c>
      <c r="C485" s="2" t="str">
        <f aca="false">TRIM(UPPER(Raw_Data!C485))</f>
        <v>C66462</v>
      </c>
      <c r="D485" s="2" t="str">
        <f aca="false">PROPER(TRIM(Raw_Data!D485))</f>
        <v>Phone</v>
      </c>
      <c r="E485" s="2" t="n">
        <f aca="false">Raw_Data!E485</f>
        <v>5</v>
      </c>
      <c r="F485" s="4" t="n">
        <f aca="false">ROUND(Raw_Data!F485,2)</f>
        <v>347.92</v>
      </c>
      <c r="G485" s="2" t="str">
        <f aca="false">PROPER(TRIM(Raw_Data!G485))</f>
        <v>982 Main St</v>
      </c>
      <c r="H485" s="2" t="str">
        <f aca="false">PROPER(TRIM(Raw_Data!H485))</f>
        <v>Cash</v>
      </c>
      <c r="I485" s="2" t="str">
        <f aca="false">PROPER(TRIM(Raw_Data!I485))</f>
        <v>Pending</v>
      </c>
      <c r="J485" s="2" t="str">
        <f aca="false">TRIM(UPPER(Raw_Data!J485))</f>
        <v>TRK52743700</v>
      </c>
      <c r="K485" s="2" t="n">
        <f aca="false">Raw_Data!K485</f>
        <v>6</v>
      </c>
      <c r="L485" s="2" t="str">
        <f aca="false">IF(TRIM(Raw_Data!L485)="","No Coupon",TRIM(UPPER(Raw_Data!L485)))</f>
        <v>WINTER15</v>
      </c>
      <c r="M485" s="2" t="str">
        <f aca="false">PROPER(TRIM(Raw_Data!M485))</f>
        <v>Google</v>
      </c>
      <c r="N485" s="4" t="n">
        <f aca="false">ROUND(E485*F485,2)</f>
        <v>1739.6</v>
      </c>
      <c r="O485" s="2" t="str">
        <f aca="false">IF(COUNTIF($A$2:$A$1201,A485)&gt;1,"DUPLICATE","Unique")</f>
        <v>Unique</v>
      </c>
      <c r="P485" s="2" t="str">
        <f aca="false">IF(L485="","MISSING","OK")</f>
        <v>OK</v>
      </c>
      <c r="Q485" s="2" t="str">
        <f aca="false">IF(ISNUMBER(B485),"OK","BAD DATE")</f>
        <v>OK</v>
      </c>
      <c r="R485" s="2" t="str">
        <f aca="false">IF(ROUND(F485,2)=F485,"OK","FIX")</f>
        <v>OK</v>
      </c>
    </row>
    <row r="486" customFormat="false" ht="15" hidden="false" customHeight="false" outlineLevel="0" collapsed="false">
      <c r="A486" s="2" t="str">
        <f aca="false">TRIM(UPPER(Raw_Data!A486))</f>
        <v>ORD200484</v>
      </c>
      <c r="B486" s="3" t="n">
        <f aca="false">IF(ISNUMBER(Raw_Data!B486),Raw_Data!B486,DATEVALUE(Raw_Data!B486))</f>
        <v>45441</v>
      </c>
      <c r="C486" s="2" t="str">
        <f aca="false">TRIM(UPPER(Raw_Data!C486))</f>
        <v>C29092</v>
      </c>
      <c r="D486" s="2" t="str">
        <f aca="false">PROPER(TRIM(Raw_Data!D486))</f>
        <v>Chair</v>
      </c>
      <c r="E486" s="2" t="n">
        <f aca="false">Raw_Data!E486</f>
        <v>4</v>
      </c>
      <c r="F486" s="4" t="n">
        <f aca="false">ROUND(Raw_Data!F486,2)</f>
        <v>15.01</v>
      </c>
      <c r="G486" s="2" t="str">
        <f aca="false">PROPER(TRIM(Raw_Data!G486))</f>
        <v>767 Main St</v>
      </c>
      <c r="H486" s="2" t="str">
        <f aca="false">PROPER(TRIM(Raw_Data!H486))</f>
        <v>Cash</v>
      </c>
      <c r="I486" s="2" t="str">
        <f aca="false">PROPER(TRIM(Raw_Data!I486))</f>
        <v>Cancelled</v>
      </c>
      <c r="J486" s="2" t="str">
        <f aca="false">TRIM(UPPER(Raw_Data!J486))</f>
        <v>TRK90455340</v>
      </c>
      <c r="K486" s="2" t="n">
        <f aca="false">Raw_Data!K486</f>
        <v>6</v>
      </c>
      <c r="L486" s="2" t="str">
        <f aca="false">IF(TRIM(Raw_Data!L486)="","No Coupon",TRIM(UPPER(Raw_Data!L486)))</f>
        <v>No Coupon</v>
      </c>
      <c r="M486" s="2" t="str">
        <f aca="false">PROPER(TRIM(Raw_Data!M486))</f>
        <v>Facebook</v>
      </c>
      <c r="N486" s="4" t="n">
        <f aca="false">ROUND(E486*F486,2)</f>
        <v>60.04</v>
      </c>
      <c r="O486" s="2" t="str">
        <f aca="false">IF(COUNTIF($A$2:$A$1201,A486)&gt;1,"DUPLICATE","Unique")</f>
        <v>Unique</v>
      </c>
      <c r="P486" s="2" t="str">
        <f aca="false">IF(L486="","MISSING","OK")</f>
        <v>OK</v>
      </c>
      <c r="Q486" s="2" t="str">
        <f aca="false">IF(ISNUMBER(B486),"OK","BAD DATE")</f>
        <v>OK</v>
      </c>
      <c r="R486" s="2" t="str">
        <f aca="false">IF(ROUND(F486,2)=F486,"OK","FIX")</f>
        <v>OK</v>
      </c>
    </row>
    <row r="487" customFormat="false" ht="15" hidden="false" customHeight="false" outlineLevel="0" collapsed="false">
      <c r="A487" s="2" t="str">
        <f aca="false">TRIM(UPPER(Raw_Data!A487))</f>
        <v>ORD200485</v>
      </c>
      <c r="B487" s="3" t="n">
        <f aca="false">IF(ISNUMBER(Raw_Data!B487),Raw_Data!B487,DATEVALUE(Raw_Data!B487))</f>
        <v>45139</v>
      </c>
      <c r="C487" s="2" t="str">
        <f aca="false">TRIM(UPPER(Raw_Data!C487))</f>
        <v>C46651</v>
      </c>
      <c r="D487" s="2" t="str">
        <f aca="false">PROPER(TRIM(Raw_Data!D487))</f>
        <v>Chair</v>
      </c>
      <c r="E487" s="2" t="n">
        <f aca="false">Raw_Data!E487</f>
        <v>3</v>
      </c>
      <c r="F487" s="4" t="n">
        <f aca="false">ROUND(Raw_Data!F487,2)</f>
        <v>404.79</v>
      </c>
      <c r="G487" s="2" t="str">
        <f aca="false">PROPER(TRIM(Raw_Data!G487))</f>
        <v>764 Main St</v>
      </c>
      <c r="H487" s="2" t="str">
        <f aca="false">PROPER(TRIM(Raw_Data!H487))</f>
        <v>Cash</v>
      </c>
      <c r="I487" s="2" t="str">
        <f aca="false">PROPER(TRIM(Raw_Data!I487))</f>
        <v>Shipped</v>
      </c>
      <c r="J487" s="2" t="str">
        <f aca="false">TRIM(UPPER(Raw_Data!J487))</f>
        <v>TRK67679195</v>
      </c>
      <c r="K487" s="2" t="n">
        <f aca="false">Raw_Data!K487</f>
        <v>6</v>
      </c>
      <c r="L487" s="2" t="str">
        <f aca="false">IF(TRIM(Raw_Data!L487)="","No Coupon",TRIM(UPPER(Raw_Data!L487)))</f>
        <v>SAVE10</v>
      </c>
      <c r="M487" s="2" t="str">
        <f aca="false">PROPER(TRIM(Raw_Data!M487))</f>
        <v>Instagram</v>
      </c>
      <c r="N487" s="4" t="n">
        <f aca="false">ROUND(E487*F487,2)</f>
        <v>1214.37</v>
      </c>
      <c r="O487" s="2" t="str">
        <f aca="false">IF(COUNTIF($A$2:$A$1201,A487)&gt;1,"DUPLICATE","Unique")</f>
        <v>Unique</v>
      </c>
      <c r="P487" s="2" t="str">
        <f aca="false">IF(L487="","MISSING","OK")</f>
        <v>OK</v>
      </c>
      <c r="Q487" s="2" t="str">
        <f aca="false">IF(ISNUMBER(B487),"OK","BAD DATE")</f>
        <v>OK</v>
      </c>
      <c r="R487" s="2" t="str">
        <f aca="false">IF(ROUND(F487,2)=F487,"OK","FIX")</f>
        <v>OK</v>
      </c>
    </row>
    <row r="488" customFormat="false" ht="15" hidden="false" customHeight="false" outlineLevel="0" collapsed="false">
      <c r="A488" s="2" t="str">
        <f aca="false">TRIM(UPPER(Raw_Data!A488))</f>
        <v>ORD200486</v>
      </c>
      <c r="B488" s="3" t="n">
        <f aca="false">IF(ISNUMBER(Raw_Data!B488),Raw_Data!B488,DATEVALUE(Raw_Data!B488))</f>
        <v>44960</v>
      </c>
      <c r="C488" s="2" t="str">
        <f aca="false">TRIM(UPPER(Raw_Data!C488))</f>
        <v>C88981</v>
      </c>
      <c r="D488" s="2" t="str">
        <f aca="false">PROPER(TRIM(Raw_Data!D488))</f>
        <v>Printer</v>
      </c>
      <c r="E488" s="2" t="n">
        <f aca="false">Raw_Data!E488</f>
        <v>4</v>
      </c>
      <c r="F488" s="4" t="n">
        <f aca="false">ROUND(Raw_Data!F488,2)</f>
        <v>611.26</v>
      </c>
      <c r="G488" s="2" t="str">
        <f aca="false">PROPER(TRIM(Raw_Data!G488))</f>
        <v>558 Main St</v>
      </c>
      <c r="H488" s="2" t="str">
        <f aca="false">PROPER(TRIM(Raw_Data!H488))</f>
        <v>Cash</v>
      </c>
      <c r="I488" s="2" t="str">
        <f aca="false">PROPER(TRIM(Raw_Data!I488))</f>
        <v>Shipped</v>
      </c>
      <c r="J488" s="2" t="str">
        <f aca="false">TRIM(UPPER(Raw_Data!J488))</f>
        <v>TRK75267873</v>
      </c>
      <c r="K488" s="2" t="n">
        <f aca="false">Raw_Data!K488</f>
        <v>5</v>
      </c>
      <c r="L488" s="2" t="str">
        <f aca="false">IF(TRIM(Raw_Data!L488)="","No Coupon",TRIM(UPPER(Raw_Data!L488)))</f>
        <v>SAVE10</v>
      </c>
      <c r="M488" s="2" t="str">
        <f aca="false">PROPER(TRIM(Raw_Data!M488))</f>
        <v>Referral</v>
      </c>
      <c r="N488" s="4" t="n">
        <f aca="false">ROUND(E488*F488,2)</f>
        <v>2445.04</v>
      </c>
      <c r="O488" s="2" t="str">
        <f aca="false">IF(COUNTIF($A$2:$A$1201,A488)&gt;1,"DUPLICATE","Unique")</f>
        <v>Unique</v>
      </c>
      <c r="P488" s="2" t="str">
        <f aca="false">IF(L488="","MISSING","OK")</f>
        <v>OK</v>
      </c>
      <c r="Q488" s="2" t="str">
        <f aca="false">IF(ISNUMBER(B488),"OK","BAD DATE")</f>
        <v>OK</v>
      </c>
      <c r="R488" s="2" t="str">
        <f aca="false">IF(ROUND(F488,2)=F488,"OK","FIX")</f>
        <v>OK</v>
      </c>
    </row>
    <row r="489" customFormat="false" ht="15" hidden="false" customHeight="false" outlineLevel="0" collapsed="false">
      <c r="A489" s="2" t="str">
        <f aca="false">TRIM(UPPER(Raw_Data!A489))</f>
        <v>ORD200487</v>
      </c>
      <c r="B489" s="3" t="n">
        <f aca="false">IF(ISNUMBER(Raw_Data!B489),Raw_Data!B489,DATEVALUE(Raw_Data!B489))</f>
        <v>44994</v>
      </c>
      <c r="C489" s="2" t="str">
        <f aca="false">TRIM(UPPER(Raw_Data!C489))</f>
        <v>C40136</v>
      </c>
      <c r="D489" s="2" t="str">
        <f aca="false">PROPER(TRIM(Raw_Data!D489))</f>
        <v>Printer</v>
      </c>
      <c r="E489" s="2" t="n">
        <f aca="false">Raw_Data!E489</f>
        <v>3</v>
      </c>
      <c r="F489" s="4" t="n">
        <f aca="false">ROUND(Raw_Data!F489,2)</f>
        <v>346.52</v>
      </c>
      <c r="G489" s="2" t="str">
        <f aca="false">PROPER(TRIM(Raw_Data!G489))</f>
        <v>211 Main St</v>
      </c>
      <c r="H489" s="2" t="str">
        <f aca="false">PROPER(TRIM(Raw_Data!H489))</f>
        <v>Credit Card</v>
      </c>
      <c r="I489" s="2" t="str">
        <f aca="false">PROPER(TRIM(Raw_Data!I489))</f>
        <v>Pending</v>
      </c>
      <c r="J489" s="2" t="str">
        <f aca="false">TRIM(UPPER(Raw_Data!J489))</f>
        <v>TRK92924852</v>
      </c>
      <c r="K489" s="2" t="n">
        <f aca="false">Raw_Data!K489</f>
        <v>3</v>
      </c>
      <c r="L489" s="2" t="str">
        <f aca="false">IF(TRIM(Raw_Data!L489)="","No Coupon",TRIM(UPPER(Raw_Data!L489)))</f>
        <v>SAVE10</v>
      </c>
      <c r="M489" s="2" t="str">
        <f aca="false">PROPER(TRIM(Raw_Data!M489))</f>
        <v>Google</v>
      </c>
      <c r="N489" s="4" t="n">
        <f aca="false">ROUND(E489*F489,2)</f>
        <v>1039.56</v>
      </c>
      <c r="O489" s="2" t="str">
        <f aca="false">IF(COUNTIF($A$2:$A$1201,A489)&gt;1,"DUPLICATE","Unique")</f>
        <v>Unique</v>
      </c>
      <c r="P489" s="2" t="str">
        <f aca="false">IF(L489="","MISSING","OK")</f>
        <v>OK</v>
      </c>
      <c r="Q489" s="2" t="str">
        <f aca="false">IF(ISNUMBER(B489),"OK","BAD DATE")</f>
        <v>OK</v>
      </c>
      <c r="R489" s="2" t="str">
        <f aca="false">IF(ROUND(F489,2)=F489,"OK","FIX")</f>
        <v>OK</v>
      </c>
    </row>
    <row r="490" customFormat="false" ht="15" hidden="false" customHeight="false" outlineLevel="0" collapsed="false">
      <c r="A490" s="2" t="str">
        <f aca="false">TRIM(UPPER(Raw_Data!A490))</f>
        <v>ORD200488</v>
      </c>
      <c r="B490" s="3" t="n">
        <f aca="false">IF(ISNUMBER(Raw_Data!B490),Raw_Data!B490,DATEVALUE(Raw_Data!B490))</f>
        <v>45631</v>
      </c>
      <c r="C490" s="2" t="str">
        <f aca="false">TRIM(UPPER(Raw_Data!C490))</f>
        <v>C81573</v>
      </c>
      <c r="D490" s="2" t="str">
        <f aca="false">PROPER(TRIM(Raw_Data!D490))</f>
        <v>Chair</v>
      </c>
      <c r="E490" s="2" t="n">
        <f aca="false">Raw_Data!E490</f>
        <v>1</v>
      </c>
      <c r="F490" s="4" t="n">
        <f aca="false">ROUND(Raw_Data!F490,2)</f>
        <v>36.65</v>
      </c>
      <c r="G490" s="2" t="str">
        <f aca="false">PROPER(TRIM(Raw_Data!G490))</f>
        <v>556 Main St</v>
      </c>
      <c r="H490" s="2" t="str">
        <f aca="false">PROPER(TRIM(Raw_Data!H490))</f>
        <v>Online</v>
      </c>
      <c r="I490" s="2" t="str">
        <f aca="false">PROPER(TRIM(Raw_Data!I490))</f>
        <v>Cancelled</v>
      </c>
      <c r="J490" s="2" t="str">
        <f aca="false">TRIM(UPPER(Raw_Data!J490))</f>
        <v>TRK96522994</v>
      </c>
      <c r="K490" s="2" t="n">
        <f aca="false">Raw_Data!K490</f>
        <v>1</v>
      </c>
      <c r="L490" s="2" t="str">
        <f aca="false">IF(TRIM(Raw_Data!L490)="","No Coupon",TRIM(UPPER(Raw_Data!L490)))</f>
        <v>WINTER15</v>
      </c>
      <c r="M490" s="2" t="str">
        <f aca="false">PROPER(TRIM(Raw_Data!M490))</f>
        <v>Email</v>
      </c>
      <c r="N490" s="4" t="n">
        <f aca="false">ROUND(E490*F490,2)</f>
        <v>36.65</v>
      </c>
      <c r="O490" s="2" t="str">
        <f aca="false">IF(COUNTIF($A$2:$A$1201,A490)&gt;1,"DUPLICATE","Unique")</f>
        <v>Unique</v>
      </c>
      <c r="P490" s="2" t="str">
        <f aca="false">IF(L490="","MISSING","OK")</f>
        <v>OK</v>
      </c>
      <c r="Q490" s="2" t="str">
        <f aca="false">IF(ISNUMBER(B490),"OK","BAD DATE")</f>
        <v>OK</v>
      </c>
      <c r="R490" s="2" t="str">
        <f aca="false">IF(ROUND(F490,2)=F490,"OK","FIX")</f>
        <v>OK</v>
      </c>
    </row>
    <row r="491" customFormat="false" ht="15" hidden="false" customHeight="false" outlineLevel="0" collapsed="false">
      <c r="A491" s="2" t="str">
        <f aca="false">TRIM(UPPER(Raw_Data!A491))</f>
        <v>ORD200489</v>
      </c>
      <c r="B491" s="3" t="n">
        <f aca="false">IF(ISNUMBER(Raw_Data!B491),Raw_Data!B491,DATEVALUE(Raw_Data!B491))</f>
        <v>45174</v>
      </c>
      <c r="C491" s="2" t="str">
        <f aca="false">TRIM(UPPER(Raw_Data!C491))</f>
        <v>C11940</v>
      </c>
      <c r="D491" s="2" t="str">
        <f aca="false">PROPER(TRIM(Raw_Data!D491))</f>
        <v>Tablet</v>
      </c>
      <c r="E491" s="2" t="n">
        <f aca="false">Raw_Data!E491</f>
        <v>3</v>
      </c>
      <c r="F491" s="4" t="n">
        <f aca="false">ROUND(Raw_Data!F491,2)</f>
        <v>149.34</v>
      </c>
      <c r="G491" s="2" t="str">
        <f aca="false">PROPER(TRIM(Raw_Data!G491))</f>
        <v>589 Main St</v>
      </c>
      <c r="H491" s="2" t="str">
        <f aca="false">PROPER(TRIM(Raw_Data!H491))</f>
        <v>Gift Card</v>
      </c>
      <c r="I491" s="2" t="str">
        <f aca="false">PROPER(TRIM(Raw_Data!I491))</f>
        <v>Cancelled</v>
      </c>
      <c r="J491" s="2" t="str">
        <f aca="false">TRIM(UPPER(Raw_Data!J491))</f>
        <v>TRK85466461</v>
      </c>
      <c r="K491" s="2" t="n">
        <f aca="false">Raw_Data!K491</f>
        <v>7</v>
      </c>
      <c r="L491" s="2" t="str">
        <f aca="false">IF(TRIM(Raw_Data!L491)="","No Coupon",TRIM(UPPER(Raw_Data!L491)))</f>
        <v>WINTER15</v>
      </c>
      <c r="M491" s="2" t="str">
        <f aca="false">PROPER(TRIM(Raw_Data!M491))</f>
        <v>Email</v>
      </c>
      <c r="N491" s="4" t="n">
        <f aca="false">ROUND(E491*F491,2)</f>
        <v>448.02</v>
      </c>
      <c r="O491" s="2" t="str">
        <f aca="false">IF(COUNTIF($A$2:$A$1201,A491)&gt;1,"DUPLICATE","Unique")</f>
        <v>Unique</v>
      </c>
      <c r="P491" s="2" t="str">
        <f aca="false">IF(L491="","MISSING","OK")</f>
        <v>OK</v>
      </c>
      <c r="Q491" s="2" t="str">
        <f aca="false">IF(ISNUMBER(B491),"OK","BAD DATE")</f>
        <v>OK</v>
      </c>
      <c r="R491" s="2" t="str">
        <f aca="false">IF(ROUND(F491,2)=F491,"OK","FIX")</f>
        <v>OK</v>
      </c>
    </row>
    <row r="492" customFormat="false" ht="15" hidden="false" customHeight="false" outlineLevel="0" collapsed="false">
      <c r="A492" s="2" t="str">
        <f aca="false">TRIM(UPPER(Raw_Data!A492))</f>
        <v>ORD200490</v>
      </c>
      <c r="B492" s="3" t="n">
        <f aca="false">IF(ISNUMBER(Raw_Data!B492),Raw_Data!B492,DATEVALUE(Raw_Data!B492))</f>
        <v>45495</v>
      </c>
      <c r="C492" s="2" t="str">
        <f aca="false">TRIM(UPPER(Raw_Data!C492))</f>
        <v>C50097</v>
      </c>
      <c r="D492" s="2" t="str">
        <f aca="false">PROPER(TRIM(Raw_Data!D492))</f>
        <v>Chair</v>
      </c>
      <c r="E492" s="2" t="n">
        <f aca="false">Raw_Data!E492</f>
        <v>5</v>
      </c>
      <c r="F492" s="4" t="n">
        <f aca="false">ROUND(Raw_Data!F492,2)</f>
        <v>467.81</v>
      </c>
      <c r="G492" s="2" t="str">
        <f aca="false">PROPER(TRIM(Raw_Data!G492))</f>
        <v>539 Main St</v>
      </c>
      <c r="H492" s="2" t="str">
        <f aca="false">PROPER(TRIM(Raw_Data!H492))</f>
        <v>Online</v>
      </c>
      <c r="I492" s="2" t="str">
        <f aca="false">PROPER(TRIM(Raw_Data!I492))</f>
        <v>Cancelled</v>
      </c>
      <c r="J492" s="2" t="str">
        <f aca="false">TRIM(UPPER(Raw_Data!J492))</f>
        <v>TRK62785150</v>
      </c>
      <c r="K492" s="2" t="n">
        <f aca="false">Raw_Data!K492</f>
        <v>10</v>
      </c>
      <c r="L492" s="2" t="str">
        <f aca="false">IF(TRIM(Raw_Data!L492)="","No Coupon",TRIM(UPPER(Raw_Data!L492)))</f>
        <v>No Coupon</v>
      </c>
      <c r="M492" s="2" t="str">
        <f aca="false">PROPER(TRIM(Raw_Data!M492))</f>
        <v>Facebook</v>
      </c>
      <c r="N492" s="4" t="n">
        <f aca="false">ROUND(E492*F492,2)</f>
        <v>2339.05</v>
      </c>
      <c r="O492" s="2" t="str">
        <f aca="false">IF(COUNTIF($A$2:$A$1201,A492)&gt;1,"DUPLICATE","Unique")</f>
        <v>Unique</v>
      </c>
      <c r="P492" s="2" t="str">
        <f aca="false">IF(L492="","MISSING","OK")</f>
        <v>OK</v>
      </c>
      <c r="Q492" s="2" t="str">
        <f aca="false">IF(ISNUMBER(B492),"OK","BAD DATE")</f>
        <v>OK</v>
      </c>
      <c r="R492" s="2" t="str">
        <f aca="false">IF(ROUND(F492,2)=F492,"OK","FIX")</f>
        <v>OK</v>
      </c>
    </row>
    <row r="493" customFormat="false" ht="15" hidden="false" customHeight="false" outlineLevel="0" collapsed="false">
      <c r="A493" s="2" t="str">
        <f aca="false">TRIM(UPPER(Raw_Data!A493))</f>
        <v>ORD200491</v>
      </c>
      <c r="B493" s="3" t="n">
        <f aca="false">IF(ISNUMBER(Raw_Data!B493),Raw_Data!B493,DATEVALUE(Raw_Data!B493))</f>
        <v>44931</v>
      </c>
      <c r="C493" s="2" t="str">
        <f aca="false">TRIM(UPPER(Raw_Data!C493))</f>
        <v>C98168</v>
      </c>
      <c r="D493" s="2" t="str">
        <f aca="false">PROPER(TRIM(Raw_Data!D493))</f>
        <v>Phone</v>
      </c>
      <c r="E493" s="2" t="n">
        <f aca="false">Raw_Data!E493</f>
        <v>5</v>
      </c>
      <c r="F493" s="4" t="n">
        <f aca="false">ROUND(Raw_Data!F493,2)</f>
        <v>420.7</v>
      </c>
      <c r="G493" s="2" t="str">
        <f aca="false">PROPER(TRIM(Raw_Data!G493))</f>
        <v>481 Main St</v>
      </c>
      <c r="H493" s="2" t="str">
        <f aca="false">PROPER(TRIM(Raw_Data!H493))</f>
        <v>Cash</v>
      </c>
      <c r="I493" s="2" t="str">
        <f aca="false">PROPER(TRIM(Raw_Data!I493))</f>
        <v>Pending</v>
      </c>
      <c r="J493" s="2" t="str">
        <f aca="false">TRIM(UPPER(Raw_Data!J493))</f>
        <v>TRK56423359</v>
      </c>
      <c r="K493" s="2" t="n">
        <f aca="false">Raw_Data!K493</f>
        <v>5</v>
      </c>
      <c r="L493" s="2" t="str">
        <f aca="false">IF(TRIM(Raw_Data!L493)="","No Coupon",TRIM(UPPER(Raw_Data!L493)))</f>
        <v>WINTER15</v>
      </c>
      <c r="M493" s="2" t="str">
        <f aca="false">PROPER(TRIM(Raw_Data!M493))</f>
        <v>Facebook</v>
      </c>
      <c r="N493" s="4" t="n">
        <f aca="false">ROUND(E493*F493,2)</f>
        <v>2103.5</v>
      </c>
      <c r="O493" s="2" t="str">
        <f aca="false">IF(COUNTIF($A$2:$A$1201,A493)&gt;1,"DUPLICATE","Unique")</f>
        <v>Unique</v>
      </c>
      <c r="P493" s="2" t="str">
        <f aca="false">IF(L493="","MISSING","OK")</f>
        <v>OK</v>
      </c>
      <c r="Q493" s="2" t="str">
        <f aca="false">IF(ISNUMBER(B493),"OK","BAD DATE")</f>
        <v>OK</v>
      </c>
      <c r="R493" s="2" t="str">
        <f aca="false">IF(ROUND(F493,2)=F493,"OK","FIX")</f>
        <v>OK</v>
      </c>
    </row>
    <row r="494" customFormat="false" ht="15" hidden="false" customHeight="false" outlineLevel="0" collapsed="false">
      <c r="A494" s="2" t="str">
        <f aca="false">TRIM(UPPER(Raw_Data!A494))</f>
        <v>ORD200492</v>
      </c>
      <c r="B494" s="3" t="n">
        <f aca="false">IF(ISNUMBER(Raw_Data!B494),Raw_Data!B494,DATEVALUE(Raw_Data!B494))</f>
        <v>45224</v>
      </c>
      <c r="C494" s="2" t="str">
        <f aca="false">TRIM(UPPER(Raw_Data!C494))</f>
        <v>C39074</v>
      </c>
      <c r="D494" s="2" t="str">
        <f aca="false">PROPER(TRIM(Raw_Data!D494))</f>
        <v>Laptop</v>
      </c>
      <c r="E494" s="2" t="n">
        <f aca="false">Raw_Data!E494</f>
        <v>5</v>
      </c>
      <c r="F494" s="4" t="n">
        <f aca="false">ROUND(Raw_Data!F494,2)</f>
        <v>606.52</v>
      </c>
      <c r="G494" s="2" t="str">
        <f aca="false">PROPER(TRIM(Raw_Data!G494))</f>
        <v>103 Main St</v>
      </c>
      <c r="H494" s="2" t="str">
        <f aca="false">PROPER(TRIM(Raw_Data!H494))</f>
        <v>Debit Card</v>
      </c>
      <c r="I494" s="2" t="str">
        <f aca="false">PROPER(TRIM(Raw_Data!I494))</f>
        <v>Shipped</v>
      </c>
      <c r="J494" s="2" t="str">
        <f aca="false">TRIM(UPPER(Raw_Data!J494))</f>
        <v>TRK13027036</v>
      </c>
      <c r="K494" s="2" t="n">
        <f aca="false">Raw_Data!K494</f>
        <v>6</v>
      </c>
      <c r="L494" s="2" t="str">
        <f aca="false">IF(TRIM(Raw_Data!L494)="","No Coupon",TRIM(UPPER(Raw_Data!L494)))</f>
        <v>SAVE10</v>
      </c>
      <c r="M494" s="2" t="str">
        <f aca="false">PROPER(TRIM(Raw_Data!M494))</f>
        <v>Instagram</v>
      </c>
      <c r="N494" s="4" t="n">
        <f aca="false">ROUND(E494*F494,2)</f>
        <v>3032.6</v>
      </c>
      <c r="O494" s="2" t="str">
        <f aca="false">IF(COUNTIF($A$2:$A$1201,A494)&gt;1,"DUPLICATE","Unique")</f>
        <v>Unique</v>
      </c>
      <c r="P494" s="2" t="str">
        <f aca="false">IF(L494="","MISSING","OK")</f>
        <v>OK</v>
      </c>
      <c r="Q494" s="2" t="str">
        <f aca="false">IF(ISNUMBER(B494),"OK","BAD DATE")</f>
        <v>OK</v>
      </c>
      <c r="R494" s="2" t="str">
        <f aca="false">IF(ROUND(F494,2)=F494,"OK","FIX")</f>
        <v>OK</v>
      </c>
    </row>
    <row r="495" customFormat="false" ht="15" hidden="false" customHeight="false" outlineLevel="0" collapsed="false">
      <c r="A495" s="2" t="str">
        <f aca="false">TRIM(UPPER(Raw_Data!A495))</f>
        <v>ORD200493</v>
      </c>
      <c r="B495" s="3" t="n">
        <f aca="false">IF(ISNUMBER(Raw_Data!B495),Raw_Data!B495,DATEVALUE(Raw_Data!B495))</f>
        <v>45685</v>
      </c>
      <c r="C495" s="2" t="str">
        <f aca="false">TRIM(UPPER(Raw_Data!C495))</f>
        <v>C84908</v>
      </c>
      <c r="D495" s="2" t="str">
        <f aca="false">PROPER(TRIM(Raw_Data!D495))</f>
        <v>Phone</v>
      </c>
      <c r="E495" s="2" t="n">
        <f aca="false">Raw_Data!E495</f>
        <v>1</v>
      </c>
      <c r="F495" s="4" t="n">
        <f aca="false">ROUND(Raw_Data!F495,2)</f>
        <v>420.26</v>
      </c>
      <c r="G495" s="2" t="str">
        <f aca="false">PROPER(TRIM(Raw_Data!G495))</f>
        <v>372 Main St</v>
      </c>
      <c r="H495" s="2" t="str">
        <f aca="false">PROPER(TRIM(Raw_Data!H495))</f>
        <v>Credit Card</v>
      </c>
      <c r="I495" s="2" t="str">
        <f aca="false">PROPER(TRIM(Raw_Data!I495))</f>
        <v>Pending</v>
      </c>
      <c r="J495" s="2" t="str">
        <f aca="false">TRIM(UPPER(Raw_Data!J495))</f>
        <v>TRK64135970</v>
      </c>
      <c r="K495" s="2" t="n">
        <f aca="false">Raw_Data!K495</f>
        <v>4</v>
      </c>
      <c r="L495" s="2" t="str">
        <f aca="false">IF(TRIM(Raw_Data!L495)="","No Coupon",TRIM(UPPER(Raw_Data!L495)))</f>
        <v>FREESHIP</v>
      </c>
      <c r="M495" s="2" t="str">
        <f aca="false">PROPER(TRIM(Raw_Data!M495))</f>
        <v>Facebook</v>
      </c>
      <c r="N495" s="4" t="n">
        <f aca="false">ROUND(E495*F495,2)</f>
        <v>420.26</v>
      </c>
      <c r="O495" s="2" t="str">
        <f aca="false">IF(COUNTIF($A$2:$A$1201,A495)&gt;1,"DUPLICATE","Unique")</f>
        <v>Unique</v>
      </c>
      <c r="P495" s="2" t="str">
        <f aca="false">IF(L495="","MISSING","OK")</f>
        <v>OK</v>
      </c>
      <c r="Q495" s="2" t="str">
        <f aca="false">IF(ISNUMBER(B495),"OK","BAD DATE")</f>
        <v>OK</v>
      </c>
      <c r="R495" s="2" t="str">
        <f aca="false">IF(ROUND(F495,2)=F495,"OK","FIX")</f>
        <v>OK</v>
      </c>
    </row>
    <row r="496" customFormat="false" ht="15" hidden="false" customHeight="false" outlineLevel="0" collapsed="false">
      <c r="A496" s="2" t="str">
        <f aca="false">TRIM(UPPER(Raw_Data!A496))</f>
        <v>ORD200494</v>
      </c>
      <c r="B496" s="3" t="n">
        <f aca="false">IF(ISNUMBER(Raw_Data!B496),Raw_Data!B496,DATEVALUE(Raw_Data!B496))</f>
        <v>45126</v>
      </c>
      <c r="C496" s="2" t="str">
        <f aca="false">TRIM(UPPER(Raw_Data!C496))</f>
        <v>C64516</v>
      </c>
      <c r="D496" s="2" t="str">
        <f aca="false">PROPER(TRIM(Raw_Data!D496))</f>
        <v>Laptop</v>
      </c>
      <c r="E496" s="2" t="n">
        <f aca="false">Raw_Data!E496</f>
        <v>3</v>
      </c>
      <c r="F496" s="4" t="n">
        <f aca="false">ROUND(Raw_Data!F496,2)</f>
        <v>505.79</v>
      </c>
      <c r="G496" s="2" t="str">
        <f aca="false">PROPER(TRIM(Raw_Data!G496))</f>
        <v>459 Main St</v>
      </c>
      <c r="H496" s="2" t="str">
        <f aca="false">PROPER(TRIM(Raw_Data!H496))</f>
        <v>Debit Card</v>
      </c>
      <c r="I496" s="2" t="str">
        <f aca="false">PROPER(TRIM(Raw_Data!I496))</f>
        <v>Pending</v>
      </c>
      <c r="J496" s="2" t="str">
        <f aca="false">TRIM(UPPER(Raw_Data!J496))</f>
        <v>TRK63920573</v>
      </c>
      <c r="K496" s="2" t="n">
        <f aca="false">Raw_Data!K496</f>
        <v>3</v>
      </c>
      <c r="L496" s="2" t="str">
        <f aca="false">IF(TRIM(Raw_Data!L496)="","No Coupon",TRIM(UPPER(Raw_Data!L496)))</f>
        <v>FREESHIP</v>
      </c>
      <c r="M496" s="2" t="str">
        <f aca="false">PROPER(TRIM(Raw_Data!M496))</f>
        <v>Referral</v>
      </c>
      <c r="N496" s="4" t="n">
        <f aca="false">ROUND(E496*F496,2)</f>
        <v>1517.37</v>
      </c>
      <c r="O496" s="2" t="str">
        <f aca="false">IF(COUNTIF($A$2:$A$1201,A496)&gt;1,"DUPLICATE","Unique")</f>
        <v>Unique</v>
      </c>
      <c r="P496" s="2" t="str">
        <f aca="false">IF(L496="","MISSING","OK")</f>
        <v>OK</v>
      </c>
      <c r="Q496" s="2" t="str">
        <f aca="false">IF(ISNUMBER(B496),"OK","BAD DATE")</f>
        <v>OK</v>
      </c>
      <c r="R496" s="2" t="str">
        <f aca="false">IF(ROUND(F496,2)=F496,"OK","FIX")</f>
        <v>OK</v>
      </c>
    </row>
    <row r="497" customFormat="false" ht="15" hidden="false" customHeight="false" outlineLevel="0" collapsed="false">
      <c r="A497" s="2" t="str">
        <f aca="false">TRIM(UPPER(Raw_Data!A497))</f>
        <v>ORD200495</v>
      </c>
      <c r="B497" s="3" t="n">
        <f aca="false">IF(ISNUMBER(Raw_Data!B497),Raw_Data!B497,DATEVALUE(Raw_Data!B497))</f>
        <v>45813</v>
      </c>
      <c r="C497" s="2" t="str">
        <f aca="false">TRIM(UPPER(Raw_Data!C497))</f>
        <v>C63827</v>
      </c>
      <c r="D497" s="2" t="str">
        <f aca="false">PROPER(TRIM(Raw_Data!D497))</f>
        <v>Phone</v>
      </c>
      <c r="E497" s="2" t="n">
        <f aca="false">Raw_Data!E497</f>
        <v>4</v>
      </c>
      <c r="F497" s="4" t="n">
        <f aca="false">ROUND(Raw_Data!F497,2)</f>
        <v>493.73</v>
      </c>
      <c r="G497" s="2" t="str">
        <f aca="false">PROPER(TRIM(Raw_Data!G497))</f>
        <v>947 Main St</v>
      </c>
      <c r="H497" s="2" t="str">
        <f aca="false">PROPER(TRIM(Raw_Data!H497))</f>
        <v>Debit Card</v>
      </c>
      <c r="I497" s="2" t="str">
        <f aca="false">PROPER(TRIM(Raw_Data!I497))</f>
        <v>Pending</v>
      </c>
      <c r="J497" s="2" t="str">
        <f aca="false">TRIM(UPPER(Raw_Data!J497))</f>
        <v>TRK35730581</v>
      </c>
      <c r="K497" s="2" t="n">
        <f aca="false">Raw_Data!K497</f>
        <v>6</v>
      </c>
      <c r="L497" s="2" t="str">
        <f aca="false">IF(TRIM(Raw_Data!L497)="","No Coupon",TRIM(UPPER(Raw_Data!L497)))</f>
        <v>SAVE10</v>
      </c>
      <c r="M497" s="2" t="str">
        <f aca="false">PROPER(TRIM(Raw_Data!M497))</f>
        <v>Facebook</v>
      </c>
      <c r="N497" s="4" t="n">
        <f aca="false">ROUND(E497*F497,2)</f>
        <v>1974.92</v>
      </c>
      <c r="O497" s="2" t="str">
        <f aca="false">IF(COUNTIF($A$2:$A$1201,A497)&gt;1,"DUPLICATE","Unique")</f>
        <v>Unique</v>
      </c>
      <c r="P497" s="2" t="str">
        <f aca="false">IF(L497="","MISSING","OK")</f>
        <v>OK</v>
      </c>
      <c r="Q497" s="2" t="str">
        <f aca="false">IF(ISNUMBER(B497),"OK","BAD DATE")</f>
        <v>OK</v>
      </c>
      <c r="R497" s="2" t="str">
        <f aca="false">IF(ROUND(F497,2)=F497,"OK","FIX")</f>
        <v>OK</v>
      </c>
    </row>
    <row r="498" customFormat="false" ht="15" hidden="false" customHeight="false" outlineLevel="0" collapsed="false">
      <c r="A498" s="2" t="str">
        <f aca="false">TRIM(UPPER(Raw_Data!A498))</f>
        <v>ORD200496</v>
      </c>
      <c r="B498" s="3" t="n">
        <f aca="false">IF(ISNUMBER(Raw_Data!B498),Raw_Data!B498,DATEVALUE(Raw_Data!B498))</f>
        <v>45730</v>
      </c>
      <c r="C498" s="2" t="str">
        <f aca="false">TRIM(UPPER(Raw_Data!C498))</f>
        <v>C93618</v>
      </c>
      <c r="D498" s="2" t="str">
        <f aca="false">PROPER(TRIM(Raw_Data!D498))</f>
        <v>Printer</v>
      </c>
      <c r="E498" s="2" t="n">
        <f aca="false">Raw_Data!E498</f>
        <v>3</v>
      </c>
      <c r="F498" s="4" t="n">
        <f aca="false">ROUND(Raw_Data!F498,2)</f>
        <v>201.21</v>
      </c>
      <c r="G498" s="2" t="str">
        <f aca="false">PROPER(TRIM(Raw_Data!G498))</f>
        <v>249 Main St</v>
      </c>
      <c r="H498" s="2" t="str">
        <f aca="false">PROPER(TRIM(Raw_Data!H498))</f>
        <v>Online</v>
      </c>
      <c r="I498" s="2" t="str">
        <f aca="false">PROPER(TRIM(Raw_Data!I498))</f>
        <v>Cancelled</v>
      </c>
      <c r="J498" s="2" t="str">
        <f aca="false">TRIM(UPPER(Raw_Data!J498))</f>
        <v>TRK66129326</v>
      </c>
      <c r="K498" s="2" t="n">
        <f aca="false">Raw_Data!K498</f>
        <v>3</v>
      </c>
      <c r="L498" s="2" t="str">
        <f aca="false">IF(TRIM(Raw_Data!L498)="","No Coupon",TRIM(UPPER(Raw_Data!L498)))</f>
        <v>SAVE10</v>
      </c>
      <c r="M498" s="2" t="str">
        <f aca="false">PROPER(TRIM(Raw_Data!M498))</f>
        <v>Google</v>
      </c>
      <c r="N498" s="4" t="n">
        <f aca="false">ROUND(E498*F498,2)</f>
        <v>603.63</v>
      </c>
      <c r="O498" s="2" t="str">
        <f aca="false">IF(COUNTIF($A$2:$A$1201,A498)&gt;1,"DUPLICATE","Unique")</f>
        <v>Unique</v>
      </c>
      <c r="P498" s="2" t="str">
        <f aca="false">IF(L498="","MISSING","OK")</f>
        <v>OK</v>
      </c>
      <c r="Q498" s="2" t="str">
        <f aca="false">IF(ISNUMBER(B498),"OK","BAD DATE")</f>
        <v>OK</v>
      </c>
      <c r="R498" s="2" t="str">
        <f aca="false">IF(ROUND(F498,2)=F498,"OK","FIX")</f>
        <v>OK</v>
      </c>
    </row>
    <row r="499" customFormat="false" ht="15" hidden="false" customHeight="false" outlineLevel="0" collapsed="false">
      <c r="A499" s="2" t="str">
        <f aca="false">TRIM(UPPER(Raw_Data!A499))</f>
        <v>ORD200497</v>
      </c>
      <c r="B499" s="3" t="n">
        <f aca="false">IF(ISNUMBER(Raw_Data!B499),Raw_Data!B499,DATEVALUE(Raw_Data!B499))</f>
        <v>45589</v>
      </c>
      <c r="C499" s="2" t="str">
        <f aca="false">TRIM(UPPER(Raw_Data!C499))</f>
        <v>C93948</v>
      </c>
      <c r="D499" s="2" t="str">
        <f aca="false">PROPER(TRIM(Raw_Data!D499))</f>
        <v>Printer</v>
      </c>
      <c r="E499" s="2" t="n">
        <f aca="false">Raw_Data!E499</f>
        <v>3</v>
      </c>
      <c r="F499" s="4" t="n">
        <f aca="false">ROUND(Raw_Data!F499,2)</f>
        <v>112.29</v>
      </c>
      <c r="G499" s="2" t="str">
        <f aca="false">PROPER(TRIM(Raw_Data!G499))</f>
        <v>454 Main St</v>
      </c>
      <c r="H499" s="2" t="str">
        <f aca="false">PROPER(TRIM(Raw_Data!H499))</f>
        <v>Gift Card</v>
      </c>
      <c r="I499" s="2" t="str">
        <f aca="false">PROPER(TRIM(Raw_Data!I499))</f>
        <v>Shipped</v>
      </c>
      <c r="J499" s="2" t="str">
        <f aca="false">TRIM(UPPER(Raw_Data!J499))</f>
        <v>TRK77358113</v>
      </c>
      <c r="K499" s="2" t="n">
        <f aca="false">Raw_Data!K499</f>
        <v>6</v>
      </c>
      <c r="L499" s="2" t="str">
        <f aca="false">IF(TRIM(Raw_Data!L499)="","No Coupon",TRIM(UPPER(Raw_Data!L499)))</f>
        <v>No Coupon</v>
      </c>
      <c r="M499" s="2" t="str">
        <f aca="false">PROPER(TRIM(Raw_Data!M499))</f>
        <v>Google</v>
      </c>
      <c r="N499" s="4" t="n">
        <f aca="false">ROUND(E499*F499,2)</f>
        <v>336.87</v>
      </c>
      <c r="O499" s="2" t="str">
        <f aca="false">IF(COUNTIF($A$2:$A$1201,A499)&gt;1,"DUPLICATE","Unique")</f>
        <v>Unique</v>
      </c>
      <c r="P499" s="2" t="str">
        <f aca="false">IF(L499="","MISSING","OK")</f>
        <v>OK</v>
      </c>
      <c r="Q499" s="2" t="str">
        <f aca="false">IF(ISNUMBER(B499),"OK","BAD DATE")</f>
        <v>OK</v>
      </c>
      <c r="R499" s="2" t="str">
        <f aca="false">IF(ROUND(F499,2)=F499,"OK","FIX")</f>
        <v>OK</v>
      </c>
    </row>
    <row r="500" customFormat="false" ht="15" hidden="false" customHeight="false" outlineLevel="0" collapsed="false">
      <c r="A500" s="2" t="str">
        <f aca="false">TRIM(UPPER(Raw_Data!A500))</f>
        <v>ORD200498</v>
      </c>
      <c r="B500" s="3" t="n">
        <f aca="false">IF(ISNUMBER(Raw_Data!B500),Raw_Data!B500,DATEVALUE(Raw_Data!B500))</f>
        <v>45119</v>
      </c>
      <c r="C500" s="2" t="str">
        <f aca="false">TRIM(UPPER(Raw_Data!C500))</f>
        <v>C73961</v>
      </c>
      <c r="D500" s="2" t="str">
        <f aca="false">PROPER(TRIM(Raw_Data!D500))</f>
        <v>Tablet</v>
      </c>
      <c r="E500" s="2" t="n">
        <f aca="false">Raw_Data!E500</f>
        <v>4</v>
      </c>
      <c r="F500" s="4" t="n">
        <f aca="false">ROUND(Raw_Data!F500,2)</f>
        <v>132.56</v>
      </c>
      <c r="G500" s="2" t="str">
        <f aca="false">PROPER(TRIM(Raw_Data!G500))</f>
        <v>306 Main St</v>
      </c>
      <c r="H500" s="2" t="str">
        <f aca="false">PROPER(TRIM(Raw_Data!H500))</f>
        <v>Cash</v>
      </c>
      <c r="I500" s="2" t="str">
        <f aca="false">PROPER(TRIM(Raw_Data!I500))</f>
        <v>Returned</v>
      </c>
      <c r="J500" s="2" t="str">
        <f aca="false">TRIM(UPPER(Raw_Data!J500))</f>
        <v>TRK32607173</v>
      </c>
      <c r="K500" s="2" t="n">
        <f aca="false">Raw_Data!K500</f>
        <v>8</v>
      </c>
      <c r="L500" s="2" t="str">
        <f aca="false">IF(TRIM(Raw_Data!L500)="","No Coupon",TRIM(UPPER(Raw_Data!L500)))</f>
        <v>WINTER15</v>
      </c>
      <c r="M500" s="2" t="str">
        <f aca="false">PROPER(TRIM(Raw_Data!M500))</f>
        <v>Instagram</v>
      </c>
      <c r="N500" s="4" t="n">
        <f aca="false">ROUND(E500*F500,2)</f>
        <v>530.24</v>
      </c>
      <c r="O500" s="2" t="str">
        <f aca="false">IF(COUNTIF($A$2:$A$1201,A500)&gt;1,"DUPLICATE","Unique")</f>
        <v>Unique</v>
      </c>
      <c r="P500" s="2" t="str">
        <f aca="false">IF(L500="","MISSING","OK")</f>
        <v>OK</v>
      </c>
      <c r="Q500" s="2" t="str">
        <f aca="false">IF(ISNUMBER(B500),"OK","BAD DATE")</f>
        <v>OK</v>
      </c>
      <c r="R500" s="2" t="str">
        <f aca="false">IF(ROUND(F500,2)=F500,"OK","FIX")</f>
        <v>OK</v>
      </c>
    </row>
    <row r="501" customFormat="false" ht="15" hidden="false" customHeight="false" outlineLevel="0" collapsed="false">
      <c r="A501" s="2" t="str">
        <f aca="false">TRIM(UPPER(Raw_Data!A501))</f>
        <v>ORD200499</v>
      </c>
      <c r="B501" s="3" t="n">
        <f aca="false">IF(ISNUMBER(Raw_Data!B501),Raw_Data!B501,DATEVALUE(Raw_Data!B501))</f>
        <v>45022</v>
      </c>
      <c r="C501" s="2" t="str">
        <f aca="false">TRIM(UPPER(Raw_Data!C501))</f>
        <v>C18138</v>
      </c>
      <c r="D501" s="2" t="str">
        <f aca="false">PROPER(TRIM(Raw_Data!D501))</f>
        <v>Printer</v>
      </c>
      <c r="E501" s="2" t="n">
        <f aca="false">Raw_Data!E501</f>
        <v>3</v>
      </c>
      <c r="F501" s="4" t="n">
        <f aca="false">ROUND(Raw_Data!F501,2)</f>
        <v>539.46</v>
      </c>
      <c r="G501" s="2" t="str">
        <f aca="false">PROPER(TRIM(Raw_Data!G501))</f>
        <v>520 Main St</v>
      </c>
      <c r="H501" s="2" t="str">
        <f aca="false">PROPER(TRIM(Raw_Data!H501))</f>
        <v>Credit Card</v>
      </c>
      <c r="I501" s="2" t="str">
        <f aca="false">PROPER(TRIM(Raw_Data!I501))</f>
        <v>Shipped</v>
      </c>
      <c r="J501" s="2" t="str">
        <f aca="false">TRIM(UPPER(Raw_Data!J501))</f>
        <v>TRK20289483</v>
      </c>
      <c r="K501" s="2" t="n">
        <f aca="false">Raw_Data!K501</f>
        <v>4</v>
      </c>
      <c r="L501" s="2" t="str">
        <f aca="false">IF(TRIM(Raw_Data!L501)="","No Coupon",TRIM(UPPER(Raw_Data!L501)))</f>
        <v>SAVE10</v>
      </c>
      <c r="M501" s="2" t="str">
        <f aca="false">PROPER(TRIM(Raw_Data!M501))</f>
        <v>Facebook</v>
      </c>
      <c r="N501" s="4" t="n">
        <f aca="false">ROUND(E501*F501,2)</f>
        <v>1618.38</v>
      </c>
      <c r="O501" s="2" t="str">
        <f aca="false">IF(COUNTIF($A$2:$A$1201,A501)&gt;1,"DUPLICATE","Unique")</f>
        <v>Unique</v>
      </c>
      <c r="P501" s="2" t="str">
        <f aca="false">IF(L501="","MISSING","OK")</f>
        <v>OK</v>
      </c>
      <c r="Q501" s="2" t="str">
        <f aca="false">IF(ISNUMBER(B501),"OK","BAD DATE")</f>
        <v>OK</v>
      </c>
      <c r="R501" s="2" t="str">
        <f aca="false">IF(ROUND(F501,2)=F501,"OK","FIX")</f>
        <v>OK</v>
      </c>
    </row>
    <row r="502" customFormat="false" ht="15" hidden="false" customHeight="false" outlineLevel="0" collapsed="false">
      <c r="A502" s="2" t="str">
        <f aca="false">TRIM(UPPER(Raw_Data!A502))</f>
        <v>ORD200500</v>
      </c>
      <c r="B502" s="3" t="n">
        <f aca="false">IF(ISNUMBER(Raw_Data!B502),Raw_Data!B502,DATEVALUE(Raw_Data!B502))</f>
        <v>45389</v>
      </c>
      <c r="C502" s="2" t="str">
        <f aca="false">TRIM(UPPER(Raw_Data!C502))</f>
        <v>C79475</v>
      </c>
      <c r="D502" s="2" t="str">
        <f aca="false">PROPER(TRIM(Raw_Data!D502))</f>
        <v>Laptop</v>
      </c>
      <c r="E502" s="2" t="n">
        <f aca="false">Raw_Data!E502</f>
        <v>5</v>
      </c>
      <c r="F502" s="4" t="n">
        <f aca="false">ROUND(Raw_Data!F502,2)</f>
        <v>508.59</v>
      </c>
      <c r="G502" s="2" t="str">
        <f aca="false">PROPER(TRIM(Raw_Data!G502))</f>
        <v>169 Main St</v>
      </c>
      <c r="H502" s="2" t="str">
        <f aca="false">PROPER(TRIM(Raw_Data!H502))</f>
        <v>Cash</v>
      </c>
      <c r="I502" s="2" t="str">
        <f aca="false">PROPER(TRIM(Raw_Data!I502))</f>
        <v>Returned</v>
      </c>
      <c r="J502" s="2" t="str">
        <f aca="false">TRIM(UPPER(Raw_Data!J502))</f>
        <v>TRK42168516</v>
      </c>
      <c r="K502" s="2" t="n">
        <f aca="false">Raw_Data!K502</f>
        <v>8</v>
      </c>
      <c r="L502" s="2" t="str">
        <f aca="false">IF(TRIM(Raw_Data!L502)="","No Coupon",TRIM(UPPER(Raw_Data!L502)))</f>
        <v>WINTER15</v>
      </c>
      <c r="M502" s="2" t="str">
        <f aca="false">PROPER(TRIM(Raw_Data!M502))</f>
        <v>Facebook</v>
      </c>
      <c r="N502" s="4" t="n">
        <f aca="false">ROUND(E502*F502,2)</f>
        <v>2542.95</v>
      </c>
      <c r="O502" s="2" t="str">
        <f aca="false">IF(COUNTIF($A$2:$A$1201,A502)&gt;1,"DUPLICATE","Unique")</f>
        <v>Unique</v>
      </c>
      <c r="P502" s="2" t="str">
        <f aca="false">IF(L502="","MISSING","OK")</f>
        <v>OK</v>
      </c>
      <c r="Q502" s="2" t="str">
        <f aca="false">IF(ISNUMBER(B502),"OK","BAD DATE")</f>
        <v>OK</v>
      </c>
      <c r="R502" s="2" t="str">
        <f aca="false">IF(ROUND(F502,2)=F502,"OK","FIX")</f>
        <v>OK</v>
      </c>
    </row>
    <row r="503" customFormat="false" ht="15" hidden="false" customHeight="false" outlineLevel="0" collapsed="false">
      <c r="A503" s="2" t="str">
        <f aca="false">TRIM(UPPER(Raw_Data!A503))</f>
        <v>ORD200501</v>
      </c>
      <c r="B503" s="3" t="n">
        <f aca="false">IF(ISNUMBER(Raw_Data!B503),Raw_Data!B503,DATEVALUE(Raw_Data!B503))</f>
        <v>45326</v>
      </c>
      <c r="C503" s="2" t="str">
        <f aca="false">TRIM(UPPER(Raw_Data!C503))</f>
        <v>C88546</v>
      </c>
      <c r="D503" s="2" t="str">
        <f aca="false">PROPER(TRIM(Raw_Data!D503))</f>
        <v>Desk</v>
      </c>
      <c r="E503" s="2" t="n">
        <f aca="false">Raw_Data!E503</f>
        <v>4</v>
      </c>
      <c r="F503" s="4" t="n">
        <f aca="false">ROUND(Raw_Data!F503,2)</f>
        <v>203.46</v>
      </c>
      <c r="G503" s="2" t="str">
        <f aca="false">PROPER(TRIM(Raw_Data!G503))</f>
        <v>226 Main St</v>
      </c>
      <c r="H503" s="2" t="str">
        <f aca="false">PROPER(TRIM(Raw_Data!H503))</f>
        <v>Credit Card</v>
      </c>
      <c r="I503" s="2" t="str">
        <f aca="false">PROPER(TRIM(Raw_Data!I503))</f>
        <v>Pending</v>
      </c>
      <c r="J503" s="2" t="str">
        <f aca="false">TRIM(UPPER(Raw_Data!J503))</f>
        <v>TRK19867754</v>
      </c>
      <c r="K503" s="2" t="n">
        <f aca="false">Raw_Data!K503</f>
        <v>7</v>
      </c>
      <c r="L503" s="2" t="str">
        <f aca="false">IF(TRIM(Raw_Data!L503)="","No Coupon",TRIM(UPPER(Raw_Data!L503)))</f>
        <v>SAVE10</v>
      </c>
      <c r="M503" s="2" t="str">
        <f aca="false">PROPER(TRIM(Raw_Data!M503))</f>
        <v>Referral</v>
      </c>
      <c r="N503" s="4" t="n">
        <f aca="false">ROUND(E503*F503,2)</f>
        <v>813.84</v>
      </c>
      <c r="O503" s="2" t="str">
        <f aca="false">IF(COUNTIF($A$2:$A$1201,A503)&gt;1,"DUPLICATE","Unique")</f>
        <v>Unique</v>
      </c>
      <c r="P503" s="2" t="str">
        <f aca="false">IF(L503="","MISSING","OK")</f>
        <v>OK</v>
      </c>
      <c r="Q503" s="2" t="str">
        <f aca="false">IF(ISNUMBER(B503),"OK","BAD DATE")</f>
        <v>OK</v>
      </c>
      <c r="R503" s="2" t="str">
        <f aca="false">IF(ROUND(F503,2)=F503,"OK","FIX")</f>
        <v>OK</v>
      </c>
    </row>
    <row r="504" customFormat="false" ht="15" hidden="false" customHeight="false" outlineLevel="0" collapsed="false">
      <c r="A504" s="2" t="str">
        <f aca="false">TRIM(UPPER(Raw_Data!A504))</f>
        <v>ORD200502</v>
      </c>
      <c r="B504" s="3" t="n">
        <f aca="false">IF(ISNUMBER(Raw_Data!B504),Raw_Data!B504,DATEVALUE(Raw_Data!B504))</f>
        <v>45066</v>
      </c>
      <c r="C504" s="2" t="str">
        <f aca="false">TRIM(UPPER(Raw_Data!C504))</f>
        <v>C69332</v>
      </c>
      <c r="D504" s="2" t="str">
        <f aca="false">PROPER(TRIM(Raw_Data!D504))</f>
        <v>Monitor</v>
      </c>
      <c r="E504" s="2" t="n">
        <f aca="false">Raw_Data!E504</f>
        <v>3</v>
      </c>
      <c r="F504" s="4" t="n">
        <f aca="false">ROUND(Raw_Data!F504,2)</f>
        <v>565.25</v>
      </c>
      <c r="G504" s="2" t="str">
        <f aca="false">PROPER(TRIM(Raw_Data!G504))</f>
        <v>745 Main St</v>
      </c>
      <c r="H504" s="2" t="str">
        <f aca="false">PROPER(TRIM(Raw_Data!H504))</f>
        <v>Debit Card</v>
      </c>
      <c r="I504" s="2" t="str">
        <f aca="false">PROPER(TRIM(Raw_Data!I504))</f>
        <v>Returned</v>
      </c>
      <c r="J504" s="2" t="str">
        <f aca="false">TRIM(UPPER(Raw_Data!J504))</f>
        <v>TRK65718848</v>
      </c>
      <c r="K504" s="2" t="n">
        <f aca="false">Raw_Data!K504</f>
        <v>7</v>
      </c>
      <c r="L504" s="2" t="str">
        <f aca="false">IF(TRIM(Raw_Data!L504)="","No Coupon",TRIM(UPPER(Raw_Data!L504)))</f>
        <v>SAVE10</v>
      </c>
      <c r="M504" s="2" t="str">
        <f aca="false">PROPER(TRIM(Raw_Data!M504))</f>
        <v>Email</v>
      </c>
      <c r="N504" s="4" t="n">
        <f aca="false">ROUND(E504*F504,2)</f>
        <v>1695.75</v>
      </c>
      <c r="O504" s="2" t="str">
        <f aca="false">IF(COUNTIF($A$2:$A$1201,A504)&gt;1,"DUPLICATE","Unique")</f>
        <v>Unique</v>
      </c>
      <c r="P504" s="2" t="str">
        <f aca="false">IF(L504="","MISSING","OK")</f>
        <v>OK</v>
      </c>
      <c r="Q504" s="2" t="str">
        <f aca="false">IF(ISNUMBER(B504),"OK","BAD DATE")</f>
        <v>OK</v>
      </c>
      <c r="R504" s="2" t="str">
        <f aca="false">IF(ROUND(F504,2)=F504,"OK","FIX")</f>
        <v>OK</v>
      </c>
    </row>
    <row r="505" customFormat="false" ht="15" hidden="false" customHeight="false" outlineLevel="0" collapsed="false">
      <c r="A505" s="2" t="str">
        <f aca="false">TRIM(UPPER(Raw_Data!A505))</f>
        <v>ORD200503</v>
      </c>
      <c r="B505" s="3" t="n">
        <f aca="false">IF(ISNUMBER(Raw_Data!B505),Raw_Data!B505,DATEVALUE(Raw_Data!B505))</f>
        <v>45169</v>
      </c>
      <c r="C505" s="2" t="str">
        <f aca="false">TRIM(UPPER(Raw_Data!C505))</f>
        <v>C64554</v>
      </c>
      <c r="D505" s="2" t="str">
        <f aca="false">PROPER(TRIM(Raw_Data!D505))</f>
        <v>Tablet</v>
      </c>
      <c r="E505" s="2" t="n">
        <f aca="false">Raw_Data!E505</f>
        <v>3</v>
      </c>
      <c r="F505" s="4" t="n">
        <f aca="false">ROUND(Raw_Data!F505,2)</f>
        <v>136.84</v>
      </c>
      <c r="G505" s="2" t="str">
        <f aca="false">PROPER(TRIM(Raw_Data!G505))</f>
        <v>498 Main St</v>
      </c>
      <c r="H505" s="2" t="str">
        <f aca="false">PROPER(TRIM(Raw_Data!H505))</f>
        <v>Online</v>
      </c>
      <c r="I505" s="2" t="str">
        <f aca="false">PROPER(TRIM(Raw_Data!I505))</f>
        <v>Pending</v>
      </c>
      <c r="J505" s="2" t="str">
        <f aca="false">TRIM(UPPER(Raw_Data!J505))</f>
        <v>TRK95384568</v>
      </c>
      <c r="K505" s="2" t="n">
        <f aca="false">Raw_Data!K505</f>
        <v>4</v>
      </c>
      <c r="L505" s="2" t="str">
        <f aca="false">IF(TRIM(Raw_Data!L505)="","No Coupon",TRIM(UPPER(Raw_Data!L505)))</f>
        <v>FREESHIP</v>
      </c>
      <c r="M505" s="2" t="str">
        <f aca="false">PROPER(TRIM(Raw_Data!M505))</f>
        <v>Facebook</v>
      </c>
      <c r="N505" s="4" t="n">
        <f aca="false">ROUND(E505*F505,2)</f>
        <v>410.52</v>
      </c>
      <c r="O505" s="2" t="str">
        <f aca="false">IF(COUNTIF($A$2:$A$1201,A505)&gt;1,"DUPLICATE","Unique")</f>
        <v>Unique</v>
      </c>
      <c r="P505" s="2" t="str">
        <f aca="false">IF(L505="","MISSING","OK")</f>
        <v>OK</v>
      </c>
      <c r="Q505" s="2" t="str">
        <f aca="false">IF(ISNUMBER(B505),"OK","BAD DATE")</f>
        <v>OK</v>
      </c>
      <c r="R505" s="2" t="str">
        <f aca="false">IF(ROUND(F505,2)=F505,"OK","FIX")</f>
        <v>OK</v>
      </c>
    </row>
    <row r="506" customFormat="false" ht="15" hidden="false" customHeight="false" outlineLevel="0" collapsed="false">
      <c r="A506" s="2" t="str">
        <f aca="false">TRIM(UPPER(Raw_Data!A506))</f>
        <v>ORD200504</v>
      </c>
      <c r="B506" s="3" t="n">
        <f aca="false">IF(ISNUMBER(Raw_Data!B506),Raw_Data!B506,DATEVALUE(Raw_Data!B506))</f>
        <v>45819</v>
      </c>
      <c r="C506" s="2" t="str">
        <f aca="false">TRIM(UPPER(Raw_Data!C506))</f>
        <v>C11676</v>
      </c>
      <c r="D506" s="2" t="str">
        <f aca="false">PROPER(TRIM(Raw_Data!D506))</f>
        <v>Monitor</v>
      </c>
      <c r="E506" s="2" t="n">
        <f aca="false">Raw_Data!E506</f>
        <v>2</v>
      </c>
      <c r="F506" s="4" t="n">
        <f aca="false">ROUND(Raw_Data!F506,2)</f>
        <v>464.5</v>
      </c>
      <c r="G506" s="2" t="str">
        <f aca="false">PROPER(TRIM(Raw_Data!G506))</f>
        <v>805 Main St</v>
      </c>
      <c r="H506" s="2" t="str">
        <f aca="false">PROPER(TRIM(Raw_Data!H506))</f>
        <v>Online</v>
      </c>
      <c r="I506" s="2" t="str">
        <f aca="false">PROPER(TRIM(Raw_Data!I506))</f>
        <v>Cancelled</v>
      </c>
      <c r="J506" s="2" t="str">
        <f aca="false">TRIM(UPPER(Raw_Data!J506))</f>
        <v>TRK35726395</v>
      </c>
      <c r="K506" s="2" t="n">
        <f aca="false">Raw_Data!K506</f>
        <v>2</v>
      </c>
      <c r="L506" s="2" t="str">
        <f aca="false">IF(TRIM(Raw_Data!L506)="","No Coupon",TRIM(UPPER(Raw_Data!L506)))</f>
        <v>WINTER15</v>
      </c>
      <c r="M506" s="2" t="str">
        <f aca="false">PROPER(TRIM(Raw_Data!M506))</f>
        <v>Instagram</v>
      </c>
      <c r="N506" s="4" t="n">
        <f aca="false">ROUND(E506*F506,2)</f>
        <v>929</v>
      </c>
      <c r="O506" s="2" t="str">
        <f aca="false">IF(COUNTIF($A$2:$A$1201,A506)&gt;1,"DUPLICATE","Unique")</f>
        <v>Unique</v>
      </c>
      <c r="P506" s="2" t="str">
        <f aca="false">IF(L506="","MISSING","OK")</f>
        <v>OK</v>
      </c>
      <c r="Q506" s="2" t="str">
        <f aca="false">IF(ISNUMBER(B506),"OK","BAD DATE")</f>
        <v>OK</v>
      </c>
      <c r="R506" s="2" t="str">
        <f aca="false">IF(ROUND(F506,2)=F506,"OK","FIX")</f>
        <v>OK</v>
      </c>
    </row>
    <row r="507" customFormat="false" ht="15" hidden="false" customHeight="false" outlineLevel="0" collapsed="false">
      <c r="A507" s="2" t="str">
        <f aca="false">TRIM(UPPER(Raw_Data!A507))</f>
        <v>ORD200505</v>
      </c>
      <c r="B507" s="3" t="n">
        <f aca="false">IF(ISNUMBER(Raw_Data!B507),Raw_Data!B507,DATEVALUE(Raw_Data!B507))</f>
        <v>45088</v>
      </c>
      <c r="C507" s="2" t="str">
        <f aca="false">TRIM(UPPER(Raw_Data!C507))</f>
        <v>C36014</v>
      </c>
      <c r="D507" s="2" t="str">
        <f aca="false">PROPER(TRIM(Raw_Data!D507))</f>
        <v>Printer</v>
      </c>
      <c r="E507" s="2" t="n">
        <f aca="false">Raw_Data!E507</f>
        <v>2</v>
      </c>
      <c r="F507" s="4" t="n">
        <f aca="false">ROUND(Raw_Data!F507,2)</f>
        <v>434.97</v>
      </c>
      <c r="G507" s="2" t="str">
        <f aca="false">PROPER(TRIM(Raw_Data!G507))</f>
        <v>558 Main St</v>
      </c>
      <c r="H507" s="2" t="str">
        <f aca="false">PROPER(TRIM(Raw_Data!H507))</f>
        <v>Online</v>
      </c>
      <c r="I507" s="2" t="str">
        <f aca="false">PROPER(TRIM(Raw_Data!I507))</f>
        <v>Shipped</v>
      </c>
      <c r="J507" s="2" t="str">
        <f aca="false">TRIM(UPPER(Raw_Data!J507))</f>
        <v>TRK97246526</v>
      </c>
      <c r="K507" s="2" t="n">
        <f aca="false">Raw_Data!K507</f>
        <v>7</v>
      </c>
      <c r="L507" s="2" t="str">
        <f aca="false">IF(TRIM(Raw_Data!L507)="","No Coupon",TRIM(UPPER(Raw_Data!L507)))</f>
        <v>No Coupon</v>
      </c>
      <c r="M507" s="2" t="str">
        <f aca="false">PROPER(TRIM(Raw_Data!M507))</f>
        <v>Email</v>
      </c>
      <c r="N507" s="4" t="n">
        <f aca="false">ROUND(E507*F507,2)</f>
        <v>869.94</v>
      </c>
      <c r="O507" s="2" t="str">
        <f aca="false">IF(COUNTIF($A$2:$A$1201,A507)&gt;1,"DUPLICATE","Unique")</f>
        <v>Unique</v>
      </c>
      <c r="P507" s="2" t="str">
        <f aca="false">IF(L507="","MISSING","OK")</f>
        <v>OK</v>
      </c>
      <c r="Q507" s="2" t="str">
        <f aca="false">IF(ISNUMBER(B507),"OK","BAD DATE")</f>
        <v>OK</v>
      </c>
      <c r="R507" s="2" t="str">
        <f aca="false">IF(ROUND(F507,2)=F507,"OK","FIX")</f>
        <v>OK</v>
      </c>
    </row>
    <row r="508" customFormat="false" ht="15" hidden="false" customHeight="false" outlineLevel="0" collapsed="false">
      <c r="A508" s="2" t="str">
        <f aca="false">TRIM(UPPER(Raw_Data!A508))</f>
        <v>ORD200506</v>
      </c>
      <c r="B508" s="3" t="n">
        <f aca="false">IF(ISNUMBER(Raw_Data!B508),Raw_Data!B508,DATEVALUE(Raw_Data!B508))</f>
        <v>45132</v>
      </c>
      <c r="C508" s="2" t="str">
        <f aca="false">TRIM(UPPER(Raw_Data!C508))</f>
        <v>C23279</v>
      </c>
      <c r="D508" s="2" t="str">
        <f aca="false">PROPER(TRIM(Raw_Data!D508))</f>
        <v>Monitor</v>
      </c>
      <c r="E508" s="2" t="n">
        <f aca="false">Raw_Data!E508</f>
        <v>2</v>
      </c>
      <c r="F508" s="4" t="n">
        <f aca="false">ROUND(Raw_Data!F508,2)</f>
        <v>43.67</v>
      </c>
      <c r="G508" s="2" t="str">
        <f aca="false">PROPER(TRIM(Raw_Data!G508))</f>
        <v>696 Main St</v>
      </c>
      <c r="H508" s="2" t="str">
        <f aca="false">PROPER(TRIM(Raw_Data!H508))</f>
        <v>Cash</v>
      </c>
      <c r="I508" s="2" t="str">
        <f aca="false">PROPER(TRIM(Raw_Data!I508))</f>
        <v>Returned</v>
      </c>
      <c r="J508" s="2" t="str">
        <f aca="false">TRIM(UPPER(Raw_Data!J508))</f>
        <v>TRK58039693</v>
      </c>
      <c r="K508" s="2" t="n">
        <f aca="false">Raw_Data!K508</f>
        <v>4</v>
      </c>
      <c r="L508" s="2" t="str">
        <f aca="false">IF(TRIM(Raw_Data!L508)="","No Coupon",TRIM(UPPER(Raw_Data!L508)))</f>
        <v>WINTER15</v>
      </c>
      <c r="M508" s="2" t="str">
        <f aca="false">PROPER(TRIM(Raw_Data!M508))</f>
        <v>Instagram</v>
      </c>
      <c r="N508" s="4" t="n">
        <f aca="false">ROUND(E508*F508,2)</f>
        <v>87.34</v>
      </c>
      <c r="O508" s="2" t="str">
        <f aca="false">IF(COUNTIF($A$2:$A$1201,A508)&gt;1,"DUPLICATE","Unique")</f>
        <v>Unique</v>
      </c>
      <c r="P508" s="2" t="str">
        <f aca="false">IF(L508="","MISSING","OK")</f>
        <v>OK</v>
      </c>
      <c r="Q508" s="2" t="str">
        <f aca="false">IF(ISNUMBER(B508),"OK","BAD DATE")</f>
        <v>OK</v>
      </c>
      <c r="R508" s="2" t="str">
        <f aca="false">IF(ROUND(F508,2)=F508,"OK","FIX")</f>
        <v>OK</v>
      </c>
    </row>
    <row r="509" customFormat="false" ht="15" hidden="false" customHeight="false" outlineLevel="0" collapsed="false">
      <c r="A509" s="2" t="str">
        <f aca="false">TRIM(UPPER(Raw_Data!A509))</f>
        <v>ORD200507</v>
      </c>
      <c r="B509" s="3" t="n">
        <f aca="false">IF(ISNUMBER(Raw_Data!B509),Raw_Data!B509,DATEVALUE(Raw_Data!B509))</f>
        <v>45112</v>
      </c>
      <c r="C509" s="2" t="str">
        <f aca="false">TRIM(UPPER(Raw_Data!C509))</f>
        <v>C86481</v>
      </c>
      <c r="D509" s="2" t="str">
        <f aca="false">PROPER(TRIM(Raw_Data!D509))</f>
        <v>Phone</v>
      </c>
      <c r="E509" s="2" t="n">
        <f aca="false">Raw_Data!E509</f>
        <v>1</v>
      </c>
      <c r="F509" s="4" t="n">
        <f aca="false">ROUND(Raw_Data!F509,2)</f>
        <v>171.59</v>
      </c>
      <c r="G509" s="2" t="str">
        <f aca="false">PROPER(TRIM(Raw_Data!G509))</f>
        <v>546 Main St</v>
      </c>
      <c r="H509" s="2" t="str">
        <f aca="false">PROPER(TRIM(Raw_Data!H509))</f>
        <v>Credit Card</v>
      </c>
      <c r="I509" s="2" t="str">
        <f aca="false">PROPER(TRIM(Raw_Data!I509))</f>
        <v>Pending</v>
      </c>
      <c r="J509" s="2" t="str">
        <f aca="false">TRIM(UPPER(Raw_Data!J509))</f>
        <v>TRK87513944</v>
      </c>
      <c r="K509" s="2" t="n">
        <f aca="false">Raw_Data!K509</f>
        <v>5</v>
      </c>
      <c r="L509" s="2" t="str">
        <f aca="false">IF(TRIM(Raw_Data!L509)="","No Coupon",TRIM(UPPER(Raw_Data!L509)))</f>
        <v>WINTER15</v>
      </c>
      <c r="M509" s="2" t="str">
        <f aca="false">PROPER(TRIM(Raw_Data!M509))</f>
        <v>Email</v>
      </c>
      <c r="N509" s="4" t="n">
        <f aca="false">ROUND(E509*F509,2)</f>
        <v>171.59</v>
      </c>
      <c r="O509" s="2" t="str">
        <f aca="false">IF(COUNTIF($A$2:$A$1201,A509)&gt;1,"DUPLICATE","Unique")</f>
        <v>Unique</v>
      </c>
      <c r="P509" s="2" t="str">
        <f aca="false">IF(L509="","MISSING","OK")</f>
        <v>OK</v>
      </c>
      <c r="Q509" s="2" t="str">
        <f aca="false">IF(ISNUMBER(B509),"OK","BAD DATE")</f>
        <v>OK</v>
      </c>
      <c r="R509" s="2" t="str">
        <f aca="false">IF(ROUND(F509,2)=F509,"OK","FIX")</f>
        <v>OK</v>
      </c>
    </row>
    <row r="510" customFormat="false" ht="15" hidden="false" customHeight="false" outlineLevel="0" collapsed="false">
      <c r="A510" s="2" t="str">
        <f aca="false">TRIM(UPPER(Raw_Data!A510))</f>
        <v>ORD200508</v>
      </c>
      <c r="B510" s="3" t="n">
        <f aca="false">IF(ISNUMBER(Raw_Data!B510),Raw_Data!B510,DATEVALUE(Raw_Data!B510))</f>
        <v>45791</v>
      </c>
      <c r="C510" s="2" t="str">
        <f aca="false">TRIM(UPPER(Raw_Data!C510))</f>
        <v>C39550</v>
      </c>
      <c r="D510" s="2" t="str">
        <f aca="false">PROPER(TRIM(Raw_Data!D510))</f>
        <v>Phone</v>
      </c>
      <c r="E510" s="2" t="n">
        <f aca="false">Raw_Data!E510</f>
        <v>1</v>
      </c>
      <c r="F510" s="4" t="n">
        <f aca="false">ROUND(Raw_Data!F510,2)</f>
        <v>558.27</v>
      </c>
      <c r="G510" s="2" t="str">
        <f aca="false">PROPER(TRIM(Raw_Data!G510))</f>
        <v>976 Main St</v>
      </c>
      <c r="H510" s="2" t="str">
        <f aca="false">PROPER(TRIM(Raw_Data!H510))</f>
        <v>Online</v>
      </c>
      <c r="I510" s="2" t="str">
        <f aca="false">PROPER(TRIM(Raw_Data!I510))</f>
        <v>Delivered</v>
      </c>
      <c r="J510" s="2" t="str">
        <f aca="false">TRIM(UPPER(Raw_Data!J510))</f>
        <v>TRK24120267</v>
      </c>
      <c r="K510" s="2" t="n">
        <f aca="false">Raw_Data!K510</f>
        <v>1</v>
      </c>
      <c r="L510" s="2" t="str">
        <f aca="false">IF(TRIM(Raw_Data!L510)="","No Coupon",TRIM(UPPER(Raw_Data!L510)))</f>
        <v>No Coupon</v>
      </c>
      <c r="M510" s="2" t="str">
        <f aca="false">PROPER(TRIM(Raw_Data!M510))</f>
        <v>Referral</v>
      </c>
      <c r="N510" s="4" t="n">
        <f aca="false">ROUND(E510*F510,2)</f>
        <v>558.27</v>
      </c>
      <c r="O510" s="2" t="str">
        <f aca="false">IF(COUNTIF($A$2:$A$1201,A510)&gt;1,"DUPLICATE","Unique")</f>
        <v>Unique</v>
      </c>
      <c r="P510" s="2" t="str">
        <f aca="false">IF(L510="","MISSING","OK")</f>
        <v>OK</v>
      </c>
      <c r="Q510" s="2" t="str">
        <f aca="false">IF(ISNUMBER(B510),"OK","BAD DATE")</f>
        <v>OK</v>
      </c>
      <c r="R510" s="2" t="str">
        <f aca="false">IF(ROUND(F510,2)=F510,"OK","FIX")</f>
        <v>OK</v>
      </c>
    </row>
    <row r="511" customFormat="false" ht="15" hidden="false" customHeight="false" outlineLevel="0" collapsed="false">
      <c r="A511" s="2" t="str">
        <f aca="false">TRIM(UPPER(Raw_Data!A511))</f>
        <v>ORD200509</v>
      </c>
      <c r="B511" s="3" t="n">
        <f aca="false">IF(ISNUMBER(Raw_Data!B511),Raw_Data!B511,DATEVALUE(Raw_Data!B511))</f>
        <v>44972</v>
      </c>
      <c r="C511" s="2" t="str">
        <f aca="false">TRIM(UPPER(Raw_Data!C511))</f>
        <v>C68937</v>
      </c>
      <c r="D511" s="2" t="str">
        <f aca="false">PROPER(TRIM(Raw_Data!D511))</f>
        <v>Laptop</v>
      </c>
      <c r="E511" s="2" t="n">
        <f aca="false">Raw_Data!E511</f>
        <v>2</v>
      </c>
      <c r="F511" s="4" t="n">
        <f aca="false">ROUND(Raw_Data!F511,2)</f>
        <v>425.03</v>
      </c>
      <c r="G511" s="2" t="str">
        <f aca="false">PROPER(TRIM(Raw_Data!G511))</f>
        <v>560 Main St</v>
      </c>
      <c r="H511" s="2" t="str">
        <f aca="false">PROPER(TRIM(Raw_Data!H511))</f>
        <v>Cash</v>
      </c>
      <c r="I511" s="2" t="str">
        <f aca="false">PROPER(TRIM(Raw_Data!I511))</f>
        <v>Returned</v>
      </c>
      <c r="J511" s="2" t="str">
        <f aca="false">TRIM(UPPER(Raw_Data!J511))</f>
        <v>TRK31908657</v>
      </c>
      <c r="K511" s="2" t="n">
        <f aca="false">Raw_Data!K511</f>
        <v>2</v>
      </c>
      <c r="L511" s="2" t="str">
        <f aca="false">IF(TRIM(Raw_Data!L511)="","No Coupon",TRIM(UPPER(Raw_Data!L511)))</f>
        <v>WINTER15</v>
      </c>
      <c r="M511" s="2" t="str">
        <f aca="false">PROPER(TRIM(Raw_Data!M511))</f>
        <v>Google</v>
      </c>
      <c r="N511" s="4" t="n">
        <f aca="false">ROUND(E511*F511,2)</f>
        <v>850.06</v>
      </c>
      <c r="O511" s="2" t="str">
        <f aca="false">IF(COUNTIF($A$2:$A$1201,A511)&gt;1,"DUPLICATE","Unique")</f>
        <v>Unique</v>
      </c>
      <c r="P511" s="2" t="str">
        <f aca="false">IF(L511="","MISSING","OK")</f>
        <v>OK</v>
      </c>
      <c r="Q511" s="2" t="str">
        <f aca="false">IF(ISNUMBER(B511),"OK","BAD DATE")</f>
        <v>OK</v>
      </c>
      <c r="R511" s="2" t="str">
        <f aca="false">IF(ROUND(F511,2)=F511,"OK","FIX")</f>
        <v>OK</v>
      </c>
    </row>
    <row r="512" customFormat="false" ht="15" hidden="false" customHeight="false" outlineLevel="0" collapsed="false">
      <c r="A512" s="2" t="str">
        <f aca="false">TRIM(UPPER(Raw_Data!A512))</f>
        <v>ORD200510</v>
      </c>
      <c r="B512" s="3" t="n">
        <f aca="false">IF(ISNUMBER(Raw_Data!B512),Raw_Data!B512,DATEVALUE(Raw_Data!B512))</f>
        <v>45642</v>
      </c>
      <c r="C512" s="2" t="str">
        <f aca="false">TRIM(UPPER(Raw_Data!C512))</f>
        <v>C72533</v>
      </c>
      <c r="D512" s="2" t="str">
        <f aca="false">PROPER(TRIM(Raw_Data!D512))</f>
        <v>Printer</v>
      </c>
      <c r="E512" s="2" t="n">
        <f aca="false">Raw_Data!E512</f>
        <v>1</v>
      </c>
      <c r="F512" s="4" t="n">
        <f aca="false">ROUND(Raw_Data!F512,2)</f>
        <v>376.76</v>
      </c>
      <c r="G512" s="2" t="str">
        <f aca="false">PROPER(TRIM(Raw_Data!G512))</f>
        <v>389 Main St</v>
      </c>
      <c r="H512" s="2" t="str">
        <f aca="false">PROPER(TRIM(Raw_Data!H512))</f>
        <v>Debit Card</v>
      </c>
      <c r="I512" s="2" t="str">
        <f aca="false">PROPER(TRIM(Raw_Data!I512))</f>
        <v>Delivered</v>
      </c>
      <c r="J512" s="2" t="str">
        <f aca="false">TRIM(UPPER(Raw_Data!J512))</f>
        <v>TRK51288986</v>
      </c>
      <c r="K512" s="2" t="n">
        <f aca="false">Raw_Data!K512</f>
        <v>5</v>
      </c>
      <c r="L512" s="2" t="str">
        <f aca="false">IF(TRIM(Raw_Data!L512)="","No Coupon",TRIM(UPPER(Raw_Data!L512)))</f>
        <v>SAVE10</v>
      </c>
      <c r="M512" s="2" t="str">
        <f aca="false">PROPER(TRIM(Raw_Data!M512))</f>
        <v>Email</v>
      </c>
      <c r="N512" s="4" t="n">
        <f aca="false">ROUND(E512*F512,2)</f>
        <v>376.76</v>
      </c>
      <c r="O512" s="2" t="str">
        <f aca="false">IF(COUNTIF($A$2:$A$1201,A512)&gt;1,"DUPLICATE","Unique")</f>
        <v>Unique</v>
      </c>
      <c r="P512" s="2" t="str">
        <f aca="false">IF(L512="","MISSING","OK")</f>
        <v>OK</v>
      </c>
      <c r="Q512" s="2" t="str">
        <f aca="false">IF(ISNUMBER(B512),"OK","BAD DATE")</f>
        <v>OK</v>
      </c>
      <c r="R512" s="2" t="str">
        <f aca="false">IF(ROUND(F512,2)=F512,"OK","FIX")</f>
        <v>OK</v>
      </c>
    </row>
    <row r="513" customFormat="false" ht="15" hidden="false" customHeight="false" outlineLevel="0" collapsed="false">
      <c r="A513" s="2" t="str">
        <f aca="false">TRIM(UPPER(Raw_Data!A513))</f>
        <v>ORD200511</v>
      </c>
      <c r="B513" s="3" t="n">
        <f aca="false">IF(ISNUMBER(Raw_Data!B513),Raw_Data!B513,DATEVALUE(Raw_Data!B513))</f>
        <v>45366</v>
      </c>
      <c r="C513" s="2" t="str">
        <f aca="false">TRIM(UPPER(Raw_Data!C513))</f>
        <v>C11415</v>
      </c>
      <c r="D513" s="2" t="str">
        <f aca="false">PROPER(TRIM(Raw_Data!D513))</f>
        <v>Monitor</v>
      </c>
      <c r="E513" s="2" t="n">
        <f aca="false">Raw_Data!E513</f>
        <v>5</v>
      </c>
      <c r="F513" s="4" t="n">
        <f aca="false">ROUND(Raw_Data!F513,2)</f>
        <v>575.24</v>
      </c>
      <c r="G513" s="2" t="str">
        <f aca="false">PROPER(TRIM(Raw_Data!G513))</f>
        <v>267 Main St</v>
      </c>
      <c r="H513" s="2" t="str">
        <f aca="false">PROPER(TRIM(Raw_Data!H513))</f>
        <v>Cash</v>
      </c>
      <c r="I513" s="2" t="str">
        <f aca="false">PROPER(TRIM(Raw_Data!I513))</f>
        <v>Delivered</v>
      </c>
      <c r="J513" s="2" t="str">
        <f aca="false">TRIM(UPPER(Raw_Data!J513))</f>
        <v>TRK65061457</v>
      </c>
      <c r="K513" s="2" t="n">
        <f aca="false">Raw_Data!K513</f>
        <v>7</v>
      </c>
      <c r="L513" s="2" t="str">
        <f aca="false">IF(TRIM(Raw_Data!L513)="","No Coupon",TRIM(UPPER(Raw_Data!L513)))</f>
        <v>WINTER15</v>
      </c>
      <c r="M513" s="2" t="str">
        <f aca="false">PROPER(TRIM(Raw_Data!M513))</f>
        <v>Email</v>
      </c>
      <c r="N513" s="4" t="n">
        <f aca="false">ROUND(E513*F513,2)</f>
        <v>2876.2</v>
      </c>
      <c r="O513" s="2" t="str">
        <f aca="false">IF(COUNTIF($A$2:$A$1201,A513)&gt;1,"DUPLICATE","Unique")</f>
        <v>Unique</v>
      </c>
      <c r="P513" s="2" t="str">
        <f aca="false">IF(L513="","MISSING","OK")</f>
        <v>OK</v>
      </c>
      <c r="Q513" s="2" t="str">
        <f aca="false">IF(ISNUMBER(B513),"OK","BAD DATE")</f>
        <v>OK</v>
      </c>
      <c r="R513" s="2" t="str">
        <f aca="false">IF(ROUND(F513,2)=F513,"OK","FIX")</f>
        <v>OK</v>
      </c>
    </row>
    <row r="514" customFormat="false" ht="15" hidden="false" customHeight="false" outlineLevel="0" collapsed="false">
      <c r="A514" s="2" t="str">
        <f aca="false">TRIM(UPPER(Raw_Data!A514))</f>
        <v>ORD200512</v>
      </c>
      <c r="B514" s="3" t="n">
        <f aca="false">IF(ISNUMBER(Raw_Data!B514),Raw_Data!B514,DATEVALUE(Raw_Data!B514))</f>
        <v>45562</v>
      </c>
      <c r="C514" s="2" t="str">
        <f aca="false">TRIM(UPPER(Raw_Data!C514))</f>
        <v>C14114</v>
      </c>
      <c r="D514" s="2" t="str">
        <f aca="false">PROPER(TRIM(Raw_Data!D514))</f>
        <v>Desk</v>
      </c>
      <c r="E514" s="2" t="n">
        <f aca="false">Raw_Data!E514</f>
        <v>3</v>
      </c>
      <c r="F514" s="4" t="n">
        <f aca="false">ROUND(Raw_Data!F514,2)</f>
        <v>568.02</v>
      </c>
      <c r="G514" s="2" t="str">
        <f aca="false">PROPER(TRIM(Raw_Data!G514))</f>
        <v>856 Main St</v>
      </c>
      <c r="H514" s="2" t="str">
        <f aca="false">PROPER(TRIM(Raw_Data!H514))</f>
        <v>Online</v>
      </c>
      <c r="I514" s="2" t="str">
        <f aca="false">PROPER(TRIM(Raw_Data!I514))</f>
        <v>Pending</v>
      </c>
      <c r="J514" s="2" t="str">
        <f aca="false">TRIM(UPPER(Raw_Data!J514))</f>
        <v>TRK63290700</v>
      </c>
      <c r="K514" s="2" t="n">
        <f aca="false">Raw_Data!K514</f>
        <v>3</v>
      </c>
      <c r="L514" s="2" t="str">
        <f aca="false">IF(TRIM(Raw_Data!L514)="","No Coupon",TRIM(UPPER(Raw_Data!L514)))</f>
        <v>FREESHIP</v>
      </c>
      <c r="M514" s="2" t="str">
        <f aca="false">PROPER(TRIM(Raw_Data!M514))</f>
        <v>Instagram</v>
      </c>
      <c r="N514" s="4" t="n">
        <f aca="false">ROUND(E514*F514,2)</f>
        <v>1704.06</v>
      </c>
      <c r="O514" s="2" t="str">
        <f aca="false">IF(COUNTIF($A$2:$A$1201,A514)&gt;1,"DUPLICATE","Unique")</f>
        <v>Unique</v>
      </c>
      <c r="P514" s="2" t="str">
        <f aca="false">IF(L514="","MISSING","OK")</f>
        <v>OK</v>
      </c>
      <c r="Q514" s="2" t="str">
        <f aca="false">IF(ISNUMBER(B514),"OK","BAD DATE")</f>
        <v>OK</v>
      </c>
      <c r="R514" s="2" t="str">
        <f aca="false">IF(ROUND(F514,2)=F514,"OK","FIX")</f>
        <v>OK</v>
      </c>
    </row>
    <row r="515" customFormat="false" ht="15" hidden="false" customHeight="false" outlineLevel="0" collapsed="false">
      <c r="A515" s="2" t="str">
        <f aca="false">TRIM(UPPER(Raw_Data!A515))</f>
        <v>ORD200513</v>
      </c>
      <c r="B515" s="3" t="n">
        <f aca="false">IF(ISNUMBER(Raw_Data!B515),Raw_Data!B515,DATEVALUE(Raw_Data!B515))</f>
        <v>45697</v>
      </c>
      <c r="C515" s="2" t="str">
        <f aca="false">TRIM(UPPER(Raw_Data!C515))</f>
        <v>C64128</v>
      </c>
      <c r="D515" s="2" t="str">
        <f aca="false">PROPER(TRIM(Raw_Data!D515))</f>
        <v>Tablet</v>
      </c>
      <c r="E515" s="2" t="n">
        <f aca="false">Raw_Data!E515</f>
        <v>3</v>
      </c>
      <c r="F515" s="4" t="n">
        <f aca="false">ROUND(Raw_Data!F515,2)</f>
        <v>94.88</v>
      </c>
      <c r="G515" s="2" t="str">
        <f aca="false">PROPER(TRIM(Raw_Data!G515))</f>
        <v>533 Main St</v>
      </c>
      <c r="H515" s="2" t="str">
        <f aca="false">PROPER(TRIM(Raw_Data!H515))</f>
        <v>Gift Card</v>
      </c>
      <c r="I515" s="2" t="str">
        <f aca="false">PROPER(TRIM(Raw_Data!I515))</f>
        <v>Shipped</v>
      </c>
      <c r="J515" s="2" t="str">
        <f aca="false">TRIM(UPPER(Raw_Data!J515))</f>
        <v>TRK37053575</v>
      </c>
      <c r="K515" s="2" t="n">
        <f aca="false">Raw_Data!K515</f>
        <v>8</v>
      </c>
      <c r="L515" s="2" t="str">
        <f aca="false">IF(TRIM(Raw_Data!L515)="","No Coupon",TRIM(UPPER(Raw_Data!L515)))</f>
        <v>No Coupon</v>
      </c>
      <c r="M515" s="2" t="str">
        <f aca="false">PROPER(TRIM(Raw_Data!M515))</f>
        <v>Referral</v>
      </c>
      <c r="N515" s="4" t="n">
        <f aca="false">ROUND(E515*F515,2)</f>
        <v>284.64</v>
      </c>
      <c r="O515" s="2" t="str">
        <f aca="false">IF(COUNTIF($A$2:$A$1201,A515)&gt;1,"DUPLICATE","Unique")</f>
        <v>Unique</v>
      </c>
      <c r="P515" s="2" t="str">
        <f aca="false">IF(L515="","MISSING","OK")</f>
        <v>OK</v>
      </c>
      <c r="Q515" s="2" t="str">
        <f aca="false">IF(ISNUMBER(B515),"OK","BAD DATE")</f>
        <v>OK</v>
      </c>
      <c r="R515" s="2" t="str">
        <f aca="false">IF(ROUND(F515,2)=F515,"OK","FIX")</f>
        <v>OK</v>
      </c>
    </row>
    <row r="516" customFormat="false" ht="15" hidden="false" customHeight="false" outlineLevel="0" collapsed="false">
      <c r="A516" s="2" t="str">
        <f aca="false">TRIM(UPPER(Raw_Data!A516))</f>
        <v>ORD200514</v>
      </c>
      <c r="B516" s="3" t="n">
        <f aca="false">IF(ISNUMBER(Raw_Data!B516),Raw_Data!B516,DATEVALUE(Raw_Data!B516))</f>
        <v>45032</v>
      </c>
      <c r="C516" s="2" t="str">
        <f aca="false">TRIM(UPPER(Raw_Data!C516))</f>
        <v>C15629</v>
      </c>
      <c r="D516" s="2" t="str">
        <f aca="false">PROPER(TRIM(Raw_Data!D516))</f>
        <v>Printer</v>
      </c>
      <c r="E516" s="2" t="n">
        <f aca="false">Raw_Data!E516</f>
        <v>3</v>
      </c>
      <c r="F516" s="4" t="n">
        <f aca="false">ROUND(Raw_Data!F516,2)</f>
        <v>304.15</v>
      </c>
      <c r="G516" s="2" t="str">
        <f aca="false">PROPER(TRIM(Raw_Data!G516))</f>
        <v>492 Main St</v>
      </c>
      <c r="H516" s="2" t="str">
        <f aca="false">PROPER(TRIM(Raw_Data!H516))</f>
        <v>Gift Card</v>
      </c>
      <c r="I516" s="2" t="str">
        <f aca="false">PROPER(TRIM(Raw_Data!I516))</f>
        <v>Shipped</v>
      </c>
      <c r="J516" s="2" t="str">
        <f aca="false">TRIM(UPPER(Raw_Data!J516))</f>
        <v>TRK64926044</v>
      </c>
      <c r="K516" s="2" t="n">
        <f aca="false">Raw_Data!K516</f>
        <v>3</v>
      </c>
      <c r="L516" s="2" t="str">
        <f aca="false">IF(TRIM(Raw_Data!L516)="","No Coupon",TRIM(UPPER(Raw_Data!L516)))</f>
        <v>WINTER15</v>
      </c>
      <c r="M516" s="2" t="str">
        <f aca="false">PROPER(TRIM(Raw_Data!M516))</f>
        <v>Instagram</v>
      </c>
      <c r="N516" s="4" t="n">
        <f aca="false">ROUND(E516*F516,2)</f>
        <v>912.45</v>
      </c>
      <c r="O516" s="2" t="str">
        <f aca="false">IF(COUNTIF($A$2:$A$1201,A516)&gt;1,"DUPLICATE","Unique")</f>
        <v>Unique</v>
      </c>
      <c r="P516" s="2" t="str">
        <f aca="false">IF(L516="","MISSING","OK")</f>
        <v>OK</v>
      </c>
      <c r="Q516" s="2" t="str">
        <f aca="false">IF(ISNUMBER(B516),"OK","BAD DATE")</f>
        <v>OK</v>
      </c>
      <c r="R516" s="2" t="str">
        <f aca="false">IF(ROUND(F516,2)=F516,"OK","FIX")</f>
        <v>OK</v>
      </c>
    </row>
    <row r="517" customFormat="false" ht="15" hidden="false" customHeight="false" outlineLevel="0" collapsed="false">
      <c r="A517" s="2" t="str">
        <f aca="false">TRIM(UPPER(Raw_Data!A517))</f>
        <v>ORD200515</v>
      </c>
      <c r="B517" s="3" t="n">
        <f aca="false">IF(ISNUMBER(Raw_Data!B517),Raw_Data!B517,DATEVALUE(Raw_Data!B517))</f>
        <v>44999</v>
      </c>
      <c r="C517" s="2" t="str">
        <f aca="false">TRIM(UPPER(Raw_Data!C517))</f>
        <v>C67561</v>
      </c>
      <c r="D517" s="2" t="str">
        <f aca="false">PROPER(TRIM(Raw_Data!D517))</f>
        <v>Phone</v>
      </c>
      <c r="E517" s="2" t="n">
        <f aca="false">Raw_Data!E517</f>
        <v>3</v>
      </c>
      <c r="F517" s="4" t="n">
        <f aca="false">ROUND(Raw_Data!F517,2)</f>
        <v>553.52</v>
      </c>
      <c r="G517" s="2" t="str">
        <f aca="false">PROPER(TRIM(Raw_Data!G517))</f>
        <v>160 Main St</v>
      </c>
      <c r="H517" s="2" t="str">
        <f aca="false">PROPER(TRIM(Raw_Data!H517))</f>
        <v>Gift Card</v>
      </c>
      <c r="I517" s="2" t="str">
        <f aca="false">PROPER(TRIM(Raw_Data!I517))</f>
        <v>Shipped</v>
      </c>
      <c r="J517" s="2" t="str">
        <f aca="false">TRIM(UPPER(Raw_Data!J517))</f>
        <v>TRK75900717</v>
      </c>
      <c r="K517" s="2" t="n">
        <f aca="false">Raw_Data!K517</f>
        <v>4</v>
      </c>
      <c r="L517" s="2" t="str">
        <f aca="false">IF(TRIM(Raw_Data!L517)="","No Coupon",TRIM(UPPER(Raw_Data!L517)))</f>
        <v>FREESHIP</v>
      </c>
      <c r="M517" s="2" t="str">
        <f aca="false">PROPER(TRIM(Raw_Data!M517))</f>
        <v>Facebook</v>
      </c>
      <c r="N517" s="4" t="n">
        <f aca="false">ROUND(E517*F517,2)</f>
        <v>1660.56</v>
      </c>
      <c r="O517" s="2" t="str">
        <f aca="false">IF(COUNTIF($A$2:$A$1201,A517)&gt;1,"DUPLICATE","Unique")</f>
        <v>Unique</v>
      </c>
      <c r="P517" s="2" t="str">
        <f aca="false">IF(L517="","MISSING","OK")</f>
        <v>OK</v>
      </c>
      <c r="Q517" s="2" t="str">
        <f aca="false">IF(ISNUMBER(B517),"OK","BAD DATE")</f>
        <v>OK</v>
      </c>
      <c r="R517" s="2" t="str">
        <f aca="false">IF(ROUND(F517,2)=F517,"OK","FIX")</f>
        <v>OK</v>
      </c>
    </row>
    <row r="518" customFormat="false" ht="15" hidden="false" customHeight="false" outlineLevel="0" collapsed="false">
      <c r="A518" s="2" t="str">
        <f aca="false">TRIM(UPPER(Raw_Data!A518))</f>
        <v>ORD200516</v>
      </c>
      <c r="B518" s="3" t="n">
        <f aca="false">IF(ISNUMBER(Raw_Data!B518),Raw_Data!B518,DATEVALUE(Raw_Data!B518))</f>
        <v>45389</v>
      </c>
      <c r="C518" s="2" t="str">
        <f aca="false">TRIM(UPPER(Raw_Data!C518))</f>
        <v>C47022</v>
      </c>
      <c r="D518" s="2" t="str">
        <f aca="false">PROPER(TRIM(Raw_Data!D518))</f>
        <v>Monitor</v>
      </c>
      <c r="E518" s="2" t="n">
        <f aca="false">Raw_Data!E518</f>
        <v>3</v>
      </c>
      <c r="F518" s="4" t="n">
        <f aca="false">ROUND(Raw_Data!F518,2)</f>
        <v>166.99</v>
      </c>
      <c r="G518" s="2" t="str">
        <f aca="false">PROPER(TRIM(Raw_Data!G518))</f>
        <v>208 Main St</v>
      </c>
      <c r="H518" s="2" t="str">
        <f aca="false">PROPER(TRIM(Raw_Data!H518))</f>
        <v>Cash</v>
      </c>
      <c r="I518" s="2" t="str">
        <f aca="false">PROPER(TRIM(Raw_Data!I518))</f>
        <v>Returned</v>
      </c>
      <c r="J518" s="2" t="str">
        <f aca="false">TRIM(UPPER(Raw_Data!J518))</f>
        <v>TRK28855040</v>
      </c>
      <c r="K518" s="2" t="n">
        <f aca="false">Raw_Data!K518</f>
        <v>8</v>
      </c>
      <c r="L518" s="2" t="str">
        <f aca="false">IF(TRIM(Raw_Data!L518)="","No Coupon",TRIM(UPPER(Raw_Data!L518)))</f>
        <v>No Coupon</v>
      </c>
      <c r="M518" s="2" t="str">
        <f aca="false">PROPER(TRIM(Raw_Data!M518))</f>
        <v>Facebook</v>
      </c>
      <c r="N518" s="4" t="n">
        <f aca="false">ROUND(E518*F518,2)</f>
        <v>500.97</v>
      </c>
      <c r="O518" s="2" t="str">
        <f aca="false">IF(COUNTIF($A$2:$A$1201,A518)&gt;1,"DUPLICATE","Unique")</f>
        <v>Unique</v>
      </c>
      <c r="P518" s="2" t="str">
        <f aca="false">IF(L518="","MISSING","OK")</f>
        <v>OK</v>
      </c>
      <c r="Q518" s="2" t="str">
        <f aca="false">IF(ISNUMBER(B518),"OK","BAD DATE")</f>
        <v>OK</v>
      </c>
      <c r="R518" s="2" t="str">
        <f aca="false">IF(ROUND(F518,2)=F518,"OK","FIX")</f>
        <v>OK</v>
      </c>
    </row>
    <row r="519" customFormat="false" ht="15" hidden="false" customHeight="false" outlineLevel="0" collapsed="false">
      <c r="A519" s="2" t="str">
        <f aca="false">TRIM(UPPER(Raw_Data!A519))</f>
        <v>ORD200517</v>
      </c>
      <c r="B519" s="3" t="n">
        <f aca="false">IF(ISNUMBER(Raw_Data!B519),Raw_Data!B519,DATEVALUE(Raw_Data!B519))</f>
        <v>45391</v>
      </c>
      <c r="C519" s="2" t="str">
        <f aca="false">TRIM(UPPER(Raw_Data!C519))</f>
        <v>C55205</v>
      </c>
      <c r="D519" s="2" t="str">
        <f aca="false">PROPER(TRIM(Raw_Data!D519))</f>
        <v>Tablet</v>
      </c>
      <c r="E519" s="2" t="n">
        <f aca="false">Raw_Data!E519</f>
        <v>4</v>
      </c>
      <c r="F519" s="4" t="n">
        <f aca="false">ROUND(Raw_Data!F519,2)</f>
        <v>198.35</v>
      </c>
      <c r="G519" s="2" t="str">
        <f aca="false">PROPER(TRIM(Raw_Data!G519))</f>
        <v>943 Main St</v>
      </c>
      <c r="H519" s="2" t="str">
        <f aca="false">PROPER(TRIM(Raw_Data!H519))</f>
        <v>Cash</v>
      </c>
      <c r="I519" s="2" t="str">
        <f aca="false">PROPER(TRIM(Raw_Data!I519))</f>
        <v>Cancelled</v>
      </c>
      <c r="J519" s="2" t="str">
        <f aca="false">TRIM(UPPER(Raw_Data!J519))</f>
        <v>TRK88141634</v>
      </c>
      <c r="K519" s="2" t="n">
        <f aca="false">Raw_Data!K519</f>
        <v>7</v>
      </c>
      <c r="L519" s="2" t="str">
        <f aca="false">IF(TRIM(Raw_Data!L519)="","No Coupon",TRIM(UPPER(Raw_Data!L519)))</f>
        <v>FREESHIP</v>
      </c>
      <c r="M519" s="2" t="str">
        <f aca="false">PROPER(TRIM(Raw_Data!M519))</f>
        <v>Google</v>
      </c>
      <c r="N519" s="4" t="n">
        <f aca="false">ROUND(E519*F519,2)</f>
        <v>793.4</v>
      </c>
      <c r="O519" s="2" t="str">
        <f aca="false">IF(COUNTIF($A$2:$A$1201,A519)&gt;1,"DUPLICATE","Unique")</f>
        <v>Unique</v>
      </c>
      <c r="P519" s="2" t="str">
        <f aca="false">IF(L519="","MISSING","OK")</f>
        <v>OK</v>
      </c>
      <c r="Q519" s="2" t="str">
        <f aca="false">IF(ISNUMBER(B519),"OK","BAD DATE")</f>
        <v>OK</v>
      </c>
      <c r="R519" s="2" t="str">
        <f aca="false">IF(ROUND(F519,2)=F519,"OK","FIX")</f>
        <v>OK</v>
      </c>
    </row>
    <row r="520" customFormat="false" ht="15" hidden="false" customHeight="false" outlineLevel="0" collapsed="false">
      <c r="A520" s="2" t="str">
        <f aca="false">TRIM(UPPER(Raw_Data!A520))</f>
        <v>ORD200518</v>
      </c>
      <c r="B520" s="3" t="n">
        <f aca="false">IF(ISNUMBER(Raw_Data!B520),Raw_Data!B520,DATEVALUE(Raw_Data!B520))</f>
        <v>45821</v>
      </c>
      <c r="C520" s="2" t="str">
        <f aca="false">TRIM(UPPER(Raw_Data!C520))</f>
        <v>C30686</v>
      </c>
      <c r="D520" s="2" t="str">
        <f aca="false">PROPER(TRIM(Raw_Data!D520))</f>
        <v>Printer</v>
      </c>
      <c r="E520" s="2" t="n">
        <f aca="false">Raw_Data!E520</f>
        <v>4</v>
      </c>
      <c r="F520" s="4" t="n">
        <f aca="false">ROUND(Raw_Data!F520,2)</f>
        <v>403.58</v>
      </c>
      <c r="G520" s="2" t="str">
        <f aca="false">PROPER(TRIM(Raw_Data!G520))</f>
        <v>319 Main St</v>
      </c>
      <c r="H520" s="2" t="str">
        <f aca="false">PROPER(TRIM(Raw_Data!H520))</f>
        <v>Online</v>
      </c>
      <c r="I520" s="2" t="str">
        <f aca="false">PROPER(TRIM(Raw_Data!I520))</f>
        <v>Pending</v>
      </c>
      <c r="J520" s="2" t="str">
        <f aca="false">TRIM(UPPER(Raw_Data!J520))</f>
        <v>TRK59807273</v>
      </c>
      <c r="K520" s="2" t="n">
        <f aca="false">Raw_Data!K520</f>
        <v>9</v>
      </c>
      <c r="L520" s="2" t="str">
        <f aca="false">IF(TRIM(Raw_Data!L520)="","No Coupon",TRIM(UPPER(Raw_Data!L520)))</f>
        <v>SAVE10</v>
      </c>
      <c r="M520" s="2" t="str">
        <f aca="false">PROPER(TRIM(Raw_Data!M520))</f>
        <v>Referral</v>
      </c>
      <c r="N520" s="4" t="n">
        <f aca="false">ROUND(E520*F520,2)</f>
        <v>1614.32</v>
      </c>
      <c r="O520" s="2" t="str">
        <f aca="false">IF(COUNTIF($A$2:$A$1201,A520)&gt;1,"DUPLICATE","Unique")</f>
        <v>Unique</v>
      </c>
      <c r="P520" s="2" t="str">
        <f aca="false">IF(L520="","MISSING","OK")</f>
        <v>OK</v>
      </c>
      <c r="Q520" s="2" t="str">
        <f aca="false">IF(ISNUMBER(B520),"OK","BAD DATE")</f>
        <v>OK</v>
      </c>
      <c r="R520" s="2" t="str">
        <f aca="false">IF(ROUND(F520,2)=F520,"OK","FIX")</f>
        <v>OK</v>
      </c>
    </row>
    <row r="521" customFormat="false" ht="15" hidden="false" customHeight="false" outlineLevel="0" collapsed="false">
      <c r="A521" s="2" t="str">
        <f aca="false">TRIM(UPPER(Raw_Data!A521))</f>
        <v>ORD200519</v>
      </c>
      <c r="B521" s="3" t="n">
        <f aca="false">IF(ISNUMBER(Raw_Data!B521),Raw_Data!B521,DATEVALUE(Raw_Data!B521))</f>
        <v>45787</v>
      </c>
      <c r="C521" s="2" t="str">
        <f aca="false">TRIM(UPPER(Raw_Data!C521))</f>
        <v>C71797</v>
      </c>
      <c r="D521" s="2" t="str">
        <f aca="false">PROPER(TRIM(Raw_Data!D521))</f>
        <v>Laptop</v>
      </c>
      <c r="E521" s="2" t="n">
        <f aca="false">Raw_Data!E521</f>
        <v>4</v>
      </c>
      <c r="F521" s="4" t="n">
        <f aca="false">ROUND(Raw_Data!F521,2)</f>
        <v>464.29</v>
      </c>
      <c r="G521" s="2" t="str">
        <f aca="false">PROPER(TRIM(Raw_Data!G521))</f>
        <v>941 Main St</v>
      </c>
      <c r="H521" s="2" t="str">
        <f aca="false">PROPER(TRIM(Raw_Data!H521))</f>
        <v>Debit Card</v>
      </c>
      <c r="I521" s="2" t="str">
        <f aca="false">PROPER(TRIM(Raw_Data!I521))</f>
        <v>Returned</v>
      </c>
      <c r="J521" s="2" t="str">
        <f aca="false">TRIM(UPPER(Raw_Data!J521))</f>
        <v>TRK66010667</v>
      </c>
      <c r="K521" s="2" t="n">
        <f aca="false">Raw_Data!K521</f>
        <v>5</v>
      </c>
      <c r="L521" s="2" t="str">
        <f aca="false">IF(TRIM(Raw_Data!L521)="","No Coupon",TRIM(UPPER(Raw_Data!L521)))</f>
        <v>SAVE10</v>
      </c>
      <c r="M521" s="2" t="str">
        <f aca="false">PROPER(TRIM(Raw_Data!M521))</f>
        <v>Email</v>
      </c>
      <c r="N521" s="4" t="n">
        <f aca="false">ROUND(E521*F521,2)</f>
        <v>1857.16</v>
      </c>
      <c r="O521" s="2" t="str">
        <f aca="false">IF(COUNTIF($A$2:$A$1201,A521)&gt;1,"DUPLICATE","Unique")</f>
        <v>Unique</v>
      </c>
      <c r="P521" s="2" t="str">
        <f aca="false">IF(L521="","MISSING","OK")</f>
        <v>OK</v>
      </c>
      <c r="Q521" s="2" t="str">
        <f aca="false">IF(ISNUMBER(B521),"OK","BAD DATE")</f>
        <v>OK</v>
      </c>
      <c r="R521" s="2" t="str">
        <f aca="false">IF(ROUND(F521,2)=F521,"OK","FIX")</f>
        <v>OK</v>
      </c>
    </row>
    <row r="522" customFormat="false" ht="15" hidden="false" customHeight="false" outlineLevel="0" collapsed="false">
      <c r="A522" s="2" t="str">
        <f aca="false">TRIM(UPPER(Raw_Data!A522))</f>
        <v>ORD200520</v>
      </c>
      <c r="B522" s="3" t="n">
        <f aca="false">IF(ISNUMBER(Raw_Data!B522),Raw_Data!B522,DATEVALUE(Raw_Data!B522))</f>
        <v>44995</v>
      </c>
      <c r="C522" s="2" t="str">
        <f aca="false">TRIM(UPPER(Raw_Data!C522))</f>
        <v>C66332</v>
      </c>
      <c r="D522" s="2" t="str">
        <f aca="false">PROPER(TRIM(Raw_Data!D522))</f>
        <v>Monitor</v>
      </c>
      <c r="E522" s="2" t="n">
        <f aca="false">Raw_Data!E522</f>
        <v>3</v>
      </c>
      <c r="F522" s="4" t="n">
        <f aca="false">ROUND(Raw_Data!F522,2)</f>
        <v>635.98</v>
      </c>
      <c r="G522" s="2" t="str">
        <f aca="false">PROPER(TRIM(Raw_Data!G522))</f>
        <v>959 Main St</v>
      </c>
      <c r="H522" s="2" t="str">
        <f aca="false">PROPER(TRIM(Raw_Data!H522))</f>
        <v>Cash</v>
      </c>
      <c r="I522" s="2" t="str">
        <f aca="false">PROPER(TRIM(Raw_Data!I522))</f>
        <v>Returned</v>
      </c>
      <c r="J522" s="2" t="str">
        <f aca="false">TRIM(UPPER(Raw_Data!J522))</f>
        <v>TRK27063398</v>
      </c>
      <c r="K522" s="2" t="n">
        <f aca="false">Raw_Data!K522</f>
        <v>5</v>
      </c>
      <c r="L522" s="2" t="str">
        <f aca="false">IF(TRIM(Raw_Data!L522)="","No Coupon",TRIM(UPPER(Raw_Data!L522)))</f>
        <v>No Coupon</v>
      </c>
      <c r="M522" s="2" t="str">
        <f aca="false">PROPER(TRIM(Raw_Data!M522))</f>
        <v>Referral</v>
      </c>
      <c r="N522" s="4" t="n">
        <f aca="false">ROUND(E522*F522,2)</f>
        <v>1907.94</v>
      </c>
      <c r="O522" s="2" t="str">
        <f aca="false">IF(COUNTIF($A$2:$A$1201,A522)&gt;1,"DUPLICATE","Unique")</f>
        <v>Unique</v>
      </c>
      <c r="P522" s="2" t="str">
        <f aca="false">IF(L522="","MISSING","OK")</f>
        <v>OK</v>
      </c>
      <c r="Q522" s="2" t="str">
        <f aca="false">IF(ISNUMBER(B522),"OK","BAD DATE")</f>
        <v>OK</v>
      </c>
      <c r="R522" s="2" t="str">
        <f aca="false">IF(ROUND(F522,2)=F522,"OK","FIX")</f>
        <v>OK</v>
      </c>
    </row>
    <row r="523" customFormat="false" ht="15" hidden="false" customHeight="false" outlineLevel="0" collapsed="false">
      <c r="A523" s="2" t="str">
        <f aca="false">TRIM(UPPER(Raw_Data!A523))</f>
        <v>ORD200521</v>
      </c>
      <c r="B523" s="3" t="n">
        <f aca="false">IF(ISNUMBER(Raw_Data!B523),Raw_Data!B523,DATEVALUE(Raw_Data!B523))</f>
        <v>45347</v>
      </c>
      <c r="C523" s="2" t="str">
        <f aca="false">TRIM(UPPER(Raw_Data!C523))</f>
        <v>C82318</v>
      </c>
      <c r="D523" s="2" t="str">
        <f aca="false">PROPER(TRIM(Raw_Data!D523))</f>
        <v>Phone</v>
      </c>
      <c r="E523" s="2" t="n">
        <f aca="false">Raw_Data!E523</f>
        <v>1</v>
      </c>
      <c r="F523" s="4" t="n">
        <f aca="false">ROUND(Raw_Data!F523,2)</f>
        <v>528.06</v>
      </c>
      <c r="G523" s="2" t="str">
        <f aca="false">PROPER(TRIM(Raw_Data!G523))</f>
        <v>991 Main St</v>
      </c>
      <c r="H523" s="2" t="str">
        <f aca="false">PROPER(TRIM(Raw_Data!H523))</f>
        <v>Credit Card</v>
      </c>
      <c r="I523" s="2" t="str">
        <f aca="false">PROPER(TRIM(Raw_Data!I523))</f>
        <v>Shipped</v>
      </c>
      <c r="J523" s="2" t="str">
        <f aca="false">TRIM(UPPER(Raw_Data!J523))</f>
        <v>TRK37534165</v>
      </c>
      <c r="K523" s="2" t="n">
        <f aca="false">Raw_Data!K523</f>
        <v>2</v>
      </c>
      <c r="L523" s="2" t="str">
        <f aca="false">IF(TRIM(Raw_Data!L523)="","No Coupon",TRIM(UPPER(Raw_Data!L523)))</f>
        <v>No Coupon</v>
      </c>
      <c r="M523" s="2" t="str">
        <f aca="false">PROPER(TRIM(Raw_Data!M523))</f>
        <v>Facebook</v>
      </c>
      <c r="N523" s="4" t="n">
        <f aca="false">ROUND(E523*F523,2)</f>
        <v>528.06</v>
      </c>
      <c r="O523" s="2" t="str">
        <f aca="false">IF(COUNTIF($A$2:$A$1201,A523)&gt;1,"DUPLICATE","Unique")</f>
        <v>Unique</v>
      </c>
      <c r="P523" s="2" t="str">
        <f aca="false">IF(L523="","MISSING","OK")</f>
        <v>OK</v>
      </c>
      <c r="Q523" s="2" t="str">
        <f aca="false">IF(ISNUMBER(B523),"OK","BAD DATE")</f>
        <v>OK</v>
      </c>
      <c r="R523" s="2" t="str">
        <f aca="false">IF(ROUND(F523,2)=F523,"OK","FIX")</f>
        <v>OK</v>
      </c>
    </row>
    <row r="524" customFormat="false" ht="15" hidden="false" customHeight="false" outlineLevel="0" collapsed="false">
      <c r="A524" s="2" t="str">
        <f aca="false">TRIM(UPPER(Raw_Data!A524))</f>
        <v>ORD200522</v>
      </c>
      <c r="B524" s="3" t="n">
        <f aca="false">IF(ISNUMBER(Raw_Data!B524),Raw_Data!B524,DATEVALUE(Raw_Data!B524))</f>
        <v>45402</v>
      </c>
      <c r="C524" s="2" t="str">
        <f aca="false">TRIM(UPPER(Raw_Data!C524))</f>
        <v>C66254</v>
      </c>
      <c r="D524" s="2" t="str">
        <f aca="false">PROPER(TRIM(Raw_Data!D524))</f>
        <v>Chair</v>
      </c>
      <c r="E524" s="2" t="n">
        <f aca="false">Raw_Data!E524</f>
        <v>1</v>
      </c>
      <c r="F524" s="4" t="n">
        <f aca="false">ROUND(Raw_Data!F524,2)</f>
        <v>515.32</v>
      </c>
      <c r="G524" s="2" t="str">
        <f aca="false">PROPER(TRIM(Raw_Data!G524))</f>
        <v>740 Main St</v>
      </c>
      <c r="H524" s="2" t="str">
        <f aca="false">PROPER(TRIM(Raw_Data!H524))</f>
        <v>Gift Card</v>
      </c>
      <c r="I524" s="2" t="str">
        <f aca="false">PROPER(TRIM(Raw_Data!I524))</f>
        <v>Cancelled</v>
      </c>
      <c r="J524" s="2" t="str">
        <f aca="false">TRIM(UPPER(Raw_Data!J524))</f>
        <v>TRK82843861</v>
      </c>
      <c r="K524" s="2" t="n">
        <f aca="false">Raw_Data!K524</f>
        <v>1</v>
      </c>
      <c r="L524" s="2" t="str">
        <f aca="false">IF(TRIM(Raw_Data!L524)="","No Coupon",TRIM(UPPER(Raw_Data!L524)))</f>
        <v>FREESHIP</v>
      </c>
      <c r="M524" s="2" t="str">
        <f aca="false">PROPER(TRIM(Raw_Data!M524))</f>
        <v>Email</v>
      </c>
      <c r="N524" s="4" t="n">
        <f aca="false">ROUND(E524*F524,2)</f>
        <v>515.32</v>
      </c>
      <c r="O524" s="2" t="str">
        <f aca="false">IF(COUNTIF($A$2:$A$1201,A524)&gt;1,"DUPLICATE","Unique")</f>
        <v>Unique</v>
      </c>
      <c r="P524" s="2" t="str">
        <f aca="false">IF(L524="","MISSING","OK")</f>
        <v>OK</v>
      </c>
      <c r="Q524" s="2" t="str">
        <f aca="false">IF(ISNUMBER(B524),"OK","BAD DATE")</f>
        <v>OK</v>
      </c>
      <c r="R524" s="2" t="str">
        <f aca="false">IF(ROUND(F524,2)=F524,"OK","FIX")</f>
        <v>OK</v>
      </c>
    </row>
    <row r="525" customFormat="false" ht="15" hidden="false" customHeight="false" outlineLevel="0" collapsed="false">
      <c r="A525" s="2" t="str">
        <f aca="false">TRIM(UPPER(Raw_Data!A525))</f>
        <v>ORD200523</v>
      </c>
      <c r="B525" s="3" t="n">
        <f aca="false">IF(ISNUMBER(Raw_Data!B525),Raw_Data!B525,DATEVALUE(Raw_Data!B525))</f>
        <v>45706</v>
      </c>
      <c r="C525" s="2" t="str">
        <f aca="false">TRIM(UPPER(Raw_Data!C525))</f>
        <v>C65083</v>
      </c>
      <c r="D525" s="2" t="str">
        <f aca="false">PROPER(TRIM(Raw_Data!D525))</f>
        <v>Desk</v>
      </c>
      <c r="E525" s="2" t="n">
        <f aca="false">Raw_Data!E525</f>
        <v>4</v>
      </c>
      <c r="F525" s="4" t="n">
        <f aca="false">ROUND(Raw_Data!F525,2)</f>
        <v>657.79</v>
      </c>
      <c r="G525" s="2" t="str">
        <f aca="false">PROPER(TRIM(Raw_Data!G525))</f>
        <v>652 Main St</v>
      </c>
      <c r="H525" s="2" t="str">
        <f aca="false">PROPER(TRIM(Raw_Data!H525))</f>
        <v>Credit Card</v>
      </c>
      <c r="I525" s="2" t="str">
        <f aca="false">PROPER(TRIM(Raw_Data!I525))</f>
        <v>Returned</v>
      </c>
      <c r="J525" s="2" t="str">
        <f aca="false">TRIM(UPPER(Raw_Data!J525))</f>
        <v>TRK60937148</v>
      </c>
      <c r="K525" s="2" t="n">
        <f aca="false">Raw_Data!K525</f>
        <v>6</v>
      </c>
      <c r="L525" s="2" t="str">
        <f aca="false">IF(TRIM(Raw_Data!L525)="","No Coupon",TRIM(UPPER(Raw_Data!L525)))</f>
        <v>WINTER15</v>
      </c>
      <c r="M525" s="2" t="str">
        <f aca="false">PROPER(TRIM(Raw_Data!M525))</f>
        <v>Google</v>
      </c>
      <c r="N525" s="4" t="n">
        <f aca="false">ROUND(E525*F525,2)</f>
        <v>2631.16</v>
      </c>
      <c r="O525" s="2" t="str">
        <f aca="false">IF(COUNTIF($A$2:$A$1201,A525)&gt;1,"DUPLICATE","Unique")</f>
        <v>Unique</v>
      </c>
      <c r="P525" s="2" t="str">
        <f aca="false">IF(L525="","MISSING","OK")</f>
        <v>OK</v>
      </c>
      <c r="Q525" s="2" t="str">
        <f aca="false">IF(ISNUMBER(B525),"OK","BAD DATE")</f>
        <v>OK</v>
      </c>
      <c r="R525" s="2" t="str">
        <f aca="false">IF(ROUND(F525,2)=F525,"OK","FIX")</f>
        <v>OK</v>
      </c>
    </row>
    <row r="526" customFormat="false" ht="15" hidden="false" customHeight="false" outlineLevel="0" collapsed="false">
      <c r="A526" s="2" t="str">
        <f aca="false">TRIM(UPPER(Raw_Data!A526))</f>
        <v>ORD200524</v>
      </c>
      <c r="B526" s="3" t="n">
        <f aca="false">IF(ISNUMBER(Raw_Data!B526),Raw_Data!B526,DATEVALUE(Raw_Data!B526))</f>
        <v>45224</v>
      </c>
      <c r="C526" s="2" t="str">
        <f aca="false">TRIM(UPPER(Raw_Data!C526))</f>
        <v>C44778</v>
      </c>
      <c r="D526" s="2" t="str">
        <f aca="false">PROPER(TRIM(Raw_Data!D526))</f>
        <v>Phone</v>
      </c>
      <c r="E526" s="2" t="n">
        <f aca="false">Raw_Data!E526</f>
        <v>1</v>
      </c>
      <c r="F526" s="4" t="n">
        <f aca="false">ROUND(Raw_Data!F526,2)</f>
        <v>153</v>
      </c>
      <c r="G526" s="2" t="str">
        <f aca="false">PROPER(TRIM(Raw_Data!G526))</f>
        <v>103 Main St</v>
      </c>
      <c r="H526" s="2" t="str">
        <f aca="false">PROPER(TRIM(Raw_Data!H526))</f>
        <v>Credit Card</v>
      </c>
      <c r="I526" s="2" t="str">
        <f aca="false">PROPER(TRIM(Raw_Data!I526))</f>
        <v>Returned</v>
      </c>
      <c r="J526" s="2" t="str">
        <f aca="false">TRIM(UPPER(Raw_Data!J526))</f>
        <v>TRK92617366</v>
      </c>
      <c r="K526" s="2" t="n">
        <f aca="false">Raw_Data!K526</f>
        <v>4</v>
      </c>
      <c r="L526" s="2" t="str">
        <f aca="false">IF(TRIM(Raw_Data!L526)="","No Coupon",TRIM(UPPER(Raw_Data!L526)))</f>
        <v>No Coupon</v>
      </c>
      <c r="M526" s="2" t="str">
        <f aca="false">PROPER(TRIM(Raw_Data!M526))</f>
        <v>Referral</v>
      </c>
      <c r="N526" s="4" t="n">
        <f aca="false">ROUND(E526*F526,2)</f>
        <v>153</v>
      </c>
      <c r="O526" s="2" t="str">
        <f aca="false">IF(COUNTIF($A$2:$A$1201,A526)&gt;1,"DUPLICATE","Unique")</f>
        <v>Unique</v>
      </c>
      <c r="P526" s="2" t="str">
        <f aca="false">IF(L526="","MISSING","OK")</f>
        <v>OK</v>
      </c>
      <c r="Q526" s="2" t="str">
        <f aca="false">IF(ISNUMBER(B526),"OK","BAD DATE")</f>
        <v>OK</v>
      </c>
      <c r="R526" s="2" t="str">
        <f aca="false">IF(ROUND(F526,2)=F526,"OK","FIX")</f>
        <v>OK</v>
      </c>
    </row>
    <row r="527" customFormat="false" ht="15" hidden="false" customHeight="false" outlineLevel="0" collapsed="false">
      <c r="A527" s="2" t="str">
        <f aca="false">TRIM(UPPER(Raw_Data!A527))</f>
        <v>ORD200525</v>
      </c>
      <c r="B527" s="3" t="n">
        <f aca="false">IF(ISNUMBER(Raw_Data!B527),Raw_Data!B527,DATEVALUE(Raw_Data!B527))</f>
        <v>45263</v>
      </c>
      <c r="C527" s="2" t="str">
        <f aca="false">TRIM(UPPER(Raw_Data!C527))</f>
        <v>C54499</v>
      </c>
      <c r="D527" s="2" t="str">
        <f aca="false">PROPER(TRIM(Raw_Data!D527))</f>
        <v>Monitor</v>
      </c>
      <c r="E527" s="2" t="n">
        <f aca="false">Raw_Data!E527</f>
        <v>1</v>
      </c>
      <c r="F527" s="4" t="n">
        <f aca="false">ROUND(Raw_Data!F527,2)</f>
        <v>668.48</v>
      </c>
      <c r="G527" s="2" t="str">
        <f aca="false">PROPER(TRIM(Raw_Data!G527))</f>
        <v>160 Main St</v>
      </c>
      <c r="H527" s="2" t="str">
        <f aca="false">PROPER(TRIM(Raw_Data!H527))</f>
        <v>Debit Card</v>
      </c>
      <c r="I527" s="2" t="str">
        <f aca="false">PROPER(TRIM(Raw_Data!I527))</f>
        <v>Shipped</v>
      </c>
      <c r="J527" s="2" t="str">
        <f aca="false">TRIM(UPPER(Raw_Data!J527))</f>
        <v>TRK18061555</v>
      </c>
      <c r="K527" s="2" t="n">
        <f aca="false">Raw_Data!K527</f>
        <v>1</v>
      </c>
      <c r="L527" s="2" t="str">
        <f aca="false">IF(TRIM(Raw_Data!L527)="","No Coupon",TRIM(UPPER(Raw_Data!L527)))</f>
        <v>SAVE10</v>
      </c>
      <c r="M527" s="2" t="str">
        <f aca="false">PROPER(TRIM(Raw_Data!M527))</f>
        <v>Email</v>
      </c>
      <c r="N527" s="4" t="n">
        <f aca="false">ROUND(E527*F527,2)</f>
        <v>668.48</v>
      </c>
      <c r="O527" s="2" t="str">
        <f aca="false">IF(COUNTIF($A$2:$A$1201,A527)&gt;1,"DUPLICATE","Unique")</f>
        <v>Unique</v>
      </c>
      <c r="P527" s="2" t="str">
        <f aca="false">IF(L527="","MISSING","OK")</f>
        <v>OK</v>
      </c>
      <c r="Q527" s="2" t="str">
        <f aca="false">IF(ISNUMBER(B527),"OK","BAD DATE")</f>
        <v>OK</v>
      </c>
      <c r="R527" s="2" t="str">
        <f aca="false">IF(ROUND(F527,2)=F527,"OK","FIX")</f>
        <v>OK</v>
      </c>
    </row>
    <row r="528" customFormat="false" ht="15" hidden="false" customHeight="false" outlineLevel="0" collapsed="false">
      <c r="A528" s="2" t="str">
        <f aca="false">TRIM(UPPER(Raw_Data!A528))</f>
        <v>ORD200526</v>
      </c>
      <c r="B528" s="3" t="n">
        <f aca="false">IF(ISNUMBER(Raw_Data!B528),Raw_Data!B528,DATEVALUE(Raw_Data!B528))</f>
        <v>45351</v>
      </c>
      <c r="C528" s="2" t="str">
        <f aca="false">TRIM(UPPER(Raw_Data!C528))</f>
        <v>C91201</v>
      </c>
      <c r="D528" s="2" t="str">
        <f aca="false">PROPER(TRIM(Raw_Data!D528))</f>
        <v>Desk</v>
      </c>
      <c r="E528" s="2" t="n">
        <f aca="false">Raw_Data!E528</f>
        <v>2</v>
      </c>
      <c r="F528" s="4" t="n">
        <f aca="false">ROUND(Raw_Data!F528,2)</f>
        <v>46.5</v>
      </c>
      <c r="G528" s="2" t="str">
        <f aca="false">PROPER(TRIM(Raw_Data!G528))</f>
        <v>837 Main St</v>
      </c>
      <c r="H528" s="2" t="str">
        <f aca="false">PROPER(TRIM(Raw_Data!H528))</f>
        <v>Cash</v>
      </c>
      <c r="I528" s="2" t="str">
        <f aca="false">PROPER(TRIM(Raw_Data!I528))</f>
        <v>Returned</v>
      </c>
      <c r="J528" s="2" t="str">
        <f aca="false">TRIM(UPPER(Raw_Data!J528))</f>
        <v>TRK63526023</v>
      </c>
      <c r="K528" s="2" t="n">
        <f aca="false">Raw_Data!K528</f>
        <v>7</v>
      </c>
      <c r="L528" s="2" t="str">
        <f aca="false">IF(TRIM(Raw_Data!L528)="","No Coupon",TRIM(UPPER(Raw_Data!L528)))</f>
        <v>WINTER15</v>
      </c>
      <c r="M528" s="2" t="str">
        <f aca="false">PROPER(TRIM(Raw_Data!M528))</f>
        <v>Google</v>
      </c>
      <c r="N528" s="4" t="n">
        <f aca="false">ROUND(E528*F528,2)</f>
        <v>93</v>
      </c>
      <c r="O528" s="2" t="str">
        <f aca="false">IF(COUNTIF($A$2:$A$1201,A528)&gt;1,"DUPLICATE","Unique")</f>
        <v>Unique</v>
      </c>
      <c r="P528" s="2" t="str">
        <f aca="false">IF(L528="","MISSING","OK")</f>
        <v>OK</v>
      </c>
      <c r="Q528" s="2" t="str">
        <f aca="false">IF(ISNUMBER(B528),"OK","BAD DATE")</f>
        <v>OK</v>
      </c>
      <c r="R528" s="2" t="str">
        <f aca="false">IF(ROUND(F528,2)=F528,"OK","FIX")</f>
        <v>OK</v>
      </c>
    </row>
    <row r="529" customFormat="false" ht="15" hidden="false" customHeight="false" outlineLevel="0" collapsed="false">
      <c r="A529" s="2" t="str">
        <f aca="false">TRIM(UPPER(Raw_Data!A529))</f>
        <v>ORD200527</v>
      </c>
      <c r="B529" s="3" t="n">
        <f aca="false">IF(ISNUMBER(Raw_Data!B529),Raw_Data!B529,DATEVALUE(Raw_Data!B529))</f>
        <v>45523</v>
      </c>
      <c r="C529" s="2" t="str">
        <f aca="false">TRIM(UPPER(Raw_Data!C529))</f>
        <v>C27202</v>
      </c>
      <c r="D529" s="2" t="str">
        <f aca="false">PROPER(TRIM(Raw_Data!D529))</f>
        <v>Chair</v>
      </c>
      <c r="E529" s="2" t="n">
        <f aca="false">Raw_Data!E529</f>
        <v>5</v>
      </c>
      <c r="F529" s="4" t="n">
        <f aca="false">ROUND(Raw_Data!F529,2)</f>
        <v>653.47</v>
      </c>
      <c r="G529" s="2" t="str">
        <f aca="false">PROPER(TRIM(Raw_Data!G529))</f>
        <v>967 Main St</v>
      </c>
      <c r="H529" s="2" t="str">
        <f aca="false">PROPER(TRIM(Raw_Data!H529))</f>
        <v>Credit Card</v>
      </c>
      <c r="I529" s="2" t="str">
        <f aca="false">PROPER(TRIM(Raw_Data!I529))</f>
        <v>Cancelled</v>
      </c>
      <c r="J529" s="2" t="str">
        <f aca="false">TRIM(UPPER(Raw_Data!J529))</f>
        <v>TRK75406128</v>
      </c>
      <c r="K529" s="2" t="n">
        <f aca="false">Raw_Data!K529</f>
        <v>10</v>
      </c>
      <c r="L529" s="2" t="str">
        <f aca="false">IF(TRIM(Raw_Data!L529)="","No Coupon",TRIM(UPPER(Raw_Data!L529)))</f>
        <v>SAVE10</v>
      </c>
      <c r="M529" s="2" t="str">
        <f aca="false">PROPER(TRIM(Raw_Data!M529))</f>
        <v>Referral</v>
      </c>
      <c r="N529" s="4" t="n">
        <f aca="false">ROUND(E529*F529,2)</f>
        <v>3267.35</v>
      </c>
      <c r="O529" s="2" t="str">
        <f aca="false">IF(COUNTIF($A$2:$A$1201,A529)&gt;1,"DUPLICATE","Unique")</f>
        <v>Unique</v>
      </c>
      <c r="P529" s="2" t="str">
        <f aca="false">IF(L529="","MISSING","OK")</f>
        <v>OK</v>
      </c>
      <c r="Q529" s="2" t="str">
        <f aca="false">IF(ISNUMBER(B529),"OK","BAD DATE")</f>
        <v>OK</v>
      </c>
      <c r="R529" s="2" t="str">
        <f aca="false">IF(ROUND(F529,2)=F529,"OK","FIX")</f>
        <v>OK</v>
      </c>
    </row>
    <row r="530" customFormat="false" ht="15" hidden="false" customHeight="false" outlineLevel="0" collapsed="false">
      <c r="A530" s="2" t="str">
        <f aca="false">TRIM(UPPER(Raw_Data!A530))</f>
        <v>ORD200528</v>
      </c>
      <c r="B530" s="3" t="n">
        <f aca="false">IF(ISNUMBER(Raw_Data!B530),Raw_Data!B530,DATEVALUE(Raw_Data!B530))</f>
        <v>45714</v>
      </c>
      <c r="C530" s="2" t="str">
        <f aca="false">TRIM(UPPER(Raw_Data!C530))</f>
        <v>C32011</v>
      </c>
      <c r="D530" s="2" t="str">
        <f aca="false">PROPER(TRIM(Raw_Data!D530))</f>
        <v>Chair</v>
      </c>
      <c r="E530" s="2" t="n">
        <f aca="false">Raw_Data!E530</f>
        <v>1</v>
      </c>
      <c r="F530" s="4" t="n">
        <f aca="false">ROUND(Raw_Data!F530,2)</f>
        <v>628.89</v>
      </c>
      <c r="G530" s="2" t="str">
        <f aca="false">PROPER(TRIM(Raw_Data!G530))</f>
        <v>686 Main St</v>
      </c>
      <c r="H530" s="2" t="str">
        <f aca="false">PROPER(TRIM(Raw_Data!H530))</f>
        <v>Credit Card</v>
      </c>
      <c r="I530" s="2" t="str">
        <f aca="false">PROPER(TRIM(Raw_Data!I530))</f>
        <v>Returned</v>
      </c>
      <c r="J530" s="2" t="str">
        <f aca="false">TRIM(UPPER(Raw_Data!J530))</f>
        <v>TRK70997744</v>
      </c>
      <c r="K530" s="2" t="n">
        <f aca="false">Raw_Data!K530</f>
        <v>2</v>
      </c>
      <c r="L530" s="2" t="str">
        <f aca="false">IF(TRIM(Raw_Data!L530)="","No Coupon",TRIM(UPPER(Raw_Data!L530)))</f>
        <v>SAVE10</v>
      </c>
      <c r="M530" s="2" t="str">
        <f aca="false">PROPER(TRIM(Raw_Data!M530))</f>
        <v>Referral</v>
      </c>
      <c r="N530" s="4" t="n">
        <f aca="false">ROUND(E530*F530,2)</f>
        <v>628.89</v>
      </c>
      <c r="O530" s="2" t="str">
        <f aca="false">IF(COUNTIF($A$2:$A$1201,A530)&gt;1,"DUPLICATE","Unique")</f>
        <v>Unique</v>
      </c>
      <c r="P530" s="2" t="str">
        <f aca="false">IF(L530="","MISSING","OK")</f>
        <v>OK</v>
      </c>
      <c r="Q530" s="2" t="str">
        <f aca="false">IF(ISNUMBER(B530),"OK","BAD DATE")</f>
        <v>OK</v>
      </c>
      <c r="R530" s="2" t="str">
        <f aca="false">IF(ROUND(F530,2)=F530,"OK","FIX")</f>
        <v>OK</v>
      </c>
    </row>
    <row r="531" customFormat="false" ht="15" hidden="false" customHeight="false" outlineLevel="0" collapsed="false">
      <c r="A531" s="2" t="str">
        <f aca="false">TRIM(UPPER(Raw_Data!A531))</f>
        <v>ORD200529</v>
      </c>
      <c r="B531" s="3" t="n">
        <f aca="false">IF(ISNUMBER(Raw_Data!B531),Raw_Data!B531,DATEVALUE(Raw_Data!B531))</f>
        <v>45389</v>
      </c>
      <c r="C531" s="2" t="str">
        <f aca="false">TRIM(UPPER(Raw_Data!C531))</f>
        <v>C21181</v>
      </c>
      <c r="D531" s="2" t="str">
        <f aca="false">PROPER(TRIM(Raw_Data!D531))</f>
        <v>Tablet</v>
      </c>
      <c r="E531" s="2" t="n">
        <f aca="false">Raw_Data!E531</f>
        <v>2</v>
      </c>
      <c r="F531" s="4" t="n">
        <f aca="false">ROUND(Raw_Data!F531,2)</f>
        <v>675.1</v>
      </c>
      <c r="G531" s="2" t="str">
        <f aca="false">PROPER(TRIM(Raw_Data!G531))</f>
        <v>938 Main St</v>
      </c>
      <c r="H531" s="2" t="str">
        <f aca="false">PROPER(TRIM(Raw_Data!H531))</f>
        <v>Cash</v>
      </c>
      <c r="I531" s="2" t="str">
        <f aca="false">PROPER(TRIM(Raw_Data!I531))</f>
        <v>Pending</v>
      </c>
      <c r="J531" s="2" t="str">
        <f aca="false">TRIM(UPPER(Raw_Data!J531))</f>
        <v>TRK50363421</v>
      </c>
      <c r="K531" s="2" t="n">
        <f aca="false">Raw_Data!K531</f>
        <v>4</v>
      </c>
      <c r="L531" s="2" t="str">
        <f aca="false">IF(TRIM(Raw_Data!L531)="","No Coupon",TRIM(UPPER(Raw_Data!L531)))</f>
        <v>FREESHIP</v>
      </c>
      <c r="M531" s="2" t="str">
        <f aca="false">PROPER(TRIM(Raw_Data!M531))</f>
        <v>Google</v>
      </c>
      <c r="N531" s="4" t="n">
        <f aca="false">ROUND(E531*F531,2)</f>
        <v>1350.2</v>
      </c>
      <c r="O531" s="2" t="str">
        <f aca="false">IF(COUNTIF($A$2:$A$1201,A531)&gt;1,"DUPLICATE","Unique")</f>
        <v>Unique</v>
      </c>
      <c r="P531" s="2" t="str">
        <f aca="false">IF(L531="","MISSING","OK")</f>
        <v>OK</v>
      </c>
      <c r="Q531" s="2" t="str">
        <f aca="false">IF(ISNUMBER(B531),"OK","BAD DATE")</f>
        <v>OK</v>
      </c>
      <c r="R531" s="2" t="str">
        <f aca="false">IF(ROUND(F531,2)=F531,"OK","FIX")</f>
        <v>OK</v>
      </c>
    </row>
    <row r="532" customFormat="false" ht="15" hidden="false" customHeight="false" outlineLevel="0" collapsed="false">
      <c r="A532" s="2" t="str">
        <f aca="false">TRIM(UPPER(Raw_Data!A532))</f>
        <v>ORD200530</v>
      </c>
      <c r="B532" s="3" t="n">
        <f aca="false">IF(ISNUMBER(Raw_Data!B532),Raw_Data!B532,DATEVALUE(Raw_Data!B532))</f>
        <v>45491</v>
      </c>
      <c r="C532" s="2" t="str">
        <f aca="false">TRIM(UPPER(Raw_Data!C532))</f>
        <v>C98450</v>
      </c>
      <c r="D532" s="2" t="str">
        <f aca="false">PROPER(TRIM(Raw_Data!D532))</f>
        <v>Chair</v>
      </c>
      <c r="E532" s="2" t="n">
        <f aca="false">Raw_Data!E532</f>
        <v>4</v>
      </c>
      <c r="F532" s="4" t="n">
        <f aca="false">ROUND(Raw_Data!F532,2)</f>
        <v>89.41</v>
      </c>
      <c r="G532" s="2" t="str">
        <f aca="false">PROPER(TRIM(Raw_Data!G532))</f>
        <v>613 Main St</v>
      </c>
      <c r="H532" s="2" t="str">
        <f aca="false">PROPER(TRIM(Raw_Data!H532))</f>
        <v>Online</v>
      </c>
      <c r="I532" s="2" t="str">
        <f aca="false">PROPER(TRIM(Raw_Data!I532))</f>
        <v>Pending</v>
      </c>
      <c r="J532" s="2" t="str">
        <f aca="false">TRIM(UPPER(Raw_Data!J532))</f>
        <v>TRK14809530</v>
      </c>
      <c r="K532" s="2" t="n">
        <f aca="false">Raw_Data!K532</f>
        <v>9</v>
      </c>
      <c r="L532" s="2" t="str">
        <f aca="false">IF(TRIM(Raw_Data!L532)="","No Coupon",TRIM(UPPER(Raw_Data!L532)))</f>
        <v>No Coupon</v>
      </c>
      <c r="M532" s="2" t="str">
        <f aca="false">PROPER(TRIM(Raw_Data!M532))</f>
        <v>Google</v>
      </c>
      <c r="N532" s="4" t="n">
        <f aca="false">ROUND(E532*F532,2)</f>
        <v>357.64</v>
      </c>
      <c r="O532" s="2" t="str">
        <f aca="false">IF(COUNTIF($A$2:$A$1201,A532)&gt;1,"DUPLICATE","Unique")</f>
        <v>Unique</v>
      </c>
      <c r="P532" s="2" t="str">
        <f aca="false">IF(L532="","MISSING","OK")</f>
        <v>OK</v>
      </c>
      <c r="Q532" s="2" t="str">
        <f aca="false">IF(ISNUMBER(B532),"OK","BAD DATE")</f>
        <v>OK</v>
      </c>
      <c r="R532" s="2" t="str">
        <f aca="false">IF(ROUND(F532,2)=F532,"OK","FIX")</f>
        <v>OK</v>
      </c>
    </row>
    <row r="533" customFormat="false" ht="15" hidden="false" customHeight="false" outlineLevel="0" collapsed="false">
      <c r="A533" s="2" t="str">
        <f aca="false">TRIM(UPPER(Raw_Data!A533))</f>
        <v>ORD200531</v>
      </c>
      <c r="B533" s="3" t="n">
        <f aca="false">IF(ISNUMBER(Raw_Data!B533),Raw_Data!B533,DATEVALUE(Raw_Data!B533))</f>
        <v>45475</v>
      </c>
      <c r="C533" s="2" t="str">
        <f aca="false">TRIM(UPPER(Raw_Data!C533))</f>
        <v>C64502</v>
      </c>
      <c r="D533" s="2" t="str">
        <f aca="false">PROPER(TRIM(Raw_Data!D533))</f>
        <v>Desk</v>
      </c>
      <c r="E533" s="2" t="n">
        <f aca="false">Raw_Data!E533</f>
        <v>5</v>
      </c>
      <c r="F533" s="4" t="n">
        <f aca="false">ROUND(Raw_Data!F533,2)</f>
        <v>320.01</v>
      </c>
      <c r="G533" s="2" t="str">
        <f aca="false">PROPER(TRIM(Raw_Data!G533))</f>
        <v>722 Main St</v>
      </c>
      <c r="H533" s="2" t="str">
        <f aca="false">PROPER(TRIM(Raw_Data!H533))</f>
        <v>Gift Card</v>
      </c>
      <c r="I533" s="2" t="str">
        <f aca="false">PROPER(TRIM(Raw_Data!I533))</f>
        <v>Delivered</v>
      </c>
      <c r="J533" s="2" t="str">
        <f aca="false">TRIM(UPPER(Raw_Data!J533))</f>
        <v>TRK14914388</v>
      </c>
      <c r="K533" s="2" t="n">
        <f aca="false">Raw_Data!K533</f>
        <v>6</v>
      </c>
      <c r="L533" s="2" t="str">
        <f aca="false">IF(TRIM(Raw_Data!L533)="","No Coupon",TRIM(UPPER(Raw_Data!L533)))</f>
        <v>No Coupon</v>
      </c>
      <c r="M533" s="2" t="str">
        <f aca="false">PROPER(TRIM(Raw_Data!M533))</f>
        <v>Referral</v>
      </c>
      <c r="N533" s="4" t="n">
        <f aca="false">ROUND(E533*F533,2)</f>
        <v>1600.05</v>
      </c>
      <c r="O533" s="2" t="str">
        <f aca="false">IF(COUNTIF($A$2:$A$1201,A533)&gt;1,"DUPLICATE","Unique")</f>
        <v>Unique</v>
      </c>
      <c r="P533" s="2" t="str">
        <f aca="false">IF(L533="","MISSING","OK")</f>
        <v>OK</v>
      </c>
      <c r="Q533" s="2" t="str">
        <f aca="false">IF(ISNUMBER(B533),"OK","BAD DATE")</f>
        <v>OK</v>
      </c>
      <c r="R533" s="2" t="str">
        <f aca="false">IF(ROUND(F533,2)=F533,"OK","FIX")</f>
        <v>OK</v>
      </c>
    </row>
    <row r="534" customFormat="false" ht="15" hidden="false" customHeight="false" outlineLevel="0" collapsed="false">
      <c r="A534" s="2" t="str">
        <f aca="false">TRIM(UPPER(Raw_Data!A534))</f>
        <v>ORD200532</v>
      </c>
      <c r="B534" s="3" t="n">
        <f aca="false">IF(ISNUMBER(Raw_Data!B534),Raw_Data!B534,DATEVALUE(Raw_Data!B534))</f>
        <v>45780</v>
      </c>
      <c r="C534" s="2" t="str">
        <f aca="false">TRIM(UPPER(Raw_Data!C534))</f>
        <v>C47365</v>
      </c>
      <c r="D534" s="2" t="str">
        <f aca="false">PROPER(TRIM(Raw_Data!D534))</f>
        <v>Laptop</v>
      </c>
      <c r="E534" s="2" t="n">
        <f aca="false">Raw_Data!E534</f>
        <v>2</v>
      </c>
      <c r="F534" s="4" t="n">
        <f aca="false">ROUND(Raw_Data!F534,2)</f>
        <v>41</v>
      </c>
      <c r="G534" s="2" t="str">
        <f aca="false">PROPER(TRIM(Raw_Data!G534))</f>
        <v>369 Main St</v>
      </c>
      <c r="H534" s="2" t="str">
        <f aca="false">PROPER(TRIM(Raw_Data!H534))</f>
        <v>Online</v>
      </c>
      <c r="I534" s="2" t="str">
        <f aca="false">PROPER(TRIM(Raw_Data!I534))</f>
        <v>Delivered</v>
      </c>
      <c r="J534" s="2" t="str">
        <f aca="false">TRIM(UPPER(Raw_Data!J534))</f>
        <v>TRK42207882</v>
      </c>
      <c r="K534" s="2" t="n">
        <f aca="false">Raw_Data!K534</f>
        <v>7</v>
      </c>
      <c r="L534" s="2" t="str">
        <f aca="false">IF(TRIM(Raw_Data!L534)="","No Coupon",TRIM(UPPER(Raw_Data!L534)))</f>
        <v>No Coupon</v>
      </c>
      <c r="M534" s="2" t="str">
        <f aca="false">PROPER(TRIM(Raw_Data!M534))</f>
        <v>Email</v>
      </c>
      <c r="N534" s="4" t="n">
        <f aca="false">ROUND(E534*F534,2)</f>
        <v>82</v>
      </c>
      <c r="O534" s="2" t="str">
        <f aca="false">IF(COUNTIF($A$2:$A$1201,A534)&gt;1,"DUPLICATE","Unique")</f>
        <v>Unique</v>
      </c>
      <c r="P534" s="2" t="str">
        <f aca="false">IF(L534="","MISSING","OK")</f>
        <v>OK</v>
      </c>
      <c r="Q534" s="2" t="str">
        <f aca="false">IF(ISNUMBER(B534),"OK","BAD DATE")</f>
        <v>OK</v>
      </c>
      <c r="R534" s="2" t="str">
        <f aca="false">IF(ROUND(F534,2)=F534,"OK","FIX")</f>
        <v>OK</v>
      </c>
    </row>
    <row r="535" customFormat="false" ht="15" hidden="false" customHeight="false" outlineLevel="0" collapsed="false">
      <c r="A535" s="2" t="str">
        <f aca="false">TRIM(UPPER(Raw_Data!A535))</f>
        <v>ORD200533</v>
      </c>
      <c r="B535" s="3" t="n">
        <f aca="false">IF(ISNUMBER(Raw_Data!B535),Raw_Data!B535,DATEVALUE(Raw_Data!B535))</f>
        <v>44990</v>
      </c>
      <c r="C535" s="2" t="str">
        <f aca="false">TRIM(UPPER(Raw_Data!C535))</f>
        <v>C66349</v>
      </c>
      <c r="D535" s="2" t="str">
        <f aca="false">PROPER(TRIM(Raw_Data!D535))</f>
        <v>Desk</v>
      </c>
      <c r="E535" s="2" t="n">
        <f aca="false">Raw_Data!E535</f>
        <v>1</v>
      </c>
      <c r="F535" s="4" t="n">
        <f aca="false">ROUND(Raw_Data!F535,2)</f>
        <v>565.85</v>
      </c>
      <c r="G535" s="2" t="str">
        <f aca="false">PROPER(TRIM(Raw_Data!G535))</f>
        <v>715 Main St</v>
      </c>
      <c r="H535" s="2" t="str">
        <f aca="false">PROPER(TRIM(Raw_Data!H535))</f>
        <v>Gift Card</v>
      </c>
      <c r="I535" s="2" t="str">
        <f aca="false">PROPER(TRIM(Raw_Data!I535))</f>
        <v>Returned</v>
      </c>
      <c r="J535" s="2" t="str">
        <f aca="false">TRIM(UPPER(Raw_Data!J535))</f>
        <v>TRK63550793</v>
      </c>
      <c r="K535" s="2" t="n">
        <f aca="false">Raw_Data!K535</f>
        <v>1</v>
      </c>
      <c r="L535" s="2" t="str">
        <f aca="false">IF(TRIM(Raw_Data!L535)="","No Coupon",TRIM(UPPER(Raw_Data!L535)))</f>
        <v>FREESHIP</v>
      </c>
      <c r="M535" s="2" t="str">
        <f aca="false">PROPER(TRIM(Raw_Data!M535))</f>
        <v>Facebook</v>
      </c>
      <c r="N535" s="4" t="n">
        <f aca="false">ROUND(E535*F535,2)</f>
        <v>565.85</v>
      </c>
      <c r="O535" s="2" t="str">
        <f aca="false">IF(COUNTIF($A$2:$A$1201,A535)&gt;1,"DUPLICATE","Unique")</f>
        <v>Unique</v>
      </c>
      <c r="P535" s="2" t="str">
        <f aca="false">IF(L535="","MISSING","OK")</f>
        <v>OK</v>
      </c>
      <c r="Q535" s="2" t="str">
        <f aca="false">IF(ISNUMBER(B535),"OK","BAD DATE")</f>
        <v>OK</v>
      </c>
      <c r="R535" s="2" t="str">
        <f aca="false">IF(ROUND(F535,2)=F535,"OK","FIX")</f>
        <v>OK</v>
      </c>
    </row>
    <row r="536" customFormat="false" ht="15" hidden="false" customHeight="false" outlineLevel="0" collapsed="false">
      <c r="A536" s="2" t="str">
        <f aca="false">TRIM(UPPER(Raw_Data!A536))</f>
        <v>ORD200534</v>
      </c>
      <c r="B536" s="3" t="n">
        <f aca="false">IF(ISNUMBER(Raw_Data!B536),Raw_Data!B536,DATEVALUE(Raw_Data!B536))</f>
        <v>45449</v>
      </c>
      <c r="C536" s="2" t="str">
        <f aca="false">TRIM(UPPER(Raw_Data!C536))</f>
        <v>C73289</v>
      </c>
      <c r="D536" s="2" t="str">
        <f aca="false">PROPER(TRIM(Raw_Data!D536))</f>
        <v>Chair</v>
      </c>
      <c r="E536" s="2" t="n">
        <f aca="false">Raw_Data!E536</f>
        <v>3</v>
      </c>
      <c r="F536" s="4" t="n">
        <f aca="false">ROUND(Raw_Data!F536,2)</f>
        <v>648.59</v>
      </c>
      <c r="G536" s="2" t="str">
        <f aca="false">PROPER(TRIM(Raw_Data!G536))</f>
        <v>906 Main St</v>
      </c>
      <c r="H536" s="2" t="str">
        <f aca="false">PROPER(TRIM(Raw_Data!H536))</f>
        <v>Debit Card</v>
      </c>
      <c r="I536" s="2" t="str">
        <f aca="false">PROPER(TRIM(Raw_Data!I536))</f>
        <v>Cancelled</v>
      </c>
      <c r="J536" s="2" t="str">
        <f aca="false">TRIM(UPPER(Raw_Data!J536))</f>
        <v>TRK70872738</v>
      </c>
      <c r="K536" s="2" t="n">
        <f aca="false">Raw_Data!K536</f>
        <v>4</v>
      </c>
      <c r="L536" s="2" t="str">
        <f aca="false">IF(TRIM(Raw_Data!L536)="","No Coupon",TRIM(UPPER(Raw_Data!L536)))</f>
        <v>SAVE10</v>
      </c>
      <c r="M536" s="2" t="str">
        <f aca="false">PROPER(TRIM(Raw_Data!M536))</f>
        <v>Email</v>
      </c>
      <c r="N536" s="4" t="n">
        <f aca="false">ROUND(E536*F536,2)</f>
        <v>1945.77</v>
      </c>
      <c r="O536" s="2" t="str">
        <f aca="false">IF(COUNTIF($A$2:$A$1201,A536)&gt;1,"DUPLICATE","Unique")</f>
        <v>Unique</v>
      </c>
      <c r="P536" s="2" t="str">
        <f aca="false">IF(L536="","MISSING","OK")</f>
        <v>OK</v>
      </c>
      <c r="Q536" s="2" t="str">
        <f aca="false">IF(ISNUMBER(B536),"OK","BAD DATE")</f>
        <v>OK</v>
      </c>
      <c r="R536" s="2" t="str">
        <f aca="false">IF(ROUND(F536,2)=F536,"OK","FIX")</f>
        <v>OK</v>
      </c>
    </row>
    <row r="537" customFormat="false" ht="15" hidden="false" customHeight="false" outlineLevel="0" collapsed="false">
      <c r="A537" s="2" t="str">
        <f aca="false">TRIM(UPPER(Raw_Data!A537))</f>
        <v>ORD200535</v>
      </c>
      <c r="B537" s="3" t="n">
        <f aca="false">IF(ISNUMBER(Raw_Data!B537),Raw_Data!B537,DATEVALUE(Raw_Data!B537))</f>
        <v>45497</v>
      </c>
      <c r="C537" s="2" t="str">
        <f aca="false">TRIM(UPPER(Raw_Data!C537))</f>
        <v>C48649</v>
      </c>
      <c r="D537" s="2" t="str">
        <f aca="false">PROPER(TRIM(Raw_Data!D537))</f>
        <v>Monitor</v>
      </c>
      <c r="E537" s="2" t="n">
        <f aca="false">Raw_Data!E537</f>
        <v>3</v>
      </c>
      <c r="F537" s="4" t="n">
        <f aca="false">ROUND(Raw_Data!F537,2)</f>
        <v>68.12</v>
      </c>
      <c r="G537" s="2" t="str">
        <f aca="false">PROPER(TRIM(Raw_Data!G537))</f>
        <v>332 Main St</v>
      </c>
      <c r="H537" s="2" t="str">
        <f aca="false">PROPER(TRIM(Raw_Data!H537))</f>
        <v>Online</v>
      </c>
      <c r="I537" s="2" t="str">
        <f aca="false">PROPER(TRIM(Raw_Data!I537))</f>
        <v>Cancelled</v>
      </c>
      <c r="J537" s="2" t="str">
        <f aca="false">TRIM(UPPER(Raw_Data!J537))</f>
        <v>TRK45821445</v>
      </c>
      <c r="K537" s="2" t="n">
        <f aca="false">Raw_Data!K537</f>
        <v>3</v>
      </c>
      <c r="L537" s="2" t="str">
        <f aca="false">IF(TRIM(Raw_Data!L537)="","No Coupon",TRIM(UPPER(Raw_Data!L537)))</f>
        <v>FREESHIP</v>
      </c>
      <c r="M537" s="2" t="str">
        <f aca="false">PROPER(TRIM(Raw_Data!M537))</f>
        <v>Email</v>
      </c>
      <c r="N537" s="4" t="n">
        <f aca="false">ROUND(E537*F537,2)</f>
        <v>204.36</v>
      </c>
      <c r="O537" s="2" t="str">
        <f aca="false">IF(COUNTIF($A$2:$A$1201,A537)&gt;1,"DUPLICATE","Unique")</f>
        <v>Unique</v>
      </c>
      <c r="P537" s="2" t="str">
        <f aca="false">IF(L537="","MISSING","OK")</f>
        <v>OK</v>
      </c>
      <c r="Q537" s="2" t="str">
        <f aca="false">IF(ISNUMBER(B537),"OK","BAD DATE")</f>
        <v>OK</v>
      </c>
      <c r="R537" s="2" t="str">
        <f aca="false">IF(ROUND(F537,2)=F537,"OK","FIX")</f>
        <v>OK</v>
      </c>
    </row>
    <row r="538" customFormat="false" ht="15" hidden="false" customHeight="false" outlineLevel="0" collapsed="false">
      <c r="A538" s="2" t="str">
        <f aca="false">TRIM(UPPER(Raw_Data!A538))</f>
        <v>ORD200536</v>
      </c>
      <c r="B538" s="3" t="n">
        <f aca="false">IF(ISNUMBER(Raw_Data!B538),Raw_Data!B538,DATEVALUE(Raw_Data!B538))</f>
        <v>45452</v>
      </c>
      <c r="C538" s="2" t="str">
        <f aca="false">TRIM(UPPER(Raw_Data!C538))</f>
        <v>C18724</v>
      </c>
      <c r="D538" s="2" t="str">
        <f aca="false">PROPER(TRIM(Raw_Data!D538))</f>
        <v>Chair</v>
      </c>
      <c r="E538" s="2" t="n">
        <f aca="false">Raw_Data!E538</f>
        <v>1</v>
      </c>
      <c r="F538" s="4" t="n">
        <f aca="false">ROUND(Raw_Data!F538,2)</f>
        <v>616.1</v>
      </c>
      <c r="G538" s="2" t="str">
        <f aca="false">PROPER(TRIM(Raw_Data!G538))</f>
        <v>124 Main St</v>
      </c>
      <c r="H538" s="2" t="str">
        <f aca="false">PROPER(TRIM(Raw_Data!H538))</f>
        <v>Cash</v>
      </c>
      <c r="I538" s="2" t="str">
        <f aca="false">PROPER(TRIM(Raw_Data!I538))</f>
        <v>Returned</v>
      </c>
      <c r="J538" s="2" t="str">
        <f aca="false">TRIM(UPPER(Raw_Data!J538))</f>
        <v>TRK52508861</v>
      </c>
      <c r="K538" s="2" t="n">
        <f aca="false">Raw_Data!K538</f>
        <v>6</v>
      </c>
      <c r="L538" s="2" t="str">
        <f aca="false">IF(TRIM(Raw_Data!L538)="","No Coupon",TRIM(UPPER(Raw_Data!L538)))</f>
        <v>No Coupon</v>
      </c>
      <c r="M538" s="2" t="str">
        <f aca="false">PROPER(TRIM(Raw_Data!M538))</f>
        <v>Email</v>
      </c>
      <c r="N538" s="4" t="n">
        <f aca="false">ROUND(E538*F538,2)</f>
        <v>616.1</v>
      </c>
      <c r="O538" s="2" t="str">
        <f aca="false">IF(COUNTIF($A$2:$A$1201,A538)&gt;1,"DUPLICATE","Unique")</f>
        <v>Unique</v>
      </c>
      <c r="P538" s="2" t="str">
        <f aca="false">IF(L538="","MISSING","OK")</f>
        <v>OK</v>
      </c>
      <c r="Q538" s="2" t="str">
        <f aca="false">IF(ISNUMBER(B538),"OK","BAD DATE")</f>
        <v>OK</v>
      </c>
      <c r="R538" s="2" t="str">
        <f aca="false">IF(ROUND(F538,2)=F538,"OK","FIX")</f>
        <v>OK</v>
      </c>
    </row>
    <row r="539" customFormat="false" ht="15" hidden="false" customHeight="false" outlineLevel="0" collapsed="false">
      <c r="A539" s="2" t="str">
        <f aca="false">TRIM(UPPER(Raw_Data!A539))</f>
        <v>ORD200537</v>
      </c>
      <c r="B539" s="3" t="n">
        <f aca="false">IF(ISNUMBER(Raw_Data!B539),Raw_Data!B539,DATEVALUE(Raw_Data!B539))</f>
        <v>45739</v>
      </c>
      <c r="C539" s="2" t="str">
        <f aca="false">TRIM(UPPER(Raw_Data!C539))</f>
        <v>C68553</v>
      </c>
      <c r="D539" s="2" t="str">
        <f aca="false">PROPER(TRIM(Raw_Data!D539))</f>
        <v>Tablet</v>
      </c>
      <c r="E539" s="2" t="n">
        <f aca="false">Raw_Data!E539</f>
        <v>3</v>
      </c>
      <c r="F539" s="4" t="n">
        <f aca="false">ROUND(Raw_Data!F539,2)</f>
        <v>247.47</v>
      </c>
      <c r="G539" s="2" t="str">
        <f aca="false">PROPER(TRIM(Raw_Data!G539))</f>
        <v>385 Main St</v>
      </c>
      <c r="H539" s="2" t="str">
        <f aca="false">PROPER(TRIM(Raw_Data!H539))</f>
        <v>Online</v>
      </c>
      <c r="I539" s="2" t="str">
        <f aca="false">PROPER(TRIM(Raw_Data!I539))</f>
        <v>Delivered</v>
      </c>
      <c r="J539" s="2" t="str">
        <f aca="false">TRIM(UPPER(Raw_Data!J539))</f>
        <v>TRK58218971</v>
      </c>
      <c r="K539" s="2" t="n">
        <f aca="false">Raw_Data!K539</f>
        <v>4</v>
      </c>
      <c r="L539" s="2" t="str">
        <f aca="false">IF(TRIM(Raw_Data!L539)="","No Coupon",TRIM(UPPER(Raw_Data!L539)))</f>
        <v>SAVE10</v>
      </c>
      <c r="M539" s="2" t="str">
        <f aca="false">PROPER(TRIM(Raw_Data!M539))</f>
        <v>Facebook</v>
      </c>
      <c r="N539" s="4" t="n">
        <f aca="false">ROUND(E539*F539,2)</f>
        <v>742.41</v>
      </c>
      <c r="O539" s="2" t="str">
        <f aca="false">IF(COUNTIF($A$2:$A$1201,A539)&gt;1,"DUPLICATE","Unique")</f>
        <v>Unique</v>
      </c>
      <c r="P539" s="2" t="str">
        <f aca="false">IF(L539="","MISSING","OK")</f>
        <v>OK</v>
      </c>
      <c r="Q539" s="2" t="str">
        <f aca="false">IF(ISNUMBER(B539),"OK","BAD DATE")</f>
        <v>OK</v>
      </c>
      <c r="R539" s="2" t="str">
        <f aca="false">IF(ROUND(F539,2)=F539,"OK","FIX")</f>
        <v>OK</v>
      </c>
    </row>
    <row r="540" customFormat="false" ht="15" hidden="false" customHeight="false" outlineLevel="0" collapsed="false">
      <c r="A540" s="2" t="str">
        <f aca="false">TRIM(UPPER(Raw_Data!A540))</f>
        <v>ORD200538</v>
      </c>
      <c r="B540" s="3" t="n">
        <f aca="false">IF(ISNUMBER(Raw_Data!B540),Raw_Data!B540,DATEVALUE(Raw_Data!B540))</f>
        <v>45436</v>
      </c>
      <c r="C540" s="2" t="str">
        <f aca="false">TRIM(UPPER(Raw_Data!C540))</f>
        <v>C61280</v>
      </c>
      <c r="D540" s="2" t="str">
        <f aca="false">PROPER(TRIM(Raw_Data!D540))</f>
        <v>Phone</v>
      </c>
      <c r="E540" s="2" t="n">
        <f aca="false">Raw_Data!E540</f>
        <v>3</v>
      </c>
      <c r="F540" s="4" t="n">
        <f aca="false">ROUND(Raw_Data!F540,2)</f>
        <v>490.74</v>
      </c>
      <c r="G540" s="2" t="str">
        <f aca="false">PROPER(TRIM(Raw_Data!G540))</f>
        <v>100 Main St</v>
      </c>
      <c r="H540" s="2" t="str">
        <f aca="false">PROPER(TRIM(Raw_Data!H540))</f>
        <v>Cash</v>
      </c>
      <c r="I540" s="2" t="str">
        <f aca="false">PROPER(TRIM(Raw_Data!I540))</f>
        <v>Shipped</v>
      </c>
      <c r="J540" s="2" t="str">
        <f aca="false">TRIM(UPPER(Raw_Data!J540))</f>
        <v>TRK95487711</v>
      </c>
      <c r="K540" s="2" t="n">
        <f aca="false">Raw_Data!K540</f>
        <v>3</v>
      </c>
      <c r="L540" s="2" t="str">
        <f aca="false">IF(TRIM(Raw_Data!L540)="","No Coupon",TRIM(UPPER(Raw_Data!L540)))</f>
        <v>WINTER15</v>
      </c>
      <c r="M540" s="2" t="str">
        <f aca="false">PROPER(TRIM(Raw_Data!M540))</f>
        <v>Email</v>
      </c>
      <c r="N540" s="4" t="n">
        <f aca="false">ROUND(E540*F540,2)</f>
        <v>1472.22</v>
      </c>
      <c r="O540" s="2" t="str">
        <f aca="false">IF(COUNTIF($A$2:$A$1201,A540)&gt;1,"DUPLICATE","Unique")</f>
        <v>Unique</v>
      </c>
      <c r="P540" s="2" t="str">
        <f aca="false">IF(L540="","MISSING","OK")</f>
        <v>OK</v>
      </c>
      <c r="Q540" s="2" t="str">
        <f aca="false">IF(ISNUMBER(B540),"OK","BAD DATE")</f>
        <v>OK</v>
      </c>
      <c r="R540" s="2" t="str">
        <f aca="false">IF(ROUND(F540,2)=F540,"OK","FIX")</f>
        <v>OK</v>
      </c>
    </row>
    <row r="541" customFormat="false" ht="15" hidden="false" customHeight="false" outlineLevel="0" collapsed="false">
      <c r="A541" s="2" t="str">
        <f aca="false">TRIM(UPPER(Raw_Data!A541))</f>
        <v>ORD200539</v>
      </c>
      <c r="B541" s="3" t="n">
        <f aca="false">IF(ISNUMBER(Raw_Data!B541),Raw_Data!B541,DATEVALUE(Raw_Data!B541))</f>
        <v>45706</v>
      </c>
      <c r="C541" s="2" t="str">
        <f aca="false">TRIM(UPPER(Raw_Data!C541))</f>
        <v>C53277</v>
      </c>
      <c r="D541" s="2" t="str">
        <f aca="false">PROPER(TRIM(Raw_Data!D541))</f>
        <v>Desk</v>
      </c>
      <c r="E541" s="2" t="n">
        <f aca="false">Raw_Data!E541</f>
        <v>3</v>
      </c>
      <c r="F541" s="4" t="n">
        <f aca="false">ROUND(Raw_Data!F541,2)</f>
        <v>531.72</v>
      </c>
      <c r="G541" s="2" t="str">
        <f aca="false">PROPER(TRIM(Raw_Data!G541))</f>
        <v>473 Main St</v>
      </c>
      <c r="H541" s="2" t="str">
        <f aca="false">PROPER(TRIM(Raw_Data!H541))</f>
        <v>Gift Card</v>
      </c>
      <c r="I541" s="2" t="str">
        <f aca="false">PROPER(TRIM(Raw_Data!I541))</f>
        <v>Delivered</v>
      </c>
      <c r="J541" s="2" t="str">
        <f aca="false">TRIM(UPPER(Raw_Data!J541))</f>
        <v>TRK17653832</v>
      </c>
      <c r="K541" s="2" t="n">
        <f aca="false">Raw_Data!K541</f>
        <v>7</v>
      </c>
      <c r="L541" s="2" t="str">
        <f aca="false">IF(TRIM(Raw_Data!L541)="","No Coupon",TRIM(UPPER(Raw_Data!L541)))</f>
        <v>SAVE10</v>
      </c>
      <c r="M541" s="2" t="str">
        <f aca="false">PROPER(TRIM(Raw_Data!M541))</f>
        <v>Google</v>
      </c>
      <c r="N541" s="4" t="n">
        <f aca="false">ROUND(E541*F541,2)</f>
        <v>1595.16</v>
      </c>
      <c r="O541" s="2" t="str">
        <f aca="false">IF(COUNTIF($A$2:$A$1201,A541)&gt;1,"DUPLICATE","Unique")</f>
        <v>Unique</v>
      </c>
      <c r="P541" s="2" t="str">
        <f aca="false">IF(L541="","MISSING","OK")</f>
        <v>OK</v>
      </c>
      <c r="Q541" s="2" t="str">
        <f aca="false">IF(ISNUMBER(B541),"OK","BAD DATE")</f>
        <v>OK</v>
      </c>
      <c r="R541" s="2" t="str">
        <f aca="false">IF(ROUND(F541,2)=F541,"OK","FIX")</f>
        <v>OK</v>
      </c>
    </row>
    <row r="542" customFormat="false" ht="15" hidden="false" customHeight="false" outlineLevel="0" collapsed="false">
      <c r="A542" s="2" t="str">
        <f aca="false">TRIM(UPPER(Raw_Data!A542))</f>
        <v>ORD200540</v>
      </c>
      <c r="B542" s="3" t="n">
        <f aca="false">IF(ISNUMBER(Raw_Data!B542),Raw_Data!B542,DATEVALUE(Raw_Data!B542))</f>
        <v>45320</v>
      </c>
      <c r="C542" s="2" t="str">
        <f aca="false">TRIM(UPPER(Raw_Data!C542))</f>
        <v>C87281</v>
      </c>
      <c r="D542" s="2" t="str">
        <f aca="false">PROPER(TRIM(Raw_Data!D542))</f>
        <v>Laptop</v>
      </c>
      <c r="E542" s="2" t="n">
        <f aca="false">Raw_Data!E542</f>
        <v>5</v>
      </c>
      <c r="F542" s="4" t="n">
        <f aca="false">ROUND(Raw_Data!F542,2)</f>
        <v>648.65</v>
      </c>
      <c r="G542" s="2" t="str">
        <f aca="false">PROPER(TRIM(Raw_Data!G542))</f>
        <v>852 Main St</v>
      </c>
      <c r="H542" s="2" t="str">
        <f aca="false">PROPER(TRIM(Raw_Data!H542))</f>
        <v>Online</v>
      </c>
      <c r="I542" s="2" t="str">
        <f aca="false">PROPER(TRIM(Raw_Data!I542))</f>
        <v>Pending</v>
      </c>
      <c r="J542" s="2" t="str">
        <f aca="false">TRIM(UPPER(Raw_Data!J542))</f>
        <v>TRK81765057</v>
      </c>
      <c r="K542" s="2" t="n">
        <f aca="false">Raw_Data!K542</f>
        <v>7</v>
      </c>
      <c r="L542" s="2" t="str">
        <f aca="false">IF(TRIM(Raw_Data!L542)="","No Coupon",TRIM(UPPER(Raw_Data!L542)))</f>
        <v>No Coupon</v>
      </c>
      <c r="M542" s="2" t="str">
        <f aca="false">PROPER(TRIM(Raw_Data!M542))</f>
        <v>Referral</v>
      </c>
      <c r="N542" s="4" t="n">
        <f aca="false">ROUND(E542*F542,2)</f>
        <v>3243.25</v>
      </c>
      <c r="O542" s="2" t="str">
        <f aca="false">IF(COUNTIF($A$2:$A$1201,A542)&gt;1,"DUPLICATE","Unique")</f>
        <v>Unique</v>
      </c>
      <c r="P542" s="2" t="str">
        <f aca="false">IF(L542="","MISSING","OK")</f>
        <v>OK</v>
      </c>
      <c r="Q542" s="2" t="str">
        <f aca="false">IF(ISNUMBER(B542),"OK","BAD DATE")</f>
        <v>OK</v>
      </c>
      <c r="R542" s="2" t="str">
        <f aca="false">IF(ROUND(F542,2)=F542,"OK","FIX")</f>
        <v>OK</v>
      </c>
    </row>
    <row r="543" customFormat="false" ht="15" hidden="false" customHeight="false" outlineLevel="0" collapsed="false">
      <c r="A543" s="2" t="str">
        <f aca="false">TRIM(UPPER(Raw_Data!A543))</f>
        <v>ORD200541</v>
      </c>
      <c r="B543" s="3" t="n">
        <f aca="false">IF(ISNUMBER(Raw_Data!B543),Raw_Data!B543,DATEVALUE(Raw_Data!B543))</f>
        <v>45145</v>
      </c>
      <c r="C543" s="2" t="str">
        <f aca="false">TRIM(UPPER(Raw_Data!C543))</f>
        <v>C69009</v>
      </c>
      <c r="D543" s="2" t="str">
        <f aca="false">PROPER(TRIM(Raw_Data!D543))</f>
        <v>Printer</v>
      </c>
      <c r="E543" s="2" t="n">
        <f aca="false">Raw_Data!E543</f>
        <v>5</v>
      </c>
      <c r="F543" s="4" t="n">
        <f aca="false">ROUND(Raw_Data!F543,2)</f>
        <v>456.06</v>
      </c>
      <c r="G543" s="2" t="str">
        <f aca="false">PROPER(TRIM(Raw_Data!G543))</f>
        <v>879 Main St</v>
      </c>
      <c r="H543" s="2" t="str">
        <f aca="false">PROPER(TRIM(Raw_Data!H543))</f>
        <v>Cash</v>
      </c>
      <c r="I543" s="2" t="str">
        <f aca="false">PROPER(TRIM(Raw_Data!I543))</f>
        <v>Pending</v>
      </c>
      <c r="J543" s="2" t="str">
        <f aca="false">TRIM(UPPER(Raw_Data!J543))</f>
        <v>TRK61295842</v>
      </c>
      <c r="K543" s="2" t="n">
        <f aca="false">Raw_Data!K543</f>
        <v>10</v>
      </c>
      <c r="L543" s="2" t="str">
        <f aca="false">IF(TRIM(Raw_Data!L543)="","No Coupon",TRIM(UPPER(Raw_Data!L543)))</f>
        <v>No Coupon</v>
      </c>
      <c r="M543" s="2" t="str">
        <f aca="false">PROPER(TRIM(Raw_Data!M543))</f>
        <v>Instagram</v>
      </c>
      <c r="N543" s="4" t="n">
        <f aca="false">ROUND(E543*F543,2)</f>
        <v>2280.3</v>
      </c>
      <c r="O543" s="2" t="str">
        <f aca="false">IF(COUNTIF($A$2:$A$1201,A543)&gt;1,"DUPLICATE","Unique")</f>
        <v>Unique</v>
      </c>
      <c r="P543" s="2" t="str">
        <f aca="false">IF(L543="","MISSING","OK")</f>
        <v>OK</v>
      </c>
      <c r="Q543" s="2" t="str">
        <f aca="false">IF(ISNUMBER(B543),"OK","BAD DATE")</f>
        <v>OK</v>
      </c>
      <c r="R543" s="2" t="str">
        <f aca="false">IF(ROUND(F543,2)=F543,"OK","FIX")</f>
        <v>OK</v>
      </c>
    </row>
    <row r="544" customFormat="false" ht="15" hidden="false" customHeight="false" outlineLevel="0" collapsed="false">
      <c r="A544" s="2" t="str">
        <f aca="false">TRIM(UPPER(Raw_Data!A544))</f>
        <v>ORD200542</v>
      </c>
      <c r="B544" s="3" t="n">
        <f aca="false">IF(ISNUMBER(Raw_Data!B544),Raw_Data!B544,DATEVALUE(Raw_Data!B544))</f>
        <v>45244</v>
      </c>
      <c r="C544" s="2" t="str">
        <f aca="false">TRIM(UPPER(Raw_Data!C544))</f>
        <v>C49726</v>
      </c>
      <c r="D544" s="2" t="str">
        <f aca="false">PROPER(TRIM(Raw_Data!D544))</f>
        <v>Tablet</v>
      </c>
      <c r="E544" s="2" t="n">
        <f aca="false">Raw_Data!E544</f>
        <v>1</v>
      </c>
      <c r="F544" s="4" t="n">
        <f aca="false">ROUND(Raw_Data!F544,2)</f>
        <v>17.98</v>
      </c>
      <c r="G544" s="2" t="str">
        <f aca="false">PROPER(TRIM(Raw_Data!G544))</f>
        <v>934 Main St</v>
      </c>
      <c r="H544" s="2" t="str">
        <f aca="false">PROPER(TRIM(Raw_Data!H544))</f>
        <v>Cash</v>
      </c>
      <c r="I544" s="2" t="str">
        <f aca="false">PROPER(TRIM(Raw_Data!I544))</f>
        <v>Cancelled</v>
      </c>
      <c r="J544" s="2" t="str">
        <f aca="false">TRIM(UPPER(Raw_Data!J544))</f>
        <v>TRK20739460</v>
      </c>
      <c r="K544" s="2" t="n">
        <f aca="false">Raw_Data!K544</f>
        <v>6</v>
      </c>
      <c r="L544" s="2" t="str">
        <f aca="false">IF(TRIM(Raw_Data!L544)="","No Coupon",TRIM(UPPER(Raw_Data!L544)))</f>
        <v>FREESHIP</v>
      </c>
      <c r="M544" s="2" t="str">
        <f aca="false">PROPER(TRIM(Raw_Data!M544))</f>
        <v>Email</v>
      </c>
      <c r="N544" s="4" t="n">
        <f aca="false">ROUND(E544*F544,2)</f>
        <v>17.98</v>
      </c>
      <c r="O544" s="2" t="str">
        <f aca="false">IF(COUNTIF($A$2:$A$1201,A544)&gt;1,"DUPLICATE","Unique")</f>
        <v>Unique</v>
      </c>
      <c r="P544" s="2" t="str">
        <f aca="false">IF(L544="","MISSING","OK")</f>
        <v>OK</v>
      </c>
      <c r="Q544" s="2" t="str">
        <f aca="false">IF(ISNUMBER(B544),"OK","BAD DATE")</f>
        <v>OK</v>
      </c>
      <c r="R544" s="2" t="str">
        <f aca="false">IF(ROUND(F544,2)=F544,"OK","FIX")</f>
        <v>OK</v>
      </c>
    </row>
    <row r="545" customFormat="false" ht="15" hidden="false" customHeight="false" outlineLevel="0" collapsed="false">
      <c r="A545" s="2" t="str">
        <f aca="false">TRIM(UPPER(Raw_Data!A545))</f>
        <v>ORD200543</v>
      </c>
      <c r="B545" s="3" t="n">
        <f aca="false">IF(ISNUMBER(Raw_Data!B545),Raw_Data!B545,DATEVALUE(Raw_Data!B545))</f>
        <v>45360</v>
      </c>
      <c r="C545" s="2" t="str">
        <f aca="false">TRIM(UPPER(Raw_Data!C545))</f>
        <v>C37531</v>
      </c>
      <c r="D545" s="2" t="str">
        <f aca="false">PROPER(TRIM(Raw_Data!D545))</f>
        <v>Desk</v>
      </c>
      <c r="E545" s="2" t="n">
        <f aca="false">Raw_Data!E545</f>
        <v>5</v>
      </c>
      <c r="F545" s="4" t="n">
        <f aca="false">ROUND(Raw_Data!F545,2)</f>
        <v>269.86</v>
      </c>
      <c r="G545" s="2" t="str">
        <f aca="false">PROPER(TRIM(Raw_Data!G545))</f>
        <v>354 Main St</v>
      </c>
      <c r="H545" s="2" t="str">
        <f aca="false">PROPER(TRIM(Raw_Data!H545))</f>
        <v>Cash</v>
      </c>
      <c r="I545" s="2" t="str">
        <f aca="false">PROPER(TRIM(Raw_Data!I545))</f>
        <v>Shipped</v>
      </c>
      <c r="J545" s="2" t="str">
        <f aca="false">TRIM(UPPER(Raw_Data!J545))</f>
        <v>TRK93877673</v>
      </c>
      <c r="K545" s="2" t="n">
        <f aca="false">Raw_Data!K545</f>
        <v>6</v>
      </c>
      <c r="L545" s="2" t="str">
        <f aca="false">IF(TRIM(Raw_Data!L545)="","No Coupon",TRIM(UPPER(Raw_Data!L545)))</f>
        <v>WINTER15</v>
      </c>
      <c r="M545" s="2" t="str">
        <f aca="false">PROPER(TRIM(Raw_Data!M545))</f>
        <v>Facebook</v>
      </c>
      <c r="N545" s="4" t="n">
        <f aca="false">ROUND(E545*F545,2)</f>
        <v>1349.3</v>
      </c>
      <c r="O545" s="2" t="str">
        <f aca="false">IF(COUNTIF($A$2:$A$1201,A545)&gt;1,"DUPLICATE","Unique")</f>
        <v>Unique</v>
      </c>
      <c r="P545" s="2" t="str">
        <f aca="false">IF(L545="","MISSING","OK")</f>
        <v>OK</v>
      </c>
      <c r="Q545" s="2" t="str">
        <f aca="false">IF(ISNUMBER(B545),"OK","BAD DATE")</f>
        <v>OK</v>
      </c>
      <c r="R545" s="2" t="str">
        <f aca="false">IF(ROUND(F545,2)=F545,"OK","FIX")</f>
        <v>OK</v>
      </c>
    </row>
    <row r="546" customFormat="false" ht="15" hidden="false" customHeight="false" outlineLevel="0" collapsed="false">
      <c r="A546" s="2" t="str">
        <f aca="false">TRIM(UPPER(Raw_Data!A546))</f>
        <v>ORD200544</v>
      </c>
      <c r="B546" s="3" t="n">
        <f aca="false">IF(ISNUMBER(Raw_Data!B546),Raw_Data!B546,DATEVALUE(Raw_Data!B546))</f>
        <v>45361</v>
      </c>
      <c r="C546" s="2" t="str">
        <f aca="false">TRIM(UPPER(Raw_Data!C546))</f>
        <v>C48713</v>
      </c>
      <c r="D546" s="2" t="str">
        <f aca="false">PROPER(TRIM(Raw_Data!D546))</f>
        <v>Printer</v>
      </c>
      <c r="E546" s="2" t="n">
        <f aca="false">Raw_Data!E546</f>
        <v>5</v>
      </c>
      <c r="F546" s="4" t="n">
        <f aca="false">ROUND(Raw_Data!F546,2)</f>
        <v>31.96</v>
      </c>
      <c r="G546" s="2" t="str">
        <f aca="false">PROPER(TRIM(Raw_Data!G546))</f>
        <v>373 Main St</v>
      </c>
      <c r="H546" s="2" t="str">
        <f aca="false">PROPER(TRIM(Raw_Data!H546))</f>
        <v>Credit Card</v>
      </c>
      <c r="I546" s="2" t="str">
        <f aca="false">PROPER(TRIM(Raw_Data!I546))</f>
        <v>Returned</v>
      </c>
      <c r="J546" s="2" t="str">
        <f aca="false">TRIM(UPPER(Raw_Data!J546))</f>
        <v>TRK96334419</v>
      </c>
      <c r="K546" s="2" t="n">
        <f aca="false">Raw_Data!K546</f>
        <v>5</v>
      </c>
      <c r="L546" s="2" t="str">
        <f aca="false">IF(TRIM(Raw_Data!L546)="","No Coupon",TRIM(UPPER(Raw_Data!L546)))</f>
        <v>FREESHIP</v>
      </c>
      <c r="M546" s="2" t="str">
        <f aca="false">PROPER(TRIM(Raw_Data!M546))</f>
        <v>Referral</v>
      </c>
      <c r="N546" s="4" t="n">
        <f aca="false">ROUND(E546*F546,2)</f>
        <v>159.8</v>
      </c>
      <c r="O546" s="2" t="str">
        <f aca="false">IF(COUNTIF($A$2:$A$1201,A546)&gt;1,"DUPLICATE","Unique")</f>
        <v>Unique</v>
      </c>
      <c r="P546" s="2" t="str">
        <f aca="false">IF(L546="","MISSING","OK")</f>
        <v>OK</v>
      </c>
      <c r="Q546" s="2" t="str">
        <f aca="false">IF(ISNUMBER(B546),"OK","BAD DATE")</f>
        <v>OK</v>
      </c>
      <c r="R546" s="2" t="str">
        <f aca="false">IF(ROUND(F546,2)=F546,"OK","FIX")</f>
        <v>OK</v>
      </c>
    </row>
    <row r="547" customFormat="false" ht="15" hidden="false" customHeight="false" outlineLevel="0" collapsed="false">
      <c r="A547" s="2" t="str">
        <f aca="false">TRIM(UPPER(Raw_Data!A547))</f>
        <v>ORD200545</v>
      </c>
      <c r="B547" s="3" t="n">
        <f aca="false">IF(ISNUMBER(Raw_Data!B547),Raw_Data!B547,DATEVALUE(Raw_Data!B547))</f>
        <v>45279</v>
      </c>
      <c r="C547" s="2" t="str">
        <f aca="false">TRIM(UPPER(Raw_Data!C547))</f>
        <v>C74138</v>
      </c>
      <c r="D547" s="2" t="str">
        <f aca="false">PROPER(TRIM(Raw_Data!D547))</f>
        <v>Monitor</v>
      </c>
      <c r="E547" s="2" t="n">
        <f aca="false">Raw_Data!E547</f>
        <v>2</v>
      </c>
      <c r="F547" s="4" t="n">
        <f aca="false">ROUND(Raw_Data!F547,2)</f>
        <v>98.47</v>
      </c>
      <c r="G547" s="2" t="str">
        <f aca="false">PROPER(TRIM(Raw_Data!G547))</f>
        <v>964 Main St</v>
      </c>
      <c r="H547" s="2" t="str">
        <f aca="false">PROPER(TRIM(Raw_Data!H547))</f>
        <v>Cash</v>
      </c>
      <c r="I547" s="2" t="str">
        <f aca="false">PROPER(TRIM(Raw_Data!I547))</f>
        <v>Returned</v>
      </c>
      <c r="J547" s="2" t="str">
        <f aca="false">TRIM(UPPER(Raw_Data!J547))</f>
        <v>TRK74091695</v>
      </c>
      <c r="K547" s="2" t="n">
        <f aca="false">Raw_Data!K547</f>
        <v>3</v>
      </c>
      <c r="L547" s="2" t="str">
        <f aca="false">IF(TRIM(Raw_Data!L547)="","No Coupon",TRIM(UPPER(Raw_Data!L547)))</f>
        <v>No Coupon</v>
      </c>
      <c r="M547" s="2" t="str">
        <f aca="false">PROPER(TRIM(Raw_Data!M547))</f>
        <v>Instagram</v>
      </c>
      <c r="N547" s="4" t="n">
        <f aca="false">ROUND(E547*F547,2)</f>
        <v>196.94</v>
      </c>
      <c r="O547" s="2" t="str">
        <f aca="false">IF(COUNTIF($A$2:$A$1201,A547)&gt;1,"DUPLICATE","Unique")</f>
        <v>Unique</v>
      </c>
      <c r="P547" s="2" t="str">
        <f aca="false">IF(L547="","MISSING","OK")</f>
        <v>OK</v>
      </c>
      <c r="Q547" s="2" t="str">
        <f aca="false">IF(ISNUMBER(B547),"OK","BAD DATE")</f>
        <v>OK</v>
      </c>
      <c r="R547" s="2" t="str">
        <f aca="false">IF(ROUND(F547,2)=F547,"OK","FIX")</f>
        <v>OK</v>
      </c>
    </row>
    <row r="548" customFormat="false" ht="15" hidden="false" customHeight="false" outlineLevel="0" collapsed="false">
      <c r="A548" s="2" t="str">
        <f aca="false">TRIM(UPPER(Raw_Data!A548))</f>
        <v>ORD200546</v>
      </c>
      <c r="B548" s="3" t="n">
        <f aca="false">IF(ISNUMBER(Raw_Data!B548),Raw_Data!B548,DATEVALUE(Raw_Data!B548))</f>
        <v>45352</v>
      </c>
      <c r="C548" s="2" t="str">
        <f aca="false">TRIM(UPPER(Raw_Data!C548))</f>
        <v>C82399</v>
      </c>
      <c r="D548" s="2" t="str">
        <f aca="false">PROPER(TRIM(Raw_Data!D548))</f>
        <v>Monitor</v>
      </c>
      <c r="E548" s="2" t="n">
        <f aca="false">Raw_Data!E548</f>
        <v>1</v>
      </c>
      <c r="F548" s="4" t="n">
        <f aca="false">ROUND(Raw_Data!F548,2)</f>
        <v>158.68</v>
      </c>
      <c r="G548" s="2" t="str">
        <f aca="false">PROPER(TRIM(Raw_Data!G548))</f>
        <v>928 Main St</v>
      </c>
      <c r="H548" s="2" t="str">
        <f aca="false">PROPER(TRIM(Raw_Data!H548))</f>
        <v>Credit Card</v>
      </c>
      <c r="I548" s="2" t="str">
        <f aca="false">PROPER(TRIM(Raw_Data!I548))</f>
        <v>Returned</v>
      </c>
      <c r="J548" s="2" t="str">
        <f aca="false">TRIM(UPPER(Raw_Data!J548))</f>
        <v>TRK77177284</v>
      </c>
      <c r="K548" s="2" t="n">
        <f aca="false">Raw_Data!K548</f>
        <v>6</v>
      </c>
      <c r="L548" s="2" t="str">
        <f aca="false">IF(TRIM(Raw_Data!L548)="","No Coupon",TRIM(UPPER(Raw_Data!L548)))</f>
        <v>WINTER15</v>
      </c>
      <c r="M548" s="2" t="str">
        <f aca="false">PROPER(TRIM(Raw_Data!M548))</f>
        <v>Instagram</v>
      </c>
      <c r="N548" s="4" t="n">
        <f aca="false">ROUND(E548*F548,2)</f>
        <v>158.68</v>
      </c>
      <c r="O548" s="2" t="str">
        <f aca="false">IF(COUNTIF($A$2:$A$1201,A548)&gt;1,"DUPLICATE","Unique")</f>
        <v>Unique</v>
      </c>
      <c r="P548" s="2" t="str">
        <f aca="false">IF(L548="","MISSING","OK")</f>
        <v>OK</v>
      </c>
      <c r="Q548" s="2" t="str">
        <f aca="false">IF(ISNUMBER(B548),"OK","BAD DATE")</f>
        <v>OK</v>
      </c>
      <c r="R548" s="2" t="str">
        <f aca="false">IF(ROUND(F548,2)=F548,"OK","FIX")</f>
        <v>OK</v>
      </c>
    </row>
    <row r="549" customFormat="false" ht="15" hidden="false" customHeight="false" outlineLevel="0" collapsed="false">
      <c r="A549" s="2" t="str">
        <f aca="false">TRIM(UPPER(Raw_Data!A549))</f>
        <v>ORD200547</v>
      </c>
      <c r="B549" s="3" t="n">
        <f aca="false">IF(ISNUMBER(Raw_Data!B549),Raw_Data!B549,DATEVALUE(Raw_Data!B549))</f>
        <v>45158</v>
      </c>
      <c r="C549" s="2" t="str">
        <f aca="false">TRIM(UPPER(Raw_Data!C549))</f>
        <v>C40427</v>
      </c>
      <c r="D549" s="2" t="str">
        <f aca="false">PROPER(TRIM(Raw_Data!D549))</f>
        <v>Phone</v>
      </c>
      <c r="E549" s="2" t="n">
        <f aca="false">Raw_Data!E549</f>
        <v>1</v>
      </c>
      <c r="F549" s="4" t="n">
        <f aca="false">ROUND(Raw_Data!F549,2)</f>
        <v>613.98</v>
      </c>
      <c r="G549" s="2" t="str">
        <f aca="false">PROPER(TRIM(Raw_Data!G549))</f>
        <v>411 Main St</v>
      </c>
      <c r="H549" s="2" t="str">
        <f aca="false">PROPER(TRIM(Raw_Data!H549))</f>
        <v>Online</v>
      </c>
      <c r="I549" s="2" t="str">
        <f aca="false">PROPER(TRIM(Raw_Data!I549))</f>
        <v>Delivered</v>
      </c>
      <c r="J549" s="2" t="str">
        <f aca="false">TRIM(UPPER(Raw_Data!J549))</f>
        <v>TRK25392280</v>
      </c>
      <c r="K549" s="2" t="n">
        <f aca="false">Raw_Data!K549</f>
        <v>4</v>
      </c>
      <c r="L549" s="2" t="str">
        <f aca="false">IF(TRIM(Raw_Data!L549)="","No Coupon",TRIM(UPPER(Raw_Data!L549)))</f>
        <v>FREESHIP</v>
      </c>
      <c r="M549" s="2" t="str">
        <f aca="false">PROPER(TRIM(Raw_Data!M549))</f>
        <v>Facebook</v>
      </c>
      <c r="N549" s="4" t="n">
        <f aca="false">ROUND(E549*F549,2)</f>
        <v>613.98</v>
      </c>
      <c r="O549" s="2" t="str">
        <f aca="false">IF(COUNTIF($A$2:$A$1201,A549)&gt;1,"DUPLICATE","Unique")</f>
        <v>Unique</v>
      </c>
      <c r="P549" s="2" t="str">
        <f aca="false">IF(L549="","MISSING","OK")</f>
        <v>OK</v>
      </c>
      <c r="Q549" s="2" t="str">
        <f aca="false">IF(ISNUMBER(B549),"OK","BAD DATE")</f>
        <v>OK</v>
      </c>
      <c r="R549" s="2" t="str">
        <f aca="false">IF(ROUND(F549,2)=F549,"OK","FIX")</f>
        <v>OK</v>
      </c>
    </row>
    <row r="550" customFormat="false" ht="15" hidden="false" customHeight="false" outlineLevel="0" collapsed="false">
      <c r="A550" s="2" t="str">
        <f aca="false">TRIM(UPPER(Raw_Data!A550))</f>
        <v>ORD200548</v>
      </c>
      <c r="B550" s="3" t="n">
        <f aca="false">IF(ISNUMBER(Raw_Data!B550),Raw_Data!B550,DATEVALUE(Raw_Data!B550))</f>
        <v>45296</v>
      </c>
      <c r="C550" s="2" t="str">
        <f aca="false">TRIM(UPPER(Raw_Data!C550))</f>
        <v>C17103</v>
      </c>
      <c r="D550" s="2" t="str">
        <f aca="false">PROPER(TRIM(Raw_Data!D550))</f>
        <v>Printer</v>
      </c>
      <c r="E550" s="2" t="n">
        <f aca="false">Raw_Data!E550</f>
        <v>3</v>
      </c>
      <c r="F550" s="4" t="n">
        <f aca="false">ROUND(Raw_Data!F550,2)</f>
        <v>426.12</v>
      </c>
      <c r="G550" s="2" t="str">
        <f aca="false">PROPER(TRIM(Raw_Data!G550))</f>
        <v>922 Main St</v>
      </c>
      <c r="H550" s="2" t="str">
        <f aca="false">PROPER(TRIM(Raw_Data!H550))</f>
        <v>Online</v>
      </c>
      <c r="I550" s="2" t="str">
        <f aca="false">PROPER(TRIM(Raw_Data!I550))</f>
        <v>Delivered</v>
      </c>
      <c r="J550" s="2" t="str">
        <f aca="false">TRIM(UPPER(Raw_Data!J550))</f>
        <v>TRK64398650</v>
      </c>
      <c r="K550" s="2" t="n">
        <f aca="false">Raw_Data!K550</f>
        <v>5</v>
      </c>
      <c r="L550" s="2" t="str">
        <f aca="false">IF(TRIM(Raw_Data!L550)="","No Coupon",TRIM(UPPER(Raw_Data!L550)))</f>
        <v>WINTER15</v>
      </c>
      <c r="M550" s="2" t="str">
        <f aca="false">PROPER(TRIM(Raw_Data!M550))</f>
        <v>Instagram</v>
      </c>
      <c r="N550" s="4" t="n">
        <f aca="false">ROUND(E550*F550,2)</f>
        <v>1278.36</v>
      </c>
      <c r="O550" s="2" t="str">
        <f aca="false">IF(COUNTIF($A$2:$A$1201,A550)&gt;1,"DUPLICATE","Unique")</f>
        <v>Unique</v>
      </c>
      <c r="P550" s="2" t="str">
        <f aca="false">IF(L550="","MISSING","OK")</f>
        <v>OK</v>
      </c>
      <c r="Q550" s="2" t="str">
        <f aca="false">IF(ISNUMBER(B550),"OK","BAD DATE")</f>
        <v>OK</v>
      </c>
      <c r="R550" s="2" t="str">
        <f aca="false">IF(ROUND(F550,2)=F550,"OK","FIX")</f>
        <v>OK</v>
      </c>
    </row>
    <row r="551" customFormat="false" ht="15" hidden="false" customHeight="false" outlineLevel="0" collapsed="false">
      <c r="A551" s="2" t="str">
        <f aca="false">TRIM(UPPER(Raw_Data!A551))</f>
        <v>ORD200549</v>
      </c>
      <c r="B551" s="3" t="n">
        <f aca="false">IF(ISNUMBER(Raw_Data!B551),Raw_Data!B551,DATEVALUE(Raw_Data!B551))</f>
        <v>45713</v>
      </c>
      <c r="C551" s="2" t="str">
        <f aca="false">TRIM(UPPER(Raw_Data!C551))</f>
        <v>C34266</v>
      </c>
      <c r="D551" s="2" t="str">
        <f aca="false">PROPER(TRIM(Raw_Data!D551))</f>
        <v>Monitor</v>
      </c>
      <c r="E551" s="2" t="n">
        <f aca="false">Raw_Data!E551</f>
        <v>4</v>
      </c>
      <c r="F551" s="4" t="n">
        <f aca="false">ROUND(Raw_Data!F551,2)</f>
        <v>629.88</v>
      </c>
      <c r="G551" s="2" t="str">
        <f aca="false">PROPER(TRIM(Raw_Data!G551))</f>
        <v>550 Main St</v>
      </c>
      <c r="H551" s="2" t="str">
        <f aca="false">PROPER(TRIM(Raw_Data!H551))</f>
        <v>Debit Card</v>
      </c>
      <c r="I551" s="2" t="str">
        <f aca="false">PROPER(TRIM(Raw_Data!I551))</f>
        <v>Cancelled</v>
      </c>
      <c r="J551" s="2" t="str">
        <f aca="false">TRIM(UPPER(Raw_Data!J551))</f>
        <v>TRK56378197</v>
      </c>
      <c r="K551" s="2" t="n">
        <f aca="false">Raw_Data!K551</f>
        <v>8</v>
      </c>
      <c r="L551" s="2" t="str">
        <f aca="false">IF(TRIM(Raw_Data!L551)="","No Coupon",TRIM(UPPER(Raw_Data!L551)))</f>
        <v>WINTER15</v>
      </c>
      <c r="M551" s="2" t="str">
        <f aca="false">PROPER(TRIM(Raw_Data!M551))</f>
        <v>Instagram</v>
      </c>
      <c r="N551" s="4" t="n">
        <f aca="false">ROUND(E551*F551,2)</f>
        <v>2519.52</v>
      </c>
      <c r="O551" s="2" t="str">
        <f aca="false">IF(COUNTIF($A$2:$A$1201,A551)&gt;1,"DUPLICATE","Unique")</f>
        <v>Unique</v>
      </c>
      <c r="P551" s="2" t="str">
        <f aca="false">IF(L551="","MISSING","OK")</f>
        <v>OK</v>
      </c>
      <c r="Q551" s="2" t="str">
        <f aca="false">IF(ISNUMBER(B551),"OK","BAD DATE")</f>
        <v>OK</v>
      </c>
      <c r="R551" s="2" t="str">
        <f aca="false">IF(ROUND(F551,2)=F551,"OK","FIX")</f>
        <v>OK</v>
      </c>
    </row>
    <row r="552" customFormat="false" ht="15" hidden="false" customHeight="false" outlineLevel="0" collapsed="false">
      <c r="A552" s="2" t="str">
        <f aca="false">TRIM(UPPER(Raw_Data!A552))</f>
        <v>ORD200550</v>
      </c>
      <c r="B552" s="3" t="n">
        <f aca="false">IF(ISNUMBER(Raw_Data!B552),Raw_Data!B552,DATEVALUE(Raw_Data!B552))</f>
        <v>45228</v>
      </c>
      <c r="C552" s="2" t="str">
        <f aca="false">TRIM(UPPER(Raw_Data!C552))</f>
        <v>C97485</v>
      </c>
      <c r="D552" s="2" t="str">
        <f aca="false">PROPER(TRIM(Raw_Data!D552))</f>
        <v>Laptop</v>
      </c>
      <c r="E552" s="2" t="n">
        <f aca="false">Raw_Data!E552</f>
        <v>4</v>
      </c>
      <c r="F552" s="4" t="n">
        <f aca="false">ROUND(Raw_Data!F552,2)</f>
        <v>228.91</v>
      </c>
      <c r="G552" s="2" t="str">
        <f aca="false">PROPER(TRIM(Raw_Data!G552))</f>
        <v>573 Main St</v>
      </c>
      <c r="H552" s="2" t="str">
        <f aca="false">PROPER(TRIM(Raw_Data!H552))</f>
        <v>Cash</v>
      </c>
      <c r="I552" s="2" t="str">
        <f aca="false">PROPER(TRIM(Raw_Data!I552))</f>
        <v>Shipped</v>
      </c>
      <c r="J552" s="2" t="str">
        <f aca="false">TRIM(UPPER(Raw_Data!J552))</f>
        <v>TRK81794737</v>
      </c>
      <c r="K552" s="2" t="n">
        <f aca="false">Raw_Data!K552</f>
        <v>4</v>
      </c>
      <c r="L552" s="2" t="str">
        <f aca="false">IF(TRIM(Raw_Data!L552)="","No Coupon",TRIM(UPPER(Raw_Data!L552)))</f>
        <v>FREESHIP</v>
      </c>
      <c r="M552" s="2" t="str">
        <f aca="false">PROPER(TRIM(Raw_Data!M552))</f>
        <v>Google</v>
      </c>
      <c r="N552" s="4" t="n">
        <f aca="false">ROUND(E552*F552,2)</f>
        <v>915.64</v>
      </c>
      <c r="O552" s="2" t="str">
        <f aca="false">IF(COUNTIF($A$2:$A$1201,A552)&gt;1,"DUPLICATE","Unique")</f>
        <v>Unique</v>
      </c>
      <c r="P552" s="2" t="str">
        <f aca="false">IF(L552="","MISSING","OK")</f>
        <v>OK</v>
      </c>
      <c r="Q552" s="2" t="str">
        <f aca="false">IF(ISNUMBER(B552),"OK","BAD DATE")</f>
        <v>OK</v>
      </c>
      <c r="R552" s="2" t="str">
        <f aca="false">IF(ROUND(F552,2)=F552,"OK","FIX")</f>
        <v>OK</v>
      </c>
    </row>
    <row r="553" customFormat="false" ht="15" hidden="false" customHeight="false" outlineLevel="0" collapsed="false">
      <c r="A553" s="2" t="str">
        <f aca="false">TRIM(UPPER(Raw_Data!A553))</f>
        <v>ORD200551</v>
      </c>
      <c r="B553" s="3" t="n">
        <f aca="false">IF(ISNUMBER(Raw_Data!B553),Raw_Data!B553,DATEVALUE(Raw_Data!B553))</f>
        <v>45064</v>
      </c>
      <c r="C553" s="2" t="str">
        <f aca="false">TRIM(UPPER(Raw_Data!C553))</f>
        <v>C23947</v>
      </c>
      <c r="D553" s="2" t="str">
        <f aca="false">PROPER(TRIM(Raw_Data!D553))</f>
        <v>Laptop</v>
      </c>
      <c r="E553" s="2" t="n">
        <f aca="false">Raw_Data!E553</f>
        <v>1</v>
      </c>
      <c r="F553" s="4" t="n">
        <f aca="false">ROUND(Raw_Data!F553,2)</f>
        <v>120.98</v>
      </c>
      <c r="G553" s="2" t="str">
        <f aca="false">PROPER(TRIM(Raw_Data!G553))</f>
        <v>353 Main St</v>
      </c>
      <c r="H553" s="2" t="str">
        <f aca="false">PROPER(TRIM(Raw_Data!H553))</f>
        <v>Debit Card</v>
      </c>
      <c r="I553" s="2" t="str">
        <f aca="false">PROPER(TRIM(Raw_Data!I553))</f>
        <v>Delivered</v>
      </c>
      <c r="J553" s="2" t="str">
        <f aca="false">TRIM(UPPER(Raw_Data!J553))</f>
        <v>TRK74812710</v>
      </c>
      <c r="K553" s="2" t="n">
        <f aca="false">Raw_Data!K553</f>
        <v>6</v>
      </c>
      <c r="L553" s="2" t="str">
        <f aca="false">IF(TRIM(Raw_Data!L553)="","No Coupon",TRIM(UPPER(Raw_Data!L553)))</f>
        <v>WINTER15</v>
      </c>
      <c r="M553" s="2" t="str">
        <f aca="false">PROPER(TRIM(Raw_Data!M553))</f>
        <v>Email</v>
      </c>
      <c r="N553" s="4" t="n">
        <f aca="false">ROUND(E553*F553,2)</f>
        <v>120.98</v>
      </c>
      <c r="O553" s="2" t="str">
        <f aca="false">IF(COUNTIF($A$2:$A$1201,A553)&gt;1,"DUPLICATE","Unique")</f>
        <v>Unique</v>
      </c>
      <c r="P553" s="2" t="str">
        <f aca="false">IF(L553="","MISSING","OK")</f>
        <v>OK</v>
      </c>
      <c r="Q553" s="2" t="str">
        <f aca="false">IF(ISNUMBER(B553),"OK","BAD DATE")</f>
        <v>OK</v>
      </c>
      <c r="R553" s="2" t="str">
        <f aca="false">IF(ROUND(F553,2)=F553,"OK","FIX")</f>
        <v>OK</v>
      </c>
    </row>
    <row r="554" customFormat="false" ht="15" hidden="false" customHeight="false" outlineLevel="0" collapsed="false">
      <c r="A554" s="2" t="str">
        <f aca="false">TRIM(UPPER(Raw_Data!A554))</f>
        <v>ORD200552</v>
      </c>
      <c r="B554" s="3" t="n">
        <f aca="false">IF(ISNUMBER(Raw_Data!B554),Raw_Data!B554,DATEVALUE(Raw_Data!B554))</f>
        <v>45199</v>
      </c>
      <c r="C554" s="2" t="str">
        <f aca="false">TRIM(UPPER(Raw_Data!C554))</f>
        <v>C21665</v>
      </c>
      <c r="D554" s="2" t="str">
        <f aca="false">PROPER(TRIM(Raw_Data!D554))</f>
        <v>Chair</v>
      </c>
      <c r="E554" s="2" t="n">
        <f aca="false">Raw_Data!E554</f>
        <v>4</v>
      </c>
      <c r="F554" s="4" t="n">
        <f aca="false">ROUND(Raw_Data!F554,2)</f>
        <v>425.18</v>
      </c>
      <c r="G554" s="2" t="str">
        <f aca="false">PROPER(TRIM(Raw_Data!G554))</f>
        <v>560 Main St</v>
      </c>
      <c r="H554" s="2" t="str">
        <f aca="false">PROPER(TRIM(Raw_Data!H554))</f>
        <v>Online</v>
      </c>
      <c r="I554" s="2" t="str">
        <f aca="false">PROPER(TRIM(Raw_Data!I554))</f>
        <v>Returned</v>
      </c>
      <c r="J554" s="2" t="str">
        <f aca="false">TRIM(UPPER(Raw_Data!J554))</f>
        <v>TRK29890761</v>
      </c>
      <c r="K554" s="2" t="n">
        <f aca="false">Raw_Data!K554</f>
        <v>8</v>
      </c>
      <c r="L554" s="2" t="str">
        <f aca="false">IF(TRIM(Raw_Data!L554)="","No Coupon",TRIM(UPPER(Raw_Data!L554)))</f>
        <v>WINTER15</v>
      </c>
      <c r="M554" s="2" t="str">
        <f aca="false">PROPER(TRIM(Raw_Data!M554))</f>
        <v>Facebook</v>
      </c>
      <c r="N554" s="4" t="n">
        <f aca="false">ROUND(E554*F554,2)</f>
        <v>1700.72</v>
      </c>
      <c r="O554" s="2" t="str">
        <f aca="false">IF(COUNTIF($A$2:$A$1201,A554)&gt;1,"DUPLICATE","Unique")</f>
        <v>Unique</v>
      </c>
      <c r="P554" s="2" t="str">
        <f aca="false">IF(L554="","MISSING","OK")</f>
        <v>OK</v>
      </c>
      <c r="Q554" s="2" t="str">
        <f aca="false">IF(ISNUMBER(B554),"OK","BAD DATE")</f>
        <v>OK</v>
      </c>
      <c r="R554" s="2" t="str">
        <f aca="false">IF(ROUND(F554,2)=F554,"OK","FIX")</f>
        <v>OK</v>
      </c>
    </row>
    <row r="555" customFormat="false" ht="15" hidden="false" customHeight="false" outlineLevel="0" collapsed="false">
      <c r="A555" s="2" t="str">
        <f aca="false">TRIM(UPPER(Raw_Data!A555))</f>
        <v>ORD200553</v>
      </c>
      <c r="B555" s="3" t="n">
        <f aca="false">IF(ISNUMBER(Raw_Data!B555),Raw_Data!B555,DATEVALUE(Raw_Data!B555))</f>
        <v>45161</v>
      </c>
      <c r="C555" s="2" t="str">
        <f aca="false">TRIM(UPPER(Raw_Data!C555))</f>
        <v>C82550</v>
      </c>
      <c r="D555" s="2" t="str">
        <f aca="false">PROPER(TRIM(Raw_Data!D555))</f>
        <v>Phone</v>
      </c>
      <c r="E555" s="2" t="n">
        <f aca="false">Raw_Data!E555</f>
        <v>2</v>
      </c>
      <c r="F555" s="4" t="n">
        <f aca="false">ROUND(Raw_Data!F555,2)</f>
        <v>333.83</v>
      </c>
      <c r="G555" s="2" t="str">
        <f aca="false">PROPER(TRIM(Raw_Data!G555))</f>
        <v>828 Main St</v>
      </c>
      <c r="H555" s="2" t="str">
        <f aca="false">PROPER(TRIM(Raw_Data!H555))</f>
        <v>Gift Card</v>
      </c>
      <c r="I555" s="2" t="str">
        <f aca="false">PROPER(TRIM(Raw_Data!I555))</f>
        <v>Cancelled</v>
      </c>
      <c r="J555" s="2" t="str">
        <f aca="false">TRIM(UPPER(Raw_Data!J555))</f>
        <v>TRK74103758</v>
      </c>
      <c r="K555" s="2" t="n">
        <f aca="false">Raw_Data!K555</f>
        <v>4</v>
      </c>
      <c r="L555" s="2" t="str">
        <f aca="false">IF(TRIM(Raw_Data!L555)="","No Coupon",TRIM(UPPER(Raw_Data!L555)))</f>
        <v>FREESHIP</v>
      </c>
      <c r="M555" s="2" t="str">
        <f aca="false">PROPER(TRIM(Raw_Data!M555))</f>
        <v>Referral</v>
      </c>
      <c r="N555" s="4" t="n">
        <f aca="false">ROUND(E555*F555,2)</f>
        <v>667.66</v>
      </c>
      <c r="O555" s="2" t="str">
        <f aca="false">IF(COUNTIF($A$2:$A$1201,A555)&gt;1,"DUPLICATE","Unique")</f>
        <v>Unique</v>
      </c>
      <c r="P555" s="2" t="str">
        <f aca="false">IF(L555="","MISSING","OK")</f>
        <v>OK</v>
      </c>
      <c r="Q555" s="2" t="str">
        <f aca="false">IF(ISNUMBER(B555),"OK","BAD DATE")</f>
        <v>OK</v>
      </c>
      <c r="R555" s="2" t="str">
        <f aca="false">IF(ROUND(F555,2)=F555,"OK","FIX")</f>
        <v>OK</v>
      </c>
    </row>
    <row r="556" customFormat="false" ht="15" hidden="false" customHeight="false" outlineLevel="0" collapsed="false">
      <c r="A556" s="2" t="str">
        <f aca="false">TRIM(UPPER(Raw_Data!A556))</f>
        <v>ORD200554</v>
      </c>
      <c r="B556" s="3" t="n">
        <f aca="false">IF(ISNUMBER(Raw_Data!B556),Raw_Data!B556,DATEVALUE(Raw_Data!B556))</f>
        <v>45807</v>
      </c>
      <c r="C556" s="2" t="str">
        <f aca="false">TRIM(UPPER(Raw_Data!C556))</f>
        <v>C61943</v>
      </c>
      <c r="D556" s="2" t="str">
        <f aca="false">PROPER(TRIM(Raw_Data!D556))</f>
        <v>Laptop</v>
      </c>
      <c r="E556" s="2" t="n">
        <f aca="false">Raw_Data!E556</f>
        <v>2</v>
      </c>
      <c r="F556" s="4" t="n">
        <f aca="false">ROUND(Raw_Data!F556,2)</f>
        <v>492.9</v>
      </c>
      <c r="G556" s="2" t="str">
        <f aca="false">PROPER(TRIM(Raw_Data!G556))</f>
        <v>610 Main St</v>
      </c>
      <c r="H556" s="2" t="str">
        <f aca="false">PROPER(TRIM(Raw_Data!H556))</f>
        <v>Cash</v>
      </c>
      <c r="I556" s="2" t="str">
        <f aca="false">PROPER(TRIM(Raw_Data!I556))</f>
        <v>Returned</v>
      </c>
      <c r="J556" s="2" t="str">
        <f aca="false">TRIM(UPPER(Raw_Data!J556))</f>
        <v>TRK66126496</v>
      </c>
      <c r="K556" s="2" t="n">
        <f aca="false">Raw_Data!K556</f>
        <v>5</v>
      </c>
      <c r="L556" s="2" t="str">
        <f aca="false">IF(TRIM(Raw_Data!L556)="","No Coupon",TRIM(UPPER(Raw_Data!L556)))</f>
        <v>FREESHIP</v>
      </c>
      <c r="M556" s="2" t="str">
        <f aca="false">PROPER(TRIM(Raw_Data!M556))</f>
        <v>Instagram</v>
      </c>
      <c r="N556" s="4" t="n">
        <f aca="false">ROUND(E556*F556,2)</f>
        <v>985.8</v>
      </c>
      <c r="O556" s="2" t="str">
        <f aca="false">IF(COUNTIF($A$2:$A$1201,A556)&gt;1,"DUPLICATE","Unique")</f>
        <v>Unique</v>
      </c>
      <c r="P556" s="2" t="str">
        <f aca="false">IF(L556="","MISSING","OK")</f>
        <v>OK</v>
      </c>
      <c r="Q556" s="2" t="str">
        <f aca="false">IF(ISNUMBER(B556),"OK","BAD DATE")</f>
        <v>OK</v>
      </c>
      <c r="R556" s="2" t="str">
        <f aca="false">IF(ROUND(F556,2)=F556,"OK","FIX")</f>
        <v>OK</v>
      </c>
    </row>
    <row r="557" customFormat="false" ht="15" hidden="false" customHeight="false" outlineLevel="0" collapsed="false">
      <c r="A557" s="2" t="str">
        <f aca="false">TRIM(UPPER(Raw_Data!A557))</f>
        <v>ORD200555</v>
      </c>
      <c r="B557" s="3" t="n">
        <f aca="false">IF(ISNUMBER(Raw_Data!B557),Raw_Data!B557,DATEVALUE(Raw_Data!B557))</f>
        <v>44933</v>
      </c>
      <c r="C557" s="2" t="str">
        <f aca="false">TRIM(UPPER(Raw_Data!C557))</f>
        <v>C88933</v>
      </c>
      <c r="D557" s="2" t="str">
        <f aca="false">PROPER(TRIM(Raw_Data!D557))</f>
        <v>Tablet</v>
      </c>
      <c r="E557" s="2" t="n">
        <f aca="false">Raw_Data!E557</f>
        <v>1</v>
      </c>
      <c r="F557" s="4" t="n">
        <f aca="false">ROUND(Raw_Data!F557,2)</f>
        <v>92.04</v>
      </c>
      <c r="G557" s="2" t="str">
        <f aca="false">PROPER(TRIM(Raw_Data!G557))</f>
        <v>333 Main St</v>
      </c>
      <c r="H557" s="2" t="str">
        <f aca="false">PROPER(TRIM(Raw_Data!H557))</f>
        <v>Cash</v>
      </c>
      <c r="I557" s="2" t="str">
        <f aca="false">PROPER(TRIM(Raw_Data!I557))</f>
        <v>Shipped</v>
      </c>
      <c r="J557" s="2" t="str">
        <f aca="false">TRIM(UPPER(Raw_Data!J557))</f>
        <v>TRK89306964</v>
      </c>
      <c r="K557" s="2" t="n">
        <f aca="false">Raw_Data!K557</f>
        <v>2</v>
      </c>
      <c r="L557" s="2" t="str">
        <f aca="false">IF(TRIM(Raw_Data!L557)="","No Coupon",TRIM(UPPER(Raw_Data!L557)))</f>
        <v>No Coupon</v>
      </c>
      <c r="M557" s="2" t="str">
        <f aca="false">PROPER(TRIM(Raw_Data!M557))</f>
        <v>Facebook</v>
      </c>
      <c r="N557" s="4" t="n">
        <f aca="false">ROUND(E557*F557,2)</f>
        <v>92.04</v>
      </c>
      <c r="O557" s="2" t="str">
        <f aca="false">IF(COUNTIF($A$2:$A$1201,A557)&gt;1,"DUPLICATE","Unique")</f>
        <v>Unique</v>
      </c>
      <c r="P557" s="2" t="str">
        <f aca="false">IF(L557="","MISSING","OK")</f>
        <v>OK</v>
      </c>
      <c r="Q557" s="2" t="str">
        <f aca="false">IF(ISNUMBER(B557),"OK","BAD DATE")</f>
        <v>OK</v>
      </c>
      <c r="R557" s="2" t="str">
        <f aca="false">IF(ROUND(F557,2)=F557,"OK","FIX")</f>
        <v>OK</v>
      </c>
    </row>
    <row r="558" customFormat="false" ht="15" hidden="false" customHeight="false" outlineLevel="0" collapsed="false">
      <c r="A558" s="2" t="str">
        <f aca="false">TRIM(UPPER(Raw_Data!A558))</f>
        <v>ORD200556</v>
      </c>
      <c r="B558" s="3" t="n">
        <f aca="false">IF(ISNUMBER(Raw_Data!B558),Raw_Data!B558,DATEVALUE(Raw_Data!B558))</f>
        <v>44954</v>
      </c>
      <c r="C558" s="2" t="str">
        <f aca="false">TRIM(UPPER(Raw_Data!C558))</f>
        <v>C30923</v>
      </c>
      <c r="D558" s="2" t="str">
        <f aca="false">PROPER(TRIM(Raw_Data!D558))</f>
        <v>Laptop</v>
      </c>
      <c r="E558" s="2" t="n">
        <f aca="false">Raw_Data!E558</f>
        <v>1</v>
      </c>
      <c r="F558" s="4" t="n">
        <f aca="false">ROUND(Raw_Data!F558,2)</f>
        <v>654.27</v>
      </c>
      <c r="G558" s="2" t="str">
        <f aca="false">PROPER(TRIM(Raw_Data!G558))</f>
        <v>932 Main St</v>
      </c>
      <c r="H558" s="2" t="str">
        <f aca="false">PROPER(TRIM(Raw_Data!H558))</f>
        <v>Gift Card</v>
      </c>
      <c r="I558" s="2" t="str">
        <f aca="false">PROPER(TRIM(Raw_Data!I558))</f>
        <v>Pending</v>
      </c>
      <c r="J558" s="2" t="str">
        <f aca="false">TRIM(UPPER(Raw_Data!J558))</f>
        <v>TRK82609328</v>
      </c>
      <c r="K558" s="2" t="n">
        <f aca="false">Raw_Data!K558</f>
        <v>2</v>
      </c>
      <c r="L558" s="2" t="str">
        <f aca="false">IF(TRIM(Raw_Data!L558)="","No Coupon",TRIM(UPPER(Raw_Data!L558)))</f>
        <v>SAVE10</v>
      </c>
      <c r="M558" s="2" t="str">
        <f aca="false">PROPER(TRIM(Raw_Data!M558))</f>
        <v>Facebook</v>
      </c>
      <c r="N558" s="4" t="n">
        <f aca="false">ROUND(E558*F558,2)</f>
        <v>654.27</v>
      </c>
      <c r="O558" s="2" t="str">
        <f aca="false">IF(COUNTIF($A$2:$A$1201,A558)&gt;1,"DUPLICATE","Unique")</f>
        <v>Unique</v>
      </c>
      <c r="P558" s="2" t="str">
        <f aca="false">IF(L558="","MISSING","OK")</f>
        <v>OK</v>
      </c>
      <c r="Q558" s="2" t="str">
        <f aca="false">IF(ISNUMBER(B558),"OK","BAD DATE")</f>
        <v>OK</v>
      </c>
      <c r="R558" s="2" t="str">
        <f aca="false">IF(ROUND(F558,2)=F558,"OK","FIX")</f>
        <v>OK</v>
      </c>
    </row>
    <row r="559" customFormat="false" ht="15" hidden="false" customHeight="false" outlineLevel="0" collapsed="false">
      <c r="A559" s="2" t="str">
        <f aca="false">TRIM(UPPER(Raw_Data!A559))</f>
        <v>ORD200557</v>
      </c>
      <c r="B559" s="3" t="n">
        <f aca="false">IF(ISNUMBER(Raw_Data!B559),Raw_Data!B559,DATEVALUE(Raw_Data!B559))</f>
        <v>45106</v>
      </c>
      <c r="C559" s="2" t="str">
        <f aca="false">TRIM(UPPER(Raw_Data!C559))</f>
        <v>C56969</v>
      </c>
      <c r="D559" s="2" t="str">
        <f aca="false">PROPER(TRIM(Raw_Data!D559))</f>
        <v>Tablet</v>
      </c>
      <c r="E559" s="2" t="n">
        <f aca="false">Raw_Data!E559</f>
        <v>1</v>
      </c>
      <c r="F559" s="4" t="n">
        <f aca="false">ROUND(Raw_Data!F559,2)</f>
        <v>56.2</v>
      </c>
      <c r="G559" s="2" t="str">
        <f aca="false">PROPER(TRIM(Raw_Data!G559))</f>
        <v>130 Main St</v>
      </c>
      <c r="H559" s="2" t="str">
        <f aca="false">PROPER(TRIM(Raw_Data!H559))</f>
        <v>Debit Card</v>
      </c>
      <c r="I559" s="2" t="str">
        <f aca="false">PROPER(TRIM(Raw_Data!I559))</f>
        <v>Pending</v>
      </c>
      <c r="J559" s="2" t="str">
        <f aca="false">TRIM(UPPER(Raw_Data!J559))</f>
        <v>TRK40719215</v>
      </c>
      <c r="K559" s="2" t="n">
        <f aca="false">Raw_Data!K559</f>
        <v>1</v>
      </c>
      <c r="L559" s="2" t="str">
        <f aca="false">IF(TRIM(Raw_Data!L559)="","No Coupon",TRIM(UPPER(Raw_Data!L559)))</f>
        <v>WINTER15</v>
      </c>
      <c r="M559" s="2" t="str">
        <f aca="false">PROPER(TRIM(Raw_Data!M559))</f>
        <v>Facebook</v>
      </c>
      <c r="N559" s="4" t="n">
        <f aca="false">ROUND(E559*F559,2)</f>
        <v>56.2</v>
      </c>
      <c r="O559" s="2" t="str">
        <f aca="false">IF(COUNTIF($A$2:$A$1201,A559)&gt;1,"DUPLICATE","Unique")</f>
        <v>Unique</v>
      </c>
      <c r="P559" s="2" t="str">
        <f aca="false">IF(L559="","MISSING","OK")</f>
        <v>OK</v>
      </c>
      <c r="Q559" s="2" t="str">
        <f aca="false">IF(ISNUMBER(B559),"OK","BAD DATE")</f>
        <v>OK</v>
      </c>
      <c r="R559" s="2" t="str">
        <f aca="false">IF(ROUND(F559,2)=F559,"OK","FIX")</f>
        <v>OK</v>
      </c>
    </row>
    <row r="560" customFormat="false" ht="15" hidden="false" customHeight="false" outlineLevel="0" collapsed="false">
      <c r="A560" s="2" t="str">
        <f aca="false">TRIM(UPPER(Raw_Data!A560))</f>
        <v>ORD200558</v>
      </c>
      <c r="B560" s="3" t="n">
        <f aca="false">IF(ISNUMBER(Raw_Data!B560),Raw_Data!B560,DATEVALUE(Raw_Data!B560))</f>
        <v>45489</v>
      </c>
      <c r="C560" s="2" t="str">
        <f aca="false">TRIM(UPPER(Raw_Data!C560))</f>
        <v>C76766</v>
      </c>
      <c r="D560" s="2" t="str">
        <f aca="false">PROPER(TRIM(Raw_Data!D560))</f>
        <v>Phone</v>
      </c>
      <c r="E560" s="2" t="n">
        <f aca="false">Raw_Data!E560</f>
        <v>4</v>
      </c>
      <c r="F560" s="4" t="n">
        <f aca="false">ROUND(Raw_Data!F560,2)</f>
        <v>628.12</v>
      </c>
      <c r="G560" s="2" t="str">
        <f aca="false">PROPER(TRIM(Raw_Data!G560))</f>
        <v>485 Main St</v>
      </c>
      <c r="H560" s="2" t="str">
        <f aca="false">PROPER(TRIM(Raw_Data!H560))</f>
        <v>Online</v>
      </c>
      <c r="I560" s="2" t="str">
        <f aca="false">PROPER(TRIM(Raw_Data!I560))</f>
        <v>Delivered</v>
      </c>
      <c r="J560" s="2" t="str">
        <f aca="false">TRIM(UPPER(Raw_Data!J560))</f>
        <v>TRK32052962</v>
      </c>
      <c r="K560" s="2" t="n">
        <f aca="false">Raw_Data!K560</f>
        <v>6</v>
      </c>
      <c r="L560" s="2" t="str">
        <f aca="false">IF(TRIM(Raw_Data!L560)="","No Coupon",TRIM(UPPER(Raw_Data!L560)))</f>
        <v>WINTER15</v>
      </c>
      <c r="M560" s="2" t="str">
        <f aca="false">PROPER(TRIM(Raw_Data!M560))</f>
        <v>Instagram</v>
      </c>
      <c r="N560" s="4" t="n">
        <f aca="false">ROUND(E560*F560,2)</f>
        <v>2512.48</v>
      </c>
      <c r="O560" s="2" t="str">
        <f aca="false">IF(COUNTIF($A$2:$A$1201,A560)&gt;1,"DUPLICATE","Unique")</f>
        <v>Unique</v>
      </c>
      <c r="P560" s="2" t="str">
        <f aca="false">IF(L560="","MISSING","OK")</f>
        <v>OK</v>
      </c>
      <c r="Q560" s="2" t="str">
        <f aca="false">IF(ISNUMBER(B560),"OK","BAD DATE")</f>
        <v>OK</v>
      </c>
      <c r="R560" s="2" t="str">
        <f aca="false">IF(ROUND(F560,2)=F560,"OK","FIX")</f>
        <v>OK</v>
      </c>
    </row>
    <row r="561" customFormat="false" ht="15" hidden="false" customHeight="false" outlineLevel="0" collapsed="false">
      <c r="A561" s="2" t="str">
        <f aca="false">TRIM(UPPER(Raw_Data!A561))</f>
        <v>ORD200559</v>
      </c>
      <c r="B561" s="3" t="n">
        <f aca="false">IF(ISNUMBER(Raw_Data!B561),Raw_Data!B561,DATEVALUE(Raw_Data!B561))</f>
        <v>45397</v>
      </c>
      <c r="C561" s="2" t="str">
        <f aca="false">TRIM(UPPER(Raw_Data!C561))</f>
        <v>C22981</v>
      </c>
      <c r="D561" s="2" t="str">
        <f aca="false">PROPER(TRIM(Raw_Data!D561))</f>
        <v>Desk</v>
      </c>
      <c r="E561" s="2" t="n">
        <f aca="false">Raw_Data!E561</f>
        <v>3</v>
      </c>
      <c r="F561" s="4" t="n">
        <f aca="false">ROUND(Raw_Data!F561,2)</f>
        <v>157.4</v>
      </c>
      <c r="G561" s="2" t="str">
        <f aca="false">PROPER(TRIM(Raw_Data!G561))</f>
        <v>454 Main St</v>
      </c>
      <c r="H561" s="2" t="str">
        <f aca="false">PROPER(TRIM(Raw_Data!H561))</f>
        <v>Debit Card</v>
      </c>
      <c r="I561" s="2" t="str">
        <f aca="false">PROPER(TRIM(Raw_Data!I561))</f>
        <v>Cancelled</v>
      </c>
      <c r="J561" s="2" t="str">
        <f aca="false">TRIM(UPPER(Raw_Data!J561))</f>
        <v>TRK10115285</v>
      </c>
      <c r="K561" s="2" t="n">
        <f aca="false">Raw_Data!K561</f>
        <v>7</v>
      </c>
      <c r="L561" s="2" t="str">
        <f aca="false">IF(TRIM(Raw_Data!L561)="","No Coupon",TRIM(UPPER(Raw_Data!L561)))</f>
        <v>WINTER15</v>
      </c>
      <c r="M561" s="2" t="str">
        <f aca="false">PROPER(TRIM(Raw_Data!M561))</f>
        <v>Email</v>
      </c>
      <c r="N561" s="4" t="n">
        <f aca="false">ROUND(E561*F561,2)</f>
        <v>472.2</v>
      </c>
      <c r="O561" s="2" t="str">
        <f aca="false">IF(COUNTIF($A$2:$A$1201,A561)&gt;1,"DUPLICATE","Unique")</f>
        <v>Unique</v>
      </c>
      <c r="P561" s="2" t="str">
        <f aca="false">IF(L561="","MISSING","OK")</f>
        <v>OK</v>
      </c>
      <c r="Q561" s="2" t="str">
        <f aca="false">IF(ISNUMBER(B561),"OK","BAD DATE")</f>
        <v>OK</v>
      </c>
      <c r="R561" s="2" t="str">
        <f aca="false">IF(ROUND(F561,2)=F561,"OK","FIX")</f>
        <v>OK</v>
      </c>
    </row>
    <row r="562" customFormat="false" ht="15" hidden="false" customHeight="false" outlineLevel="0" collapsed="false">
      <c r="A562" s="2" t="str">
        <f aca="false">TRIM(UPPER(Raw_Data!A562))</f>
        <v>ORD200560</v>
      </c>
      <c r="B562" s="3" t="n">
        <f aca="false">IF(ISNUMBER(Raw_Data!B562),Raw_Data!B562,DATEVALUE(Raw_Data!B562))</f>
        <v>44957</v>
      </c>
      <c r="C562" s="2" t="str">
        <f aca="false">TRIM(UPPER(Raw_Data!C562))</f>
        <v>C33634</v>
      </c>
      <c r="D562" s="2" t="str">
        <f aca="false">PROPER(TRIM(Raw_Data!D562))</f>
        <v>Monitor</v>
      </c>
      <c r="E562" s="2" t="n">
        <f aca="false">Raw_Data!E562</f>
        <v>4</v>
      </c>
      <c r="F562" s="4" t="n">
        <f aca="false">ROUND(Raw_Data!F562,2)</f>
        <v>588.85</v>
      </c>
      <c r="G562" s="2" t="str">
        <f aca="false">PROPER(TRIM(Raw_Data!G562))</f>
        <v>524 Main St</v>
      </c>
      <c r="H562" s="2" t="str">
        <f aca="false">PROPER(TRIM(Raw_Data!H562))</f>
        <v>Gift Card</v>
      </c>
      <c r="I562" s="2" t="str">
        <f aca="false">PROPER(TRIM(Raw_Data!I562))</f>
        <v>Pending</v>
      </c>
      <c r="J562" s="2" t="str">
        <f aca="false">TRIM(UPPER(Raw_Data!J562))</f>
        <v>TRK93168008</v>
      </c>
      <c r="K562" s="2" t="n">
        <f aca="false">Raw_Data!K562</f>
        <v>7</v>
      </c>
      <c r="L562" s="2" t="str">
        <f aca="false">IF(TRIM(Raw_Data!L562)="","No Coupon",TRIM(UPPER(Raw_Data!L562)))</f>
        <v>No Coupon</v>
      </c>
      <c r="M562" s="2" t="str">
        <f aca="false">PROPER(TRIM(Raw_Data!M562))</f>
        <v>Email</v>
      </c>
      <c r="N562" s="4" t="n">
        <f aca="false">ROUND(E562*F562,2)</f>
        <v>2355.4</v>
      </c>
      <c r="O562" s="2" t="str">
        <f aca="false">IF(COUNTIF($A$2:$A$1201,A562)&gt;1,"DUPLICATE","Unique")</f>
        <v>Unique</v>
      </c>
      <c r="P562" s="2" t="str">
        <f aca="false">IF(L562="","MISSING","OK")</f>
        <v>OK</v>
      </c>
      <c r="Q562" s="2" t="str">
        <f aca="false">IF(ISNUMBER(B562),"OK","BAD DATE")</f>
        <v>OK</v>
      </c>
      <c r="R562" s="2" t="str">
        <f aca="false">IF(ROUND(F562,2)=F562,"OK","FIX")</f>
        <v>OK</v>
      </c>
    </row>
    <row r="563" customFormat="false" ht="15" hidden="false" customHeight="false" outlineLevel="0" collapsed="false">
      <c r="A563" s="2" t="str">
        <f aca="false">TRIM(UPPER(Raw_Data!A563))</f>
        <v>ORD200561</v>
      </c>
      <c r="B563" s="3" t="n">
        <f aca="false">IF(ISNUMBER(Raw_Data!B563),Raw_Data!B563,DATEVALUE(Raw_Data!B563))</f>
        <v>44957</v>
      </c>
      <c r="C563" s="2" t="str">
        <f aca="false">TRIM(UPPER(Raw_Data!C563))</f>
        <v>C96822</v>
      </c>
      <c r="D563" s="2" t="str">
        <f aca="false">PROPER(TRIM(Raw_Data!D563))</f>
        <v>Printer</v>
      </c>
      <c r="E563" s="2" t="n">
        <f aca="false">Raw_Data!E563</f>
        <v>2</v>
      </c>
      <c r="F563" s="4" t="n">
        <f aca="false">ROUND(Raw_Data!F563,2)</f>
        <v>494.78</v>
      </c>
      <c r="G563" s="2" t="str">
        <f aca="false">PROPER(TRIM(Raw_Data!G563))</f>
        <v>198 Main St</v>
      </c>
      <c r="H563" s="2" t="str">
        <f aca="false">PROPER(TRIM(Raw_Data!H563))</f>
        <v>Online</v>
      </c>
      <c r="I563" s="2" t="str">
        <f aca="false">PROPER(TRIM(Raw_Data!I563))</f>
        <v>Shipped</v>
      </c>
      <c r="J563" s="2" t="str">
        <f aca="false">TRIM(UPPER(Raw_Data!J563))</f>
        <v>TRK89180077</v>
      </c>
      <c r="K563" s="2" t="n">
        <f aca="false">Raw_Data!K563</f>
        <v>2</v>
      </c>
      <c r="L563" s="2" t="str">
        <f aca="false">IF(TRIM(Raw_Data!L563)="","No Coupon",TRIM(UPPER(Raw_Data!L563)))</f>
        <v>No Coupon</v>
      </c>
      <c r="M563" s="2" t="str">
        <f aca="false">PROPER(TRIM(Raw_Data!M563))</f>
        <v>Google</v>
      </c>
      <c r="N563" s="4" t="n">
        <f aca="false">ROUND(E563*F563,2)</f>
        <v>989.56</v>
      </c>
      <c r="O563" s="2" t="str">
        <f aca="false">IF(COUNTIF($A$2:$A$1201,A563)&gt;1,"DUPLICATE","Unique")</f>
        <v>Unique</v>
      </c>
      <c r="P563" s="2" t="str">
        <f aca="false">IF(L563="","MISSING","OK")</f>
        <v>OK</v>
      </c>
      <c r="Q563" s="2" t="str">
        <f aca="false">IF(ISNUMBER(B563),"OK","BAD DATE")</f>
        <v>OK</v>
      </c>
      <c r="R563" s="2" t="str">
        <f aca="false">IF(ROUND(F563,2)=F563,"OK","FIX")</f>
        <v>OK</v>
      </c>
    </row>
    <row r="564" customFormat="false" ht="15" hidden="false" customHeight="false" outlineLevel="0" collapsed="false">
      <c r="A564" s="2" t="str">
        <f aca="false">TRIM(UPPER(Raw_Data!A564))</f>
        <v>ORD200562</v>
      </c>
      <c r="B564" s="3" t="n">
        <f aca="false">IF(ISNUMBER(Raw_Data!B564),Raw_Data!B564,DATEVALUE(Raw_Data!B564))</f>
        <v>45205</v>
      </c>
      <c r="C564" s="2" t="str">
        <f aca="false">TRIM(UPPER(Raw_Data!C564))</f>
        <v>C76675</v>
      </c>
      <c r="D564" s="2" t="str">
        <f aca="false">PROPER(TRIM(Raw_Data!D564))</f>
        <v>Laptop</v>
      </c>
      <c r="E564" s="2" t="n">
        <f aca="false">Raw_Data!E564</f>
        <v>3</v>
      </c>
      <c r="F564" s="4" t="n">
        <f aca="false">ROUND(Raw_Data!F564,2)</f>
        <v>663.93</v>
      </c>
      <c r="G564" s="2" t="str">
        <f aca="false">PROPER(TRIM(Raw_Data!G564))</f>
        <v>922 Main St</v>
      </c>
      <c r="H564" s="2" t="str">
        <f aca="false">PROPER(TRIM(Raw_Data!H564))</f>
        <v>Gift Card</v>
      </c>
      <c r="I564" s="2" t="str">
        <f aca="false">PROPER(TRIM(Raw_Data!I564))</f>
        <v>Returned</v>
      </c>
      <c r="J564" s="2" t="str">
        <f aca="false">TRIM(UPPER(Raw_Data!J564))</f>
        <v>TRK28043915</v>
      </c>
      <c r="K564" s="2" t="n">
        <f aca="false">Raw_Data!K564</f>
        <v>6</v>
      </c>
      <c r="L564" s="2" t="str">
        <f aca="false">IF(TRIM(Raw_Data!L564)="","No Coupon",TRIM(UPPER(Raw_Data!L564)))</f>
        <v>FREESHIP</v>
      </c>
      <c r="M564" s="2" t="str">
        <f aca="false">PROPER(TRIM(Raw_Data!M564))</f>
        <v>Email</v>
      </c>
      <c r="N564" s="4" t="n">
        <f aca="false">ROUND(E564*F564,2)</f>
        <v>1991.79</v>
      </c>
      <c r="O564" s="2" t="str">
        <f aca="false">IF(COUNTIF($A$2:$A$1201,A564)&gt;1,"DUPLICATE","Unique")</f>
        <v>Unique</v>
      </c>
      <c r="P564" s="2" t="str">
        <f aca="false">IF(L564="","MISSING","OK")</f>
        <v>OK</v>
      </c>
      <c r="Q564" s="2" t="str">
        <f aca="false">IF(ISNUMBER(B564),"OK","BAD DATE")</f>
        <v>OK</v>
      </c>
      <c r="R564" s="2" t="str">
        <f aca="false">IF(ROUND(F564,2)=F564,"OK","FIX")</f>
        <v>OK</v>
      </c>
    </row>
    <row r="565" customFormat="false" ht="15" hidden="false" customHeight="false" outlineLevel="0" collapsed="false">
      <c r="A565" s="2" t="str">
        <f aca="false">TRIM(UPPER(Raw_Data!A565))</f>
        <v>ORD200563</v>
      </c>
      <c r="B565" s="3" t="n">
        <f aca="false">IF(ISNUMBER(Raw_Data!B565),Raw_Data!B565,DATEVALUE(Raw_Data!B565))</f>
        <v>45272</v>
      </c>
      <c r="C565" s="2" t="str">
        <f aca="false">TRIM(UPPER(Raw_Data!C565))</f>
        <v>C12039</v>
      </c>
      <c r="D565" s="2" t="str">
        <f aca="false">PROPER(TRIM(Raw_Data!D565))</f>
        <v>Laptop</v>
      </c>
      <c r="E565" s="2" t="n">
        <f aca="false">Raw_Data!E565</f>
        <v>1</v>
      </c>
      <c r="F565" s="4" t="n">
        <f aca="false">ROUND(Raw_Data!F565,2)</f>
        <v>132.68</v>
      </c>
      <c r="G565" s="2" t="str">
        <f aca="false">PROPER(TRIM(Raw_Data!G565))</f>
        <v>844 Main St</v>
      </c>
      <c r="H565" s="2" t="str">
        <f aca="false">PROPER(TRIM(Raw_Data!H565))</f>
        <v>Debit Card</v>
      </c>
      <c r="I565" s="2" t="str">
        <f aca="false">PROPER(TRIM(Raw_Data!I565))</f>
        <v>Returned</v>
      </c>
      <c r="J565" s="2" t="str">
        <f aca="false">TRIM(UPPER(Raw_Data!J565))</f>
        <v>TRK68645763</v>
      </c>
      <c r="K565" s="2" t="n">
        <f aca="false">Raw_Data!K565</f>
        <v>1</v>
      </c>
      <c r="L565" s="2" t="str">
        <f aca="false">IF(TRIM(Raw_Data!L565)="","No Coupon",TRIM(UPPER(Raw_Data!L565)))</f>
        <v>SAVE10</v>
      </c>
      <c r="M565" s="2" t="str">
        <f aca="false">PROPER(TRIM(Raw_Data!M565))</f>
        <v>Referral</v>
      </c>
      <c r="N565" s="4" t="n">
        <f aca="false">ROUND(E565*F565,2)</f>
        <v>132.68</v>
      </c>
      <c r="O565" s="2" t="str">
        <f aca="false">IF(COUNTIF($A$2:$A$1201,A565)&gt;1,"DUPLICATE","Unique")</f>
        <v>Unique</v>
      </c>
      <c r="P565" s="2" t="str">
        <f aca="false">IF(L565="","MISSING","OK")</f>
        <v>OK</v>
      </c>
      <c r="Q565" s="2" t="str">
        <f aca="false">IF(ISNUMBER(B565),"OK","BAD DATE")</f>
        <v>OK</v>
      </c>
      <c r="R565" s="2" t="str">
        <f aca="false">IF(ROUND(F565,2)=F565,"OK","FIX")</f>
        <v>OK</v>
      </c>
    </row>
    <row r="566" customFormat="false" ht="15" hidden="false" customHeight="false" outlineLevel="0" collapsed="false">
      <c r="A566" s="2" t="str">
        <f aca="false">TRIM(UPPER(Raw_Data!A566))</f>
        <v>ORD200564</v>
      </c>
      <c r="B566" s="3" t="n">
        <f aca="false">IF(ISNUMBER(Raw_Data!B566),Raw_Data!B566,DATEVALUE(Raw_Data!B566))</f>
        <v>45755</v>
      </c>
      <c r="C566" s="2" t="str">
        <f aca="false">TRIM(UPPER(Raw_Data!C566))</f>
        <v>C93309</v>
      </c>
      <c r="D566" s="2" t="str">
        <f aca="false">PROPER(TRIM(Raw_Data!D566))</f>
        <v>Desk</v>
      </c>
      <c r="E566" s="2" t="n">
        <f aca="false">Raw_Data!E566</f>
        <v>5</v>
      </c>
      <c r="F566" s="4" t="n">
        <f aca="false">ROUND(Raw_Data!F566,2)</f>
        <v>364.28</v>
      </c>
      <c r="G566" s="2" t="str">
        <f aca="false">PROPER(TRIM(Raw_Data!G566))</f>
        <v>734 Main St</v>
      </c>
      <c r="H566" s="2" t="str">
        <f aca="false">PROPER(TRIM(Raw_Data!H566))</f>
        <v>Credit Card</v>
      </c>
      <c r="I566" s="2" t="str">
        <f aca="false">PROPER(TRIM(Raw_Data!I566))</f>
        <v>Cancelled</v>
      </c>
      <c r="J566" s="2" t="str">
        <f aca="false">TRIM(UPPER(Raw_Data!J566))</f>
        <v>TRK99446987</v>
      </c>
      <c r="K566" s="2" t="n">
        <f aca="false">Raw_Data!K566</f>
        <v>5</v>
      </c>
      <c r="L566" s="2" t="str">
        <f aca="false">IF(TRIM(Raw_Data!L566)="","No Coupon",TRIM(UPPER(Raw_Data!L566)))</f>
        <v>WINTER15</v>
      </c>
      <c r="M566" s="2" t="str">
        <f aca="false">PROPER(TRIM(Raw_Data!M566))</f>
        <v>Google</v>
      </c>
      <c r="N566" s="4" t="n">
        <f aca="false">ROUND(E566*F566,2)</f>
        <v>1821.4</v>
      </c>
      <c r="O566" s="2" t="str">
        <f aca="false">IF(COUNTIF($A$2:$A$1201,A566)&gt;1,"DUPLICATE","Unique")</f>
        <v>Unique</v>
      </c>
      <c r="P566" s="2" t="str">
        <f aca="false">IF(L566="","MISSING","OK")</f>
        <v>OK</v>
      </c>
      <c r="Q566" s="2" t="str">
        <f aca="false">IF(ISNUMBER(B566),"OK","BAD DATE")</f>
        <v>OK</v>
      </c>
      <c r="R566" s="2" t="str">
        <f aca="false">IF(ROUND(F566,2)=F566,"OK","FIX")</f>
        <v>OK</v>
      </c>
    </row>
    <row r="567" customFormat="false" ht="15" hidden="false" customHeight="false" outlineLevel="0" collapsed="false">
      <c r="A567" s="2" t="str">
        <f aca="false">TRIM(UPPER(Raw_Data!A567))</f>
        <v>ORD200565</v>
      </c>
      <c r="B567" s="3" t="n">
        <f aca="false">IF(ISNUMBER(Raw_Data!B567),Raw_Data!B567,DATEVALUE(Raw_Data!B567))</f>
        <v>45060</v>
      </c>
      <c r="C567" s="2" t="str">
        <f aca="false">TRIM(UPPER(Raw_Data!C567))</f>
        <v>C62042</v>
      </c>
      <c r="D567" s="2" t="str">
        <f aca="false">PROPER(TRIM(Raw_Data!D567))</f>
        <v>Tablet</v>
      </c>
      <c r="E567" s="2" t="n">
        <f aca="false">Raw_Data!E567</f>
        <v>5</v>
      </c>
      <c r="F567" s="4" t="n">
        <f aca="false">ROUND(Raw_Data!F567,2)</f>
        <v>307.98</v>
      </c>
      <c r="G567" s="2" t="str">
        <f aca="false">PROPER(TRIM(Raw_Data!G567))</f>
        <v>214 Main St</v>
      </c>
      <c r="H567" s="2" t="str">
        <f aca="false">PROPER(TRIM(Raw_Data!H567))</f>
        <v>Online</v>
      </c>
      <c r="I567" s="2" t="str">
        <f aca="false">PROPER(TRIM(Raw_Data!I567))</f>
        <v>Pending</v>
      </c>
      <c r="J567" s="2" t="str">
        <f aca="false">TRIM(UPPER(Raw_Data!J567))</f>
        <v>TRK42605492</v>
      </c>
      <c r="K567" s="2" t="n">
        <f aca="false">Raw_Data!K567</f>
        <v>10</v>
      </c>
      <c r="L567" s="2" t="str">
        <f aca="false">IF(TRIM(Raw_Data!L567)="","No Coupon",TRIM(UPPER(Raw_Data!L567)))</f>
        <v>No Coupon</v>
      </c>
      <c r="M567" s="2" t="str">
        <f aca="false">PROPER(TRIM(Raw_Data!M567))</f>
        <v>Facebook</v>
      </c>
      <c r="N567" s="4" t="n">
        <f aca="false">ROUND(E567*F567,2)</f>
        <v>1539.9</v>
      </c>
      <c r="O567" s="2" t="str">
        <f aca="false">IF(COUNTIF($A$2:$A$1201,A567)&gt;1,"DUPLICATE","Unique")</f>
        <v>Unique</v>
      </c>
      <c r="P567" s="2" t="str">
        <f aca="false">IF(L567="","MISSING","OK")</f>
        <v>OK</v>
      </c>
      <c r="Q567" s="2" t="str">
        <f aca="false">IF(ISNUMBER(B567),"OK","BAD DATE")</f>
        <v>OK</v>
      </c>
      <c r="R567" s="2" t="str">
        <f aca="false">IF(ROUND(F567,2)=F567,"OK","FIX")</f>
        <v>OK</v>
      </c>
    </row>
    <row r="568" customFormat="false" ht="15" hidden="false" customHeight="false" outlineLevel="0" collapsed="false">
      <c r="A568" s="2" t="str">
        <f aca="false">TRIM(UPPER(Raw_Data!A568))</f>
        <v>ORD200566</v>
      </c>
      <c r="B568" s="3" t="n">
        <f aca="false">IF(ISNUMBER(Raw_Data!B568),Raw_Data!B568,DATEVALUE(Raw_Data!B568))</f>
        <v>45400</v>
      </c>
      <c r="C568" s="2" t="str">
        <f aca="false">TRIM(UPPER(Raw_Data!C568))</f>
        <v>C83223</v>
      </c>
      <c r="D568" s="2" t="str">
        <f aca="false">PROPER(TRIM(Raw_Data!D568))</f>
        <v>Phone</v>
      </c>
      <c r="E568" s="2" t="n">
        <f aca="false">Raw_Data!E568</f>
        <v>4</v>
      </c>
      <c r="F568" s="4" t="n">
        <f aca="false">ROUND(Raw_Data!F568,2)</f>
        <v>162.71</v>
      </c>
      <c r="G568" s="2" t="str">
        <f aca="false">PROPER(TRIM(Raw_Data!G568))</f>
        <v>167 Main St</v>
      </c>
      <c r="H568" s="2" t="str">
        <f aca="false">PROPER(TRIM(Raw_Data!H568))</f>
        <v>Cash</v>
      </c>
      <c r="I568" s="2" t="str">
        <f aca="false">PROPER(TRIM(Raw_Data!I568))</f>
        <v>Cancelled</v>
      </c>
      <c r="J568" s="2" t="str">
        <f aca="false">TRIM(UPPER(Raw_Data!J568))</f>
        <v>TRK54339083</v>
      </c>
      <c r="K568" s="2" t="n">
        <f aca="false">Raw_Data!K568</f>
        <v>7</v>
      </c>
      <c r="L568" s="2" t="str">
        <f aca="false">IF(TRIM(Raw_Data!L568)="","No Coupon",TRIM(UPPER(Raw_Data!L568)))</f>
        <v>FREESHIP</v>
      </c>
      <c r="M568" s="2" t="str">
        <f aca="false">PROPER(TRIM(Raw_Data!M568))</f>
        <v>Email</v>
      </c>
      <c r="N568" s="4" t="n">
        <f aca="false">ROUND(E568*F568,2)</f>
        <v>650.84</v>
      </c>
      <c r="O568" s="2" t="str">
        <f aca="false">IF(COUNTIF($A$2:$A$1201,A568)&gt;1,"DUPLICATE","Unique")</f>
        <v>Unique</v>
      </c>
      <c r="P568" s="2" t="str">
        <f aca="false">IF(L568="","MISSING","OK")</f>
        <v>OK</v>
      </c>
      <c r="Q568" s="2" t="str">
        <f aca="false">IF(ISNUMBER(B568),"OK","BAD DATE")</f>
        <v>OK</v>
      </c>
      <c r="R568" s="2" t="str">
        <f aca="false">IF(ROUND(F568,2)=F568,"OK","FIX")</f>
        <v>OK</v>
      </c>
    </row>
    <row r="569" customFormat="false" ht="15" hidden="false" customHeight="false" outlineLevel="0" collapsed="false">
      <c r="A569" s="2" t="str">
        <f aca="false">TRIM(UPPER(Raw_Data!A569))</f>
        <v>ORD200567</v>
      </c>
      <c r="B569" s="3" t="n">
        <f aca="false">IF(ISNUMBER(Raw_Data!B569),Raw_Data!B569,DATEVALUE(Raw_Data!B569))</f>
        <v>45565</v>
      </c>
      <c r="C569" s="2" t="str">
        <f aca="false">TRIM(UPPER(Raw_Data!C569))</f>
        <v>C92575</v>
      </c>
      <c r="D569" s="2" t="str">
        <f aca="false">PROPER(TRIM(Raw_Data!D569))</f>
        <v>Chair</v>
      </c>
      <c r="E569" s="2" t="n">
        <f aca="false">Raw_Data!E569</f>
        <v>5</v>
      </c>
      <c r="F569" s="4" t="n">
        <f aca="false">ROUND(Raw_Data!F569,2)</f>
        <v>492.94</v>
      </c>
      <c r="G569" s="2" t="str">
        <f aca="false">PROPER(TRIM(Raw_Data!G569))</f>
        <v>153 Main St</v>
      </c>
      <c r="H569" s="2" t="str">
        <f aca="false">PROPER(TRIM(Raw_Data!H569))</f>
        <v>Cash</v>
      </c>
      <c r="I569" s="2" t="str">
        <f aca="false">PROPER(TRIM(Raw_Data!I569))</f>
        <v>Shipped</v>
      </c>
      <c r="J569" s="2" t="str">
        <f aca="false">TRIM(UPPER(Raw_Data!J569))</f>
        <v>TRK53579227</v>
      </c>
      <c r="K569" s="2" t="n">
        <f aca="false">Raw_Data!K569</f>
        <v>10</v>
      </c>
      <c r="L569" s="2" t="str">
        <f aca="false">IF(TRIM(Raw_Data!L569)="","No Coupon",TRIM(UPPER(Raw_Data!L569)))</f>
        <v>FREESHIP</v>
      </c>
      <c r="M569" s="2" t="str">
        <f aca="false">PROPER(TRIM(Raw_Data!M569))</f>
        <v>Email</v>
      </c>
      <c r="N569" s="4" t="n">
        <f aca="false">ROUND(E569*F569,2)</f>
        <v>2464.7</v>
      </c>
      <c r="O569" s="2" t="str">
        <f aca="false">IF(COUNTIF($A$2:$A$1201,A569)&gt;1,"DUPLICATE","Unique")</f>
        <v>Unique</v>
      </c>
      <c r="P569" s="2" t="str">
        <f aca="false">IF(L569="","MISSING","OK")</f>
        <v>OK</v>
      </c>
      <c r="Q569" s="2" t="str">
        <f aca="false">IF(ISNUMBER(B569),"OK","BAD DATE")</f>
        <v>OK</v>
      </c>
      <c r="R569" s="2" t="str">
        <f aca="false">IF(ROUND(F569,2)=F569,"OK","FIX")</f>
        <v>OK</v>
      </c>
    </row>
    <row r="570" customFormat="false" ht="15" hidden="false" customHeight="false" outlineLevel="0" collapsed="false">
      <c r="A570" s="2" t="str">
        <f aca="false">TRIM(UPPER(Raw_Data!A570))</f>
        <v>ORD200568</v>
      </c>
      <c r="B570" s="3" t="n">
        <f aca="false">IF(ISNUMBER(Raw_Data!B570),Raw_Data!B570,DATEVALUE(Raw_Data!B570))</f>
        <v>44995</v>
      </c>
      <c r="C570" s="2" t="str">
        <f aca="false">TRIM(UPPER(Raw_Data!C570))</f>
        <v>C29072</v>
      </c>
      <c r="D570" s="2" t="str">
        <f aca="false">PROPER(TRIM(Raw_Data!D570))</f>
        <v>Laptop</v>
      </c>
      <c r="E570" s="2" t="n">
        <f aca="false">Raw_Data!E570</f>
        <v>2</v>
      </c>
      <c r="F570" s="4" t="n">
        <f aca="false">ROUND(Raw_Data!F570,2)</f>
        <v>343.99</v>
      </c>
      <c r="G570" s="2" t="str">
        <f aca="false">PROPER(TRIM(Raw_Data!G570))</f>
        <v>312 Main St</v>
      </c>
      <c r="H570" s="2" t="str">
        <f aca="false">PROPER(TRIM(Raw_Data!H570))</f>
        <v>Online</v>
      </c>
      <c r="I570" s="2" t="str">
        <f aca="false">PROPER(TRIM(Raw_Data!I570))</f>
        <v>Delivered</v>
      </c>
      <c r="J570" s="2" t="str">
        <f aca="false">TRIM(UPPER(Raw_Data!J570))</f>
        <v>TRK72334047</v>
      </c>
      <c r="K570" s="2" t="n">
        <f aca="false">Raw_Data!K570</f>
        <v>4</v>
      </c>
      <c r="L570" s="2" t="str">
        <f aca="false">IF(TRIM(Raw_Data!L570)="","No Coupon",TRIM(UPPER(Raw_Data!L570)))</f>
        <v>No Coupon</v>
      </c>
      <c r="M570" s="2" t="str">
        <f aca="false">PROPER(TRIM(Raw_Data!M570))</f>
        <v>Google</v>
      </c>
      <c r="N570" s="4" t="n">
        <f aca="false">ROUND(E570*F570,2)</f>
        <v>687.98</v>
      </c>
      <c r="O570" s="2" t="str">
        <f aca="false">IF(COUNTIF($A$2:$A$1201,A570)&gt;1,"DUPLICATE","Unique")</f>
        <v>Unique</v>
      </c>
      <c r="P570" s="2" t="str">
        <f aca="false">IF(L570="","MISSING","OK")</f>
        <v>OK</v>
      </c>
      <c r="Q570" s="2" t="str">
        <f aca="false">IF(ISNUMBER(B570),"OK","BAD DATE")</f>
        <v>OK</v>
      </c>
      <c r="R570" s="2" t="str">
        <f aca="false">IF(ROUND(F570,2)=F570,"OK","FIX")</f>
        <v>OK</v>
      </c>
    </row>
    <row r="571" customFormat="false" ht="15" hidden="false" customHeight="false" outlineLevel="0" collapsed="false">
      <c r="A571" s="2" t="str">
        <f aca="false">TRIM(UPPER(Raw_Data!A571))</f>
        <v>ORD200569</v>
      </c>
      <c r="B571" s="3" t="n">
        <f aca="false">IF(ISNUMBER(Raw_Data!B571),Raw_Data!B571,DATEVALUE(Raw_Data!B571))</f>
        <v>45738</v>
      </c>
      <c r="C571" s="2" t="str">
        <f aca="false">TRIM(UPPER(Raw_Data!C571))</f>
        <v>C25783</v>
      </c>
      <c r="D571" s="2" t="str">
        <f aca="false">PROPER(TRIM(Raw_Data!D571))</f>
        <v>Desk</v>
      </c>
      <c r="E571" s="2" t="n">
        <f aca="false">Raw_Data!E571</f>
        <v>5</v>
      </c>
      <c r="F571" s="4" t="n">
        <f aca="false">ROUND(Raw_Data!F571,2)</f>
        <v>250.68</v>
      </c>
      <c r="G571" s="2" t="str">
        <f aca="false">PROPER(TRIM(Raw_Data!G571))</f>
        <v>672 Main St</v>
      </c>
      <c r="H571" s="2" t="str">
        <f aca="false">PROPER(TRIM(Raw_Data!H571))</f>
        <v>Cash</v>
      </c>
      <c r="I571" s="2" t="str">
        <f aca="false">PROPER(TRIM(Raw_Data!I571))</f>
        <v>Shipped</v>
      </c>
      <c r="J571" s="2" t="str">
        <f aca="false">TRIM(UPPER(Raw_Data!J571))</f>
        <v>TRK13289741</v>
      </c>
      <c r="K571" s="2" t="n">
        <f aca="false">Raw_Data!K571</f>
        <v>8</v>
      </c>
      <c r="L571" s="2" t="str">
        <f aca="false">IF(TRIM(Raw_Data!L571)="","No Coupon",TRIM(UPPER(Raw_Data!L571)))</f>
        <v>SAVE10</v>
      </c>
      <c r="M571" s="2" t="str">
        <f aca="false">PROPER(TRIM(Raw_Data!M571))</f>
        <v>Instagram</v>
      </c>
      <c r="N571" s="4" t="n">
        <f aca="false">ROUND(E571*F571,2)</f>
        <v>1253.4</v>
      </c>
      <c r="O571" s="2" t="str">
        <f aca="false">IF(COUNTIF($A$2:$A$1201,A571)&gt;1,"DUPLICATE","Unique")</f>
        <v>Unique</v>
      </c>
      <c r="P571" s="2" t="str">
        <f aca="false">IF(L571="","MISSING","OK")</f>
        <v>OK</v>
      </c>
      <c r="Q571" s="2" t="str">
        <f aca="false">IF(ISNUMBER(B571),"OK","BAD DATE")</f>
        <v>OK</v>
      </c>
      <c r="R571" s="2" t="str">
        <f aca="false">IF(ROUND(F571,2)=F571,"OK","FIX")</f>
        <v>OK</v>
      </c>
    </row>
    <row r="572" customFormat="false" ht="15" hidden="false" customHeight="false" outlineLevel="0" collapsed="false">
      <c r="A572" s="2" t="str">
        <f aca="false">TRIM(UPPER(Raw_Data!A572))</f>
        <v>ORD200570</v>
      </c>
      <c r="B572" s="3" t="n">
        <f aca="false">IF(ISNUMBER(Raw_Data!B572),Raw_Data!B572,DATEVALUE(Raw_Data!B572))</f>
        <v>45653</v>
      </c>
      <c r="C572" s="2" t="str">
        <f aca="false">TRIM(UPPER(Raw_Data!C572))</f>
        <v>C63727</v>
      </c>
      <c r="D572" s="2" t="str">
        <f aca="false">PROPER(TRIM(Raw_Data!D572))</f>
        <v>Desk</v>
      </c>
      <c r="E572" s="2" t="n">
        <f aca="false">Raw_Data!E572</f>
        <v>2</v>
      </c>
      <c r="F572" s="4" t="n">
        <f aca="false">ROUND(Raw_Data!F572,2)</f>
        <v>362.14</v>
      </c>
      <c r="G572" s="2" t="str">
        <f aca="false">PROPER(TRIM(Raw_Data!G572))</f>
        <v>122 Main St</v>
      </c>
      <c r="H572" s="2" t="str">
        <f aca="false">PROPER(TRIM(Raw_Data!H572))</f>
        <v>Debit Card</v>
      </c>
      <c r="I572" s="2" t="str">
        <f aca="false">PROPER(TRIM(Raw_Data!I572))</f>
        <v>Pending</v>
      </c>
      <c r="J572" s="2" t="str">
        <f aca="false">TRIM(UPPER(Raw_Data!J572))</f>
        <v>TRK13611021</v>
      </c>
      <c r="K572" s="2" t="n">
        <f aca="false">Raw_Data!K572</f>
        <v>2</v>
      </c>
      <c r="L572" s="2" t="str">
        <f aca="false">IF(TRIM(Raw_Data!L572)="","No Coupon",TRIM(UPPER(Raw_Data!L572)))</f>
        <v>SAVE10</v>
      </c>
      <c r="M572" s="2" t="str">
        <f aca="false">PROPER(TRIM(Raw_Data!M572))</f>
        <v>Instagram</v>
      </c>
      <c r="N572" s="4" t="n">
        <f aca="false">ROUND(E572*F572,2)</f>
        <v>724.28</v>
      </c>
      <c r="O572" s="2" t="str">
        <f aca="false">IF(COUNTIF($A$2:$A$1201,A572)&gt;1,"DUPLICATE","Unique")</f>
        <v>Unique</v>
      </c>
      <c r="P572" s="2" t="str">
        <f aca="false">IF(L572="","MISSING","OK")</f>
        <v>OK</v>
      </c>
      <c r="Q572" s="2" t="str">
        <f aca="false">IF(ISNUMBER(B572),"OK","BAD DATE")</f>
        <v>OK</v>
      </c>
      <c r="R572" s="2" t="str">
        <f aca="false">IF(ROUND(F572,2)=F572,"OK","FIX")</f>
        <v>OK</v>
      </c>
    </row>
    <row r="573" customFormat="false" ht="15" hidden="false" customHeight="false" outlineLevel="0" collapsed="false">
      <c r="A573" s="2" t="str">
        <f aca="false">TRIM(UPPER(Raw_Data!A573))</f>
        <v>ORD200571</v>
      </c>
      <c r="B573" s="3" t="n">
        <f aca="false">IF(ISNUMBER(Raw_Data!B573),Raw_Data!B573,DATEVALUE(Raw_Data!B573))</f>
        <v>45619</v>
      </c>
      <c r="C573" s="2" t="str">
        <f aca="false">TRIM(UPPER(Raw_Data!C573))</f>
        <v>C42365</v>
      </c>
      <c r="D573" s="2" t="str">
        <f aca="false">PROPER(TRIM(Raw_Data!D573))</f>
        <v>Tablet</v>
      </c>
      <c r="E573" s="2" t="n">
        <f aca="false">Raw_Data!E573</f>
        <v>1</v>
      </c>
      <c r="F573" s="4" t="n">
        <f aca="false">ROUND(Raw_Data!F573,2)</f>
        <v>214.08</v>
      </c>
      <c r="G573" s="2" t="str">
        <f aca="false">PROPER(TRIM(Raw_Data!G573))</f>
        <v>867 Main St</v>
      </c>
      <c r="H573" s="2" t="str">
        <f aca="false">PROPER(TRIM(Raw_Data!H573))</f>
        <v>Gift Card</v>
      </c>
      <c r="I573" s="2" t="str">
        <f aca="false">PROPER(TRIM(Raw_Data!I573))</f>
        <v>Returned</v>
      </c>
      <c r="J573" s="2" t="str">
        <f aca="false">TRIM(UPPER(Raw_Data!J573))</f>
        <v>TRK39563288</v>
      </c>
      <c r="K573" s="2" t="n">
        <f aca="false">Raw_Data!K573</f>
        <v>2</v>
      </c>
      <c r="L573" s="2" t="str">
        <f aca="false">IF(TRIM(Raw_Data!L573)="","No Coupon",TRIM(UPPER(Raw_Data!L573)))</f>
        <v>WINTER15</v>
      </c>
      <c r="M573" s="2" t="str">
        <f aca="false">PROPER(TRIM(Raw_Data!M573))</f>
        <v>Google</v>
      </c>
      <c r="N573" s="4" t="n">
        <f aca="false">ROUND(E573*F573,2)</f>
        <v>214.08</v>
      </c>
      <c r="O573" s="2" t="str">
        <f aca="false">IF(COUNTIF($A$2:$A$1201,A573)&gt;1,"DUPLICATE","Unique")</f>
        <v>Unique</v>
      </c>
      <c r="P573" s="2" t="str">
        <f aca="false">IF(L573="","MISSING","OK")</f>
        <v>OK</v>
      </c>
      <c r="Q573" s="2" t="str">
        <f aca="false">IF(ISNUMBER(B573),"OK","BAD DATE")</f>
        <v>OK</v>
      </c>
      <c r="R573" s="2" t="str">
        <f aca="false">IF(ROUND(F573,2)=F573,"OK","FIX")</f>
        <v>OK</v>
      </c>
    </row>
    <row r="574" customFormat="false" ht="15" hidden="false" customHeight="false" outlineLevel="0" collapsed="false">
      <c r="A574" s="2" t="str">
        <f aca="false">TRIM(UPPER(Raw_Data!A574))</f>
        <v>ORD200572</v>
      </c>
      <c r="B574" s="3" t="n">
        <f aca="false">IF(ISNUMBER(Raw_Data!B574),Raw_Data!B574,DATEVALUE(Raw_Data!B574))</f>
        <v>45241</v>
      </c>
      <c r="C574" s="2" t="str">
        <f aca="false">TRIM(UPPER(Raw_Data!C574))</f>
        <v>C27438</v>
      </c>
      <c r="D574" s="2" t="str">
        <f aca="false">PROPER(TRIM(Raw_Data!D574))</f>
        <v>Printer</v>
      </c>
      <c r="E574" s="2" t="n">
        <f aca="false">Raw_Data!E574</f>
        <v>1</v>
      </c>
      <c r="F574" s="4" t="n">
        <f aca="false">ROUND(Raw_Data!F574,2)</f>
        <v>70.32</v>
      </c>
      <c r="G574" s="2" t="str">
        <f aca="false">PROPER(TRIM(Raw_Data!G574))</f>
        <v>341 Main St</v>
      </c>
      <c r="H574" s="2" t="str">
        <f aca="false">PROPER(TRIM(Raw_Data!H574))</f>
        <v>Cash</v>
      </c>
      <c r="I574" s="2" t="str">
        <f aca="false">PROPER(TRIM(Raw_Data!I574))</f>
        <v>Returned</v>
      </c>
      <c r="J574" s="2" t="str">
        <f aca="false">TRIM(UPPER(Raw_Data!J574))</f>
        <v>TRK69125497</v>
      </c>
      <c r="K574" s="2" t="n">
        <f aca="false">Raw_Data!K574</f>
        <v>4</v>
      </c>
      <c r="L574" s="2" t="str">
        <f aca="false">IF(TRIM(Raw_Data!L574)="","No Coupon",TRIM(UPPER(Raw_Data!L574)))</f>
        <v>WINTER15</v>
      </c>
      <c r="M574" s="2" t="str">
        <f aca="false">PROPER(TRIM(Raw_Data!M574))</f>
        <v>Facebook</v>
      </c>
      <c r="N574" s="4" t="n">
        <f aca="false">ROUND(E574*F574,2)</f>
        <v>70.32</v>
      </c>
      <c r="O574" s="2" t="str">
        <f aca="false">IF(COUNTIF($A$2:$A$1201,A574)&gt;1,"DUPLICATE","Unique")</f>
        <v>Unique</v>
      </c>
      <c r="P574" s="2" t="str">
        <f aca="false">IF(L574="","MISSING","OK")</f>
        <v>OK</v>
      </c>
      <c r="Q574" s="2" t="str">
        <f aca="false">IF(ISNUMBER(B574),"OK","BAD DATE")</f>
        <v>OK</v>
      </c>
      <c r="R574" s="2" t="str">
        <f aca="false">IF(ROUND(F574,2)=F574,"OK","FIX")</f>
        <v>OK</v>
      </c>
    </row>
    <row r="575" customFormat="false" ht="15" hidden="false" customHeight="false" outlineLevel="0" collapsed="false">
      <c r="A575" s="2" t="str">
        <f aca="false">TRIM(UPPER(Raw_Data!A575))</f>
        <v>ORD200573</v>
      </c>
      <c r="B575" s="3" t="n">
        <f aca="false">IF(ISNUMBER(Raw_Data!B575),Raw_Data!B575,DATEVALUE(Raw_Data!B575))</f>
        <v>44951</v>
      </c>
      <c r="C575" s="2" t="str">
        <f aca="false">TRIM(UPPER(Raw_Data!C575))</f>
        <v>C13205</v>
      </c>
      <c r="D575" s="2" t="str">
        <f aca="false">PROPER(TRIM(Raw_Data!D575))</f>
        <v>Chair</v>
      </c>
      <c r="E575" s="2" t="n">
        <f aca="false">Raw_Data!E575</f>
        <v>5</v>
      </c>
      <c r="F575" s="4" t="n">
        <f aca="false">ROUND(Raw_Data!F575,2)</f>
        <v>421.42</v>
      </c>
      <c r="G575" s="2" t="str">
        <f aca="false">PROPER(TRIM(Raw_Data!G575))</f>
        <v>522 Main St</v>
      </c>
      <c r="H575" s="2" t="str">
        <f aca="false">PROPER(TRIM(Raw_Data!H575))</f>
        <v>Debit Card</v>
      </c>
      <c r="I575" s="2" t="str">
        <f aca="false">PROPER(TRIM(Raw_Data!I575))</f>
        <v>Cancelled</v>
      </c>
      <c r="J575" s="2" t="str">
        <f aca="false">TRIM(UPPER(Raw_Data!J575))</f>
        <v>TRK30686578</v>
      </c>
      <c r="K575" s="2" t="n">
        <f aca="false">Raw_Data!K575</f>
        <v>7</v>
      </c>
      <c r="L575" s="2" t="str">
        <f aca="false">IF(TRIM(Raw_Data!L575)="","No Coupon",TRIM(UPPER(Raw_Data!L575)))</f>
        <v>No Coupon</v>
      </c>
      <c r="M575" s="2" t="str">
        <f aca="false">PROPER(TRIM(Raw_Data!M575))</f>
        <v>Instagram</v>
      </c>
      <c r="N575" s="4" t="n">
        <f aca="false">ROUND(E575*F575,2)</f>
        <v>2107.1</v>
      </c>
      <c r="O575" s="2" t="str">
        <f aca="false">IF(COUNTIF($A$2:$A$1201,A575)&gt;1,"DUPLICATE","Unique")</f>
        <v>Unique</v>
      </c>
      <c r="P575" s="2" t="str">
        <f aca="false">IF(L575="","MISSING","OK")</f>
        <v>OK</v>
      </c>
      <c r="Q575" s="2" t="str">
        <f aca="false">IF(ISNUMBER(B575),"OK","BAD DATE")</f>
        <v>OK</v>
      </c>
      <c r="R575" s="2" t="str">
        <f aca="false">IF(ROUND(F575,2)=F575,"OK","FIX")</f>
        <v>OK</v>
      </c>
    </row>
    <row r="576" customFormat="false" ht="15" hidden="false" customHeight="false" outlineLevel="0" collapsed="false">
      <c r="A576" s="2" t="str">
        <f aca="false">TRIM(UPPER(Raw_Data!A576))</f>
        <v>ORD200574</v>
      </c>
      <c r="B576" s="3" t="n">
        <f aca="false">IF(ISNUMBER(Raw_Data!B576),Raw_Data!B576,DATEVALUE(Raw_Data!B576))</f>
        <v>45315</v>
      </c>
      <c r="C576" s="2" t="str">
        <f aca="false">TRIM(UPPER(Raw_Data!C576))</f>
        <v>C29685</v>
      </c>
      <c r="D576" s="2" t="str">
        <f aca="false">PROPER(TRIM(Raw_Data!D576))</f>
        <v>Chair</v>
      </c>
      <c r="E576" s="2" t="n">
        <f aca="false">Raw_Data!E576</f>
        <v>5</v>
      </c>
      <c r="F576" s="4" t="n">
        <f aca="false">ROUND(Raw_Data!F576,2)</f>
        <v>384.69</v>
      </c>
      <c r="G576" s="2" t="str">
        <f aca="false">PROPER(TRIM(Raw_Data!G576))</f>
        <v>275 Main St</v>
      </c>
      <c r="H576" s="2" t="str">
        <f aca="false">PROPER(TRIM(Raw_Data!H576))</f>
        <v>Credit Card</v>
      </c>
      <c r="I576" s="2" t="str">
        <f aca="false">PROPER(TRIM(Raw_Data!I576))</f>
        <v>Pending</v>
      </c>
      <c r="J576" s="2" t="str">
        <f aca="false">TRIM(UPPER(Raw_Data!J576))</f>
        <v>TRK97733212</v>
      </c>
      <c r="K576" s="2" t="n">
        <f aca="false">Raw_Data!K576</f>
        <v>6</v>
      </c>
      <c r="L576" s="2" t="str">
        <f aca="false">IF(TRIM(Raw_Data!L576)="","No Coupon",TRIM(UPPER(Raw_Data!L576)))</f>
        <v>FREESHIP</v>
      </c>
      <c r="M576" s="2" t="str">
        <f aca="false">PROPER(TRIM(Raw_Data!M576))</f>
        <v>Email</v>
      </c>
      <c r="N576" s="4" t="n">
        <f aca="false">ROUND(E576*F576,2)</f>
        <v>1923.45</v>
      </c>
      <c r="O576" s="2" t="str">
        <f aca="false">IF(COUNTIF($A$2:$A$1201,A576)&gt;1,"DUPLICATE","Unique")</f>
        <v>Unique</v>
      </c>
      <c r="P576" s="2" t="str">
        <f aca="false">IF(L576="","MISSING","OK")</f>
        <v>OK</v>
      </c>
      <c r="Q576" s="2" t="str">
        <f aca="false">IF(ISNUMBER(B576),"OK","BAD DATE")</f>
        <v>OK</v>
      </c>
      <c r="R576" s="2" t="str">
        <f aca="false">IF(ROUND(F576,2)=F576,"OK","FIX")</f>
        <v>OK</v>
      </c>
    </row>
    <row r="577" customFormat="false" ht="15" hidden="false" customHeight="false" outlineLevel="0" collapsed="false">
      <c r="A577" s="2" t="str">
        <f aca="false">TRIM(UPPER(Raw_Data!A577))</f>
        <v>ORD200575</v>
      </c>
      <c r="B577" s="3" t="n">
        <f aca="false">IF(ISNUMBER(Raw_Data!B577),Raw_Data!B577,DATEVALUE(Raw_Data!B577))</f>
        <v>45084</v>
      </c>
      <c r="C577" s="2" t="str">
        <f aca="false">TRIM(UPPER(Raw_Data!C577))</f>
        <v>C74005</v>
      </c>
      <c r="D577" s="2" t="str">
        <f aca="false">PROPER(TRIM(Raw_Data!D577))</f>
        <v>Chair</v>
      </c>
      <c r="E577" s="2" t="n">
        <f aca="false">Raw_Data!E577</f>
        <v>5</v>
      </c>
      <c r="F577" s="4" t="n">
        <f aca="false">ROUND(Raw_Data!F577,2)</f>
        <v>448.15</v>
      </c>
      <c r="G577" s="2" t="str">
        <f aca="false">PROPER(TRIM(Raw_Data!G577))</f>
        <v>528 Main St</v>
      </c>
      <c r="H577" s="2" t="str">
        <f aca="false">PROPER(TRIM(Raw_Data!H577))</f>
        <v>Gift Card</v>
      </c>
      <c r="I577" s="2" t="str">
        <f aca="false">PROPER(TRIM(Raw_Data!I577))</f>
        <v>Returned</v>
      </c>
      <c r="J577" s="2" t="str">
        <f aca="false">TRIM(UPPER(Raw_Data!J577))</f>
        <v>TRK61640534</v>
      </c>
      <c r="K577" s="2" t="n">
        <f aca="false">Raw_Data!K577</f>
        <v>7</v>
      </c>
      <c r="L577" s="2" t="str">
        <f aca="false">IF(TRIM(Raw_Data!L577)="","No Coupon",TRIM(UPPER(Raw_Data!L577)))</f>
        <v>SAVE10</v>
      </c>
      <c r="M577" s="2" t="str">
        <f aca="false">PROPER(TRIM(Raw_Data!M577))</f>
        <v>Google</v>
      </c>
      <c r="N577" s="4" t="n">
        <f aca="false">ROUND(E577*F577,2)</f>
        <v>2240.75</v>
      </c>
      <c r="O577" s="2" t="str">
        <f aca="false">IF(COUNTIF($A$2:$A$1201,A577)&gt;1,"DUPLICATE","Unique")</f>
        <v>Unique</v>
      </c>
      <c r="P577" s="2" t="str">
        <f aca="false">IF(L577="","MISSING","OK")</f>
        <v>OK</v>
      </c>
      <c r="Q577" s="2" t="str">
        <f aca="false">IF(ISNUMBER(B577),"OK","BAD DATE")</f>
        <v>OK</v>
      </c>
      <c r="R577" s="2" t="str">
        <f aca="false">IF(ROUND(F577,2)=F577,"OK","FIX")</f>
        <v>OK</v>
      </c>
    </row>
    <row r="578" customFormat="false" ht="15" hidden="false" customHeight="false" outlineLevel="0" collapsed="false">
      <c r="A578" s="2" t="str">
        <f aca="false">TRIM(UPPER(Raw_Data!A578))</f>
        <v>ORD200576</v>
      </c>
      <c r="B578" s="3" t="n">
        <f aca="false">IF(ISNUMBER(Raw_Data!B578),Raw_Data!B578,DATEVALUE(Raw_Data!B578))</f>
        <v>45441</v>
      </c>
      <c r="C578" s="2" t="str">
        <f aca="false">TRIM(UPPER(Raw_Data!C578))</f>
        <v>C14457</v>
      </c>
      <c r="D578" s="2" t="str">
        <f aca="false">PROPER(TRIM(Raw_Data!D578))</f>
        <v>Laptop</v>
      </c>
      <c r="E578" s="2" t="n">
        <f aca="false">Raw_Data!E578</f>
        <v>5</v>
      </c>
      <c r="F578" s="4" t="n">
        <f aca="false">ROUND(Raw_Data!F578,2)</f>
        <v>79.08</v>
      </c>
      <c r="G578" s="2" t="str">
        <f aca="false">PROPER(TRIM(Raw_Data!G578))</f>
        <v>747 Main St</v>
      </c>
      <c r="H578" s="2" t="str">
        <f aca="false">PROPER(TRIM(Raw_Data!H578))</f>
        <v>Cash</v>
      </c>
      <c r="I578" s="2" t="str">
        <f aca="false">PROPER(TRIM(Raw_Data!I578))</f>
        <v>Pending</v>
      </c>
      <c r="J578" s="2" t="str">
        <f aca="false">TRIM(UPPER(Raw_Data!J578))</f>
        <v>TRK42517811</v>
      </c>
      <c r="K578" s="2" t="n">
        <f aca="false">Raw_Data!K578</f>
        <v>8</v>
      </c>
      <c r="L578" s="2" t="str">
        <f aca="false">IF(TRIM(Raw_Data!L578)="","No Coupon",TRIM(UPPER(Raw_Data!L578)))</f>
        <v>No Coupon</v>
      </c>
      <c r="M578" s="2" t="str">
        <f aca="false">PROPER(TRIM(Raw_Data!M578))</f>
        <v>Facebook</v>
      </c>
      <c r="N578" s="4" t="n">
        <f aca="false">ROUND(E578*F578,2)</f>
        <v>395.4</v>
      </c>
      <c r="O578" s="2" t="str">
        <f aca="false">IF(COUNTIF($A$2:$A$1201,A578)&gt;1,"DUPLICATE","Unique")</f>
        <v>Unique</v>
      </c>
      <c r="P578" s="2" t="str">
        <f aca="false">IF(L578="","MISSING","OK")</f>
        <v>OK</v>
      </c>
      <c r="Q578" s="2" t="str">
        <f aca="false">IF(ISNUMBER(B578),"OK","BAD DATE")</f>
        <v>OK</v>
      </c>
      <c r="R578" s="2" t="str">
        <f aca="false">IF(ROUND(F578,2)=F578,"OK","FIX")</f>
        <v>OK</v>
      </c>
    </row>
    <row r="579" customFormat="false" ht="15" hidden="false" customHeight="false" outlineLevel="0" collapsed="false">
      <c r="A579" s="2" t="str">
        <f aca="false">TRIM(UPPER(Raw_Data!A579))</f>
        <v>ORD200577</v>
      </c>
      <c r="B579" s="3" t="n">
        <f aca="false">IF(ISNUMBER(Raw_Data!B579),Raw_Data!B579,DATEVALUE(Raw_Data!B579))</f>
        <v>44948</v>
      </c>
      <c r="C579" s="2" t="str">
        <f aca="false">TRIM(UPPER(Raw_Data!C579))</f>
        <v>C77046</v>
      </c>
      <c r="D579" s="2" t="str">
        <f aca="false">PROPER(TRIM(Raw_Data!D579))</f>
        <v>Tablet</v>
      </c>
      <c r="E579" s="2" t="n">
        <f aca="false">Raw_Data!E579</f>
        <v>4</v>
      </c>
      <c r="F579" s="4" t="n">
        <f aca="false">ROUND(Raw_Data!F579,2)</f>
        <v>185.41</v>
      </c>
      <c r="G579" s="2" t="str">
        <f aca="false">PROPER(TRIM(Raw_Data!G579))</f>
        <v>967 Main St</v>
      </c>
      <c r="H579" s="2" t="str">
        <f aca="false">PROPER(TRIM(Raw_Data!H579))</f>
        <v>Online</v>
      </c>
      <c r="I579" s="2" t="str">
        <f aca="false">PROPER(TRIM(Raw_Data!I579))</f>
        <v>Returned</v>
      </c>
      <c r="J579" s="2" t="str">
        <f aca="false">TRIM(UPPER(Raw_Data!J579))</f>
        <v>TRK44401497</v>
      </c>
      <c r="K579" s="2" t="n">
        <f aca="false">Raw_Data!K579</f>
        <v>9</v>
      </c>
      <c r="L579" s="2" t="str">
        <f aca="false">IF(TRIM(Raw_Data!L579)="","No Coupon",TRIM(UPPER(Raw_Data!L579)))</f>
        <v>WINTER15</v>
      </c>
      <c r="M579" s="2" t="str">
        <f aca="false">PROPER(TRIM(Raw_Data!M579))</f>
        <v>Google</v>
      </c>
      <c r="N579" s="4" t="n">
        <f aca="false">ROUND(E579*F579,2)</f>
        <v>741.64</v>
      </c>
      <c r="O579" s="2" t="str">
        <f aca="false">IF(COUNTIF($A$2:$A$1201,A579)&gt;1,"DUPLICATE","Unique")</f>
        <v>Unique</v>
      </c>
      <c r="P579" s="2" t="str">
        <f aca="false">IF(L579="","MISSING","OK")</f>
        <v>OK</v>
      </c>
      <c r="Q579" s="2" t="str">
        <f aca="false">IF(ISNUMBER(B579),"OK","BAD DATE")</f>
        <v>OK</v>
      </c>
      <c r="R579" s="2" t="str">
        <f aca="false">IF(ROUND(F579,2)=F579,"OK","FIX")</f>
        <v>OK</v>
      </c>
    </row>
    <row r="580" customFormat="false" ht="15" hidden="false" customHeight="false" outlineLevel="0" collapsed="false">
      <c r="A580" s="2" t="str">
        <f aca="false">TRIM(UPPER(Raw_Data!A580))</f>
        <v>ORD200578</v>
      </c>
      <c r="B580" s="3" t="n">
        <f aca="false">IF(ISNUMBER(Raw_Data!B580),Raw_Data!B580,DATEVALUE(Raw_Data!B580))</f>
        <v>45575</v>
      </c>
      <c r="C580" s="2" t="str">
        <f aca="false">TRIM(UPPER(Raw_Data!C580))</f>
        <v>C50415</v>
      </c>
      <c r="D580" s="2" t="str">
        <f aca="false">PROPER(TRIM(Raw_Data!D580))</f>
        <v>Monitor</v>
      </c>
      <c r="E580" s="2" t="n">
        <f aca="false">Raw_Data!E580</f>
        <v>5</v>
      </c>
      <c r="F580" s="4" t="n">
        <f aca="false">ROUND(Raw_Data!F580,2)</f>
        <v>566.07</v>
      </c>
      <c r="G580" s="2" t="str">
        <f aca="false">PROPER(TRIM(Raw_Data!G580))</f>
        <v>587 Main St</v>
      </c>
      <c r="H580" s="2" t="str">
        <f aca="false">PROPER(TRIM(Raw_Data!H580))</f>
        <v>Credit Card</v>
      </c>
      <c r="I580" s="2" t="str">
        <f aca="false">PROPER(TRIM(Raw_Data!I580))</f>
        <v>Delivered</v>
      </c>
      <c r="J580" s="2" t="str">
        <f aca="false">TRIM(UPPER(Raw_Data!J580))</f>
        <v>TRK41345634</v>
      </c>
      <c r="K580" s="2" t="n">
        <f aca="false">Raw_Data!K580</f>
        <v>6</v>
      </c>
      <c r="L580" s="2" t="str">
        <f aca="false">IF(TRIM(Raw_Data!L580)="","No Coupon",TRIM(UPPER(Raw_Data!L580)))</f>
        <v>SAVE10</v>
      </c>
      <c r="M580" s="2" t="str">
        <f aca="false">PROPER(TRIM(Raw_Data!M580))</f>
        <v>Instagram</v>
      </c>
      <c r="N580" s="4" t="n">
        <f aca="false">ROUND(E580*F580,2)</f>
        <v>2830.35</v>
      </c>
      <c r="O580" s="2" t="str">
        <f aca="false">IF(COUNTIF($A$2:$A$1201,A580)&gt;1,"DUPLICATE","Unique")</f>
        <v>Unique</v>
      </c>
      <c r="P580" s="2" t="str">
        <f aca="false">IF(L580="","MISSING","OK")</f>
        <v>OK</v>
      </c>
      <c r="Q580" s="2" t="str">
        <f aca="false">IF(ISNUMBER(B580),"OK","BAD DATE")</f>
        <v>OK</v>
      </c>
      <c r="R580" s="2" t="str">
        <f aca="false">IF(ROUND(F580,2)=F580,"OK","FIX")</f>
        <v>OK</v>
      </c>
    </row>
    <row r="581" customFormat="false" ht="15" hidden="false" customHeight="false" outlineLevel="0" collapsed="false">
      <c r="A581" s="2" t="str">
        <f aca="false">TRIM(UPPER(Raw_Data!A581))</f>
        <v>ORD200579</v>
      </c>
      <c r="B581" s="3" t="n">
        <f aca="false">IF(ISNUMBER(Raw_Data!B581),Raw_Data!B581,DATEVALUE(Raw_Data!B581))</f>
        <v>45081</v>
      </c>
      <c r="C581" s="2" t="str">
        <f aca="false">TRIM(UPPER(Raw_Data!C581))</f>
        <v>C73999</v>
      </c>
      <c r="D581" s="2" t="str">
        <f aca="false">PROPER(TRIM(Raw_Data!D581))</f>
        <v>Tablet</v>
      </c>
      <c r="E581" s="2" t="n">
        <f aca="false">Raw_Data!E581</f>
        <v>2</v>
      </c>
      <c r="F581" s="4" t="n">
        <f aca="false">ROUND(Raw_Data!F581,2)</f>
        <v>187.88</v>
      </c>
      <c r="G581" s="2" t="str">
        <f aca="false">PROPER(TRIM(Raw_Data!G581))</f>
        <v>413 Main St</v>
      </c>
      <c r="H581" s="2" t="str">
        <f aca="false">PROPER(TRIM(Raw_Data!H581))</f>
        <v>Online</v>
      </c>
      <c r="I581" s="2" t="str">
        <f aca="false">PROPER(TRIM(Raw_Data!I581))</f>
        <v>Shipped</v>
      </c>
      <c r="J581" s="2" t="str">
        <f aca="false">TRIM(UPPER(Raw_Data!J581))</f>
        <v>TRK67919507</v>
      </c>
      <c r="K581" s="2" t="n">
        <f aca="false">Raw_Data!K581</f>
        <v>4</v>
      </c>
      <c r="L581" s="2" t="str">
        <f aca="false">IF(TRIM(Raw_Data!L581)="","No Coupon",TRIM(UPPER(Raw_Data!L581)))</f>
        <v>WINTER15</v>
      </c>
      <c r="M581" s="2" t="str">
        <f aca="false">PROPER(TRIM(Raw_Data!M581))</f>
        <v>Facebook</v>
      </c>
      <c r="N581" s="4" t="n">
        <f aca="false">ROUND(E581*F581,2)</f>
        <v>375.76</v>
      </c>
      <c r="O581" s="2" t="str">
        <f aca="false">IF(COUNTIF($A$2:$A$1201,A581)&gt;1,"DUPLICATE","Unique")</f>
        <v>Unique</v>
      </c>
      <c r="P581" s="2" t="str">
        <f aca="false">IF(L581="","MISSING","OK")</f>
        <v>OK</v>
      </c>
      <c r="Q581" s="2" t="str">
        <f aca="false">IF(ISNUMBER(B581),"OK","BAD DATE")</f>
        <v>OK</v>
      </c>
      <c r="R581" s="2" t="str">
        <f aca="false">IF(ROUND(F581,2)=F581,"OK","FIX")</f>
        <v>OK</v>
      </c>
    </row>
    <row r="582" customFormat="false" ht="15" hidden="false" customHeight="false" outlineLevel="0" collapsed="false">
      <c r="A582" s="2" t="str">
        <f aca="false">TRIM(UPPER(Raw_Data!A582))</f>
        <v>ORD200580</v>
      </c>
      <c r="B582" s="3" t="n">
        <f aca="false">IF(ISNUMBER(Raw_Data!B582),Raw_Data!B582,DATEVALUE(Raw_Data!B582))</f>
        <v>45244</v>
      </c>
      <c r="C582" s="2" t="str">
        <f aca="false">TRIM(UPPER(Raw_Data!C582))</f>
        <v>C71076</v>
      </c>
      <c r="D582" s="2" t="str">
        <f aca="false">PROPER(TRIM(Raw_Data!D582))</f>
        <v>Monitor</v>
      </c>
      <c r="E582" s="2" t="n">
        <f aca="false">Raw_Data!E582</f>
        <v>2</v>
      </c>
      <c r="F582" s="4" t="n">
        <f aca="false">ROUND(Raw_Data!F582,2)</f>
        <v>255.99</v>
      </c>
      <c r="G582" s="2" t="str">
        <f aca="false">PROPER(TRIM(Raw_Data!G582))</f>
        <v>340 Main St</v>
      </c>
      <c r="H582" s="2" t="str">
        <f aca="false">PROPER(TRIM(Raw_Data!H582))</f>
        <v>Credit Card</v>
      </c>
      <c r="I582" s="2" t="str">
        <f aca="false">PROPER(TRIM(Raw_Data!I582))</f>
        <v>Delivered</v>
      </c>
      <c r="J582" s="2" t="str">
        <f aca="false">TRIM(UPPER(Raw_Data!J582))</f>
        <v>TRK65148292</v>
      </c>
      <c r="K582" s="2" t="n">
        <f aca="false">Raw_Data!K582</f>
        <v>4</v>
      </c>
      <c r="L582" s="2" t="str">
        <f aca="false">IF(TRIM(Raw_Data!L582)="","No Coupon",TRIM(UPPER(Raw_Data!L582)))</f>
        <v>SAVE10</v>
      </c>
      <c r="M582" s="2" t="str">
        <f aca="false">PROPER(TRIM(Raw_Data!M582))</f>
        <v>Instagram</v>
      </c>
      <c r="N582" s="4" t="n">
        <f aca="false">ROUND(E582*F582,2)</f>
        <v>511.98</v>
      </c>
      <c r="O582" s="2" t="str">
        <f aca="false">IF(COUNTIF($A$2:$A$1201,A582)&gt;1,"DUPLICATE","Unique")</f>
        <v>Unique</v>
      </c>
      <c r="P582" s="2" t="str">
        <f aca="false">IF(L582="","MISSING","OK")</f>
        <v>OK</v>
      </c>
      <c r="Q582" s="2" t="str">
        <f aca="false">IF(ISNUMBER(B582),"OK","BAD DATE")</f>
        <v>OK</v>
      </c>
      <c r="R582" s="2" t="str">
        <f aca="false">IF(ROUND(F582,2)=F582,"OK","FIX")</f>
        <v>OK</v>
      </c>
    </row>
    <row r="583" customFormat="false" ht="15" hidden="false" customHeight="false" outlineLevel="0" collapsed="false">
      <c r="A583" s="2" t="str">
        <f aca="false">TRIM(UPPER(Raw_Data!A583))</f>
        <v>ORD200581</v>
      </c>
      <c r="B583" s="3" t="n">
        <f aca="false">IF(ISNUMBER(Raw_Data!B583),Raw_Data!B583,DATEVALUE(Raw_Data!B583))</f>
        <v>45607</v>
      </c>
      <c r="C583" s="2" t="str">
        <f aca="false">TRIM(UPPER(Raw_Data!C583))</f>
        <v>C44674</v>
      </c>
      <c r="D583" s="2" t="str">
        <f aca="false">PROPER(TRIM(Raw_Data!D583))</f>
        <v>Laptop</v>
      </c>
      <c r="E583" s="2" t="n">
        <f aca="false">Raw_Data!E583</f>
        <v>1</v>
      </c>
      <c r="F583" s="4" t="n">
        <f aca="false">ROUND(Raw_Data!F583,2)</f>
        <v>627.34</v>
      </c>
      <c r="G583" s="2" t="str">
        <f aca="false">PROPER(TRIM(Raw_Data!G583))</f>
        <v>942 Main St</v>
      </c>
      <c r="H583" s="2" t="str">
        <f aca="false">PROPER(TRIM(Raw_Data!H583))</f>
        <v>Online</v>
      </c>
      <c r="I583" s="2" t="str">
        <f aca="false">PROPER(TRIM(Raw_Data!I583))</f>
        <v>Delivered</v>
      </c>
      <c r="J583" s="2" t="str">
        <f aca="false">TRIM(UPPER(Raw_Data!J583))</f>
        <v>TRK87158684</v>
      </c>
      <c r="K583" s="2" t="n">
        <f aca="false">Raw_Data!K583</f>
        <v>1</v>
      </c>
      <c r="L583" s="2" t="str">
        <f aca="false">IF(TRIM(Raw_Data!L583)="","No Coupon",TRIM(UPPER(Raw_Data!L583)))</f>
        <v>No Coupon</v>
      </c>
      <c r="M583" s="2" t="str">
        <f aca="false">PROPER(TRIM(Raw_Data!M583))</f>
        <v>Referral</v>
      </c>
      <c r="N583" s="4" t="n">
        <f aca="false">ROUND(E583*F583,2)</f>
        <v>627.34</v>
      </c>
      <c r="O583" s="2" t="str">
        <f aca="false">IF(COUNTIF($A$2:$A$1201,A583)&gt;1,"DUPLICATE","Unique")</f>
        <v>Unique</v>
      </c>
      <c r="P583" s="2" t="str">
        <f aca="false">IF(L583="","MISSING","OK")</f>
        <v>OK</v>
      </c>
      <c r="Q583" s="2" t="str">
        <f aca="false">IF(ISNUMBER(B583),"OK","BAD DATE")</f>
        <v>OK</v>
      </c>
      <c r="R583" s="2" t="str">
        <f aca="false">IF(ROUND(F583,2)=F583,"OK","FIX")</f>
        <v>OK</v>
      </c>
    </row>
    <row r="584" customFormat="false" ht="15" hidden="false" customHeight="false" outlineLevel="0" collapsed="false">
      <c r="A584" s="2" t="str">
        <f aca="false">TRIM(UPPER(Raw_Data!A584))</f>
        <v>ORD200582</v>
      </c>
      <c r="B584" s="3" t="n">
        <f aca="false">IF(ISNUMBER(Raw_Data!B584),Raw_Data!B584,DATEVALUE(Raw_Data!B584))</f>
        <v>45341</v>
      </c>
      <c r="C584" s="2" t="str">
        <f aca="false">TRIM(UPPER(Raw_Data!C584))</f>
        <v>C15228</v>
      </c>
      <c r="D584" s="2" t="str">
        <f aca="false">PROPER(TRIM(Raw_Data!D584))</f>
        <v>Tablet</v>
      </c>
      <c r="E584" s="2" t="n">
        <f aca="false">Raw_Data!E584</f>
        <v>3</v>
      </c>
      <c r="F584" s="4" t="n">
        <f aca="false">ROUND(Raw_Data!F584,2)</f>
        <v>474.14</v>
      </c>
      <c r="G584" s="2" t="str">
        <f aca="false">PROPER(TRIM(Raw_Data!G584))</f>
        <v>558 Main St</v>
      </c>
      <c r="H584" s="2" t="str">
        <f aca="false">PROPER(TRIM(Raw_Data!H584))</f>
        <v>Gift Card</v>
      </c>
      <c r="I584" s="2" t="str">
        <f aca="false">PROPER(TRIM(Raw_Data!I584))</f>
        <v>Shipped</v>
      </c>
      <c r="J584" s="2" t="str">
        <f aca="false">TRIM(UPPER(Raw_Data!J584))</f>
        <v>TRK33860620</v>
      </c>
      <c r="K584" s="2" t="n">
        <f aca="false">Raw_Data!K584</f>
        <v>8</v>
      </c>
      <c r="L584" s="2" t="str">
        <f aca="false">IF(TRIM(Raw_Data!L584)="","No Coupon",TRIM(UPPER(Raw_Data!L584)))</f>
        <v>WINTER15</v>
      </c>
      <c r="M584" s="2" t="str">
        <f aca="false">PROPER(TRIM(Raw_Data!M584))</f>
        <v>Google</v>
      </c>
      <c r="N584" s="4" t="n">
        <f aca="false">ROUND(E584*F584,2)</f>
        <v>1422.42</v>
      </c>
      <c r="O584" s="2" t="str">
        <f aca="false">IF(COUNTIF($A$2:$A$1201,A584)&gt;1,"DUPLICATE","Unique")</f>
        <v>Unique</v>
      </c>
      <c r="P584" s="2" t="str">
        <f aca="false">IF(L584="","MISSING","OK")</f>
        <v>OK</v>
      </c>
      <c r="Q584" s="2" t="str">
        <f aca="false">IF(ISNUMBER(B584),"OK","BAD DATE")</f>
        <v>OK</v>
      </c>
      <c r="R584" s="2" t="str">
        <f aca="false">IF(ROUND(F584,2)=F584,"OK","FIX")</f>
        <v>OK</v>
      </c>
    </row>
    <row r="585" customFormat="false" ht="15" hidden="false" customHeight="false" outlineLevel="0" collapsed="false">
      <c r="A585" s="2" t="str">
        <f aca="false">TRIM(UPPER(Raw_Data!A585))</f>
        <v>ORD200583</v>
      </c>
      <c r="B585" s="3" t="n">
        <f aca="false">IF(ISNUMBER(Raw_Data!B585),Raw_Data!B585,DATEVALUE(Raw_Data!B585))</f>
        <v>45823</v>
      </c>
      <c r="C585" s="2" t="str">
        <f aca="false">TRIM(UPPER(Raw_Data!C585))</f>
        <v>C27072</v>
      </c>
      <c r="D585" s="2" t="str">
        <f aca="false">PROPER(TRIM(Raw_Data!D585))</f>
        <v>Chair</v>
      </c>
      <c r="E585" s="2" t="n">
        <f aca="false">Raw_Data!E585</f>
        <v>3</v>
      </c>
      <c r="F585" s="4" t="n">
        <f aca="false">ROUND(Raw_Data!F585,2)</f>
        <v>154.37</v>
      </c>
      <c r="G585" s="2" t="str">
        <f aca="false">PROPER(TRIM(Raw_Data!G585))</f>
        <v>996 Main St</v>
      </c>
      <c r="H585" s="2" t="str">
        <f aca="false">PROPER(TRIM(Raw_Data!H585))</f>
        <v>Gift Card</v>
      </c>
      <c r="I585" s="2" t="str">
        <f aca="false">PROPER(TRIM(Raw_Data!I585))</f>
        <v>Delivered</v>
      </c>
      <c r="J585" s="2" t="str">
        <f aca="false">TRIM(UPPER(Raw_Data!J585))</f>
        <v>TRK29750379</v>
      </c>
      <c r="K585" s="2" t="n">
        <f aca="false">Raw_Data!K585</f>
        <v>4</v>
      </c>
      <c r="L585" s="2" t="str">
        <f aca="false">IF(TRIM(Raw_Data!L585)="","No Coupon",TRIM(UPPER(Raw_Data!L585)))</f>
        <v>No Coupon</v>
      </c>
      <c r="M585" s="2" t="str">
        <f aca="false">PROPER(TRIM(Raw_Data!M585))</f>
        <v>Instagram</v>
      </c>
      <c r="N585" s="4" t="n">
        <f aca="false">ROUND(E585*F585,2)</f>
        <v>463.11</v>
      </c>
      <c r="O585" s="2" t="str">
        <f aca="false">IF(COUNTIF($A$2:$A$1201,A585)&gt;1,"DUPLICATE","Unique")</f>
        <v>Unique</v>
      </c>
      <c r="P585" s="2" t="str">
        <f aca="false">IF(L585="","MISSING","OK")</f>
        <v>OK</v>
      </c>
      <c r="Q585" s="2" t="str">
        <f aca="false">IF(ISNUMBER(B585),"OK","BAD DATE")</f>
        <v>OK</v>
      </c>
      <c r="R585" s="2" t="str">
        <f aca="false">IF(ROUND(F585,2)=F585,"OK","FIX")</f>
        <v>OK</v>
      </c>
    </row>
    <row r="586" customFormat="false" ht="15" hidden="false" customHeight="false" outlineLevel="0" collapsed="false">
      <c r="A586" s="2" t="str">
        <f aca="false">TRIM(UPPER(Raw_Data!A586))</f>
        <v>ORD200584</v>
      </c>
      <c r="B586" s="3" t="n">
        <f aca="false">IF(ISNUMBER(Raw_Data!B586),Raw_Data!B586,DATEVALUE(Raw_Data!B586))</f>
        <v>45737</v>
      </c>
      <c r="C586" s="2" t="str">
        <f aca="false">TRIM(UPPER(Raw_Data!C586))</f>
        <v>C15257</v>
      </c>
      <c r="D586" s="2" t="str">
        <f aca="false">PROPER(TRIM(Raw_Data!D586))</f>
        <v>Chair</v>
      </c>
      <c r="E586" s="2" t="n">
        <f aca="false">Raw_Data!E586</f>
        <v>4</v>
      </c>
      <c r="F586" s="4" t="n">
        <f aca="false">ROUND(Raw_Data!F586,2)</f>
        <v>145.05</v>
      </c>
      <c r="G586" s="2" t="str">
        <f aca="false">PROPER(TRIM(Raw_Data!G586))</f>
        <v>626 Main St</v>
      </c>
      <c r="H586" s="2" t="str">
        <f aca="false">PROPER(TRIM(Raw_Data!H586))</f>
        <v>Online</v>
      </c>
      <c r="I586" s="2" t="str">
        <f aca="false">PROPER(TRIM(Raw_Data!I586))</f>
        <v>Delivered</v>
      </c>
      <c r="J586" s="2" t="str">
        <f aca="false">TRIM(UPPER(Raw_Data!J586))</f>
        <v>TRK28779938</v>
      </c>
      <c r="K586" s="2" t="n">
        <f aca="false">Raw_Data!K586</f>
        <v>6</v>
      </c>
      <c r="L586" s="2" t="str">
        <f aca="false">IF(TRIM(Raw_Data!L586)="","No Coupon",TRIM(UPPER(Raw_Data!L586)))</f>
        <v>SAVE10</v>
      </c>
      <c r="M586" s="2" t="str">
        <f aca="false">PROPER(TRIM(Raw_Data!M586))</f>
        <v>Google</v>
      </c>
      <c r="N586" s="4" t="n">
        <f aca="false">ROUND(E586*F586,2)</f>
        <v>580.2</v>
      </c>
      <c r="O586" s="2" t="str">
        <f aca="false">IF(COUNTIF($A$2:$A$1201,A586)&gt;1,"DUPLICATE","Unique")</f>
        <v>Unique</v>
      </c>
      <c r="P586" s="2" t="str">
        <f aca="false">IF(L586="","MISSING","OK")</f>
        <v>OK</v>
      </c>
      <c r="Q586" s="2" t="str">
        <f aca="false">IF(ISNUMBER(B586),"OK","BAD DATE")</f>
        <v>OK</v>
      </c>
      <c r="R586" s="2" t="str">
        <f aca="false">IF(ROUND(F586,2)=F586,"OK","FIX")</f>
        <v>OK</v>
      </c>
    </row>
    <row r="587" customFormat="false" ht="15" hidden="false" customHeight="false" outlineLevel="0" collapsed="false">
      <c r="A587" s="2" t="str">
        <f aca="false">TRIM(UPPER(Raw_Data!A587))</f>
        <v>ORD200585</v>
      </c>
      <c r="B587" s="3" t="n">
        <f aca="false">IF(ISNUMBER(Raw_Data!B587),Raw_Data!B587,DATEVALUE(Raw_Data!B587))</f>
        <v>45158</v>
      </c>
      <c r="C587" s="2" t="str">
        <f aca="false">TRIM(UPPER(Raw_Data!C587))</f>
        <v>C91486</v>
      </c>
      <c r="D587" s="2" t="str">
        <f aca="false">PROPER(TRIM(Raw_Data!D587))</f>
        <v>Tablet</v>
      </c>
      <c r="E587" s="2" t="n">
        <f aca="false">Raw_Data!E587</f>
        <v>4</v>
      </c>
      <c r="F587" s="4" t="n">
        <f aca="false">ROUND(Raw_Data!F587,2)</f>
        <v>67.08</v>
      </c>
      <c r="G587" s="2" t="str">
        <f aca="false">PROPER(TRIM(Raw_Data!G587))</f>
        <v>907 Main St</v>
      </c>
      <c r="H587" s="2" t="str">
        <f aca="false">PROPER(TRIM(Raw_Data!H587))</f>
        <v>Cash</v>
      </c>
      <c r="I587" s="2" t="str">
        <f aca="false">PROPER(TRIM(Raw_Data!I587))</f>
        <v>Returned</v>
      </c>
      <c r="J587" s="2" t="str">
        <f aca="false">TRIM(UPPER(Raw_Data!J587))</f>
        <v>TRK79617136</v>
      </c>
      <c r="K587" s="2" t="n">
        <f aca="false">Raw_Data!K587</f>
        <v>8</v>
      </c>
      <c r="L587" s="2" t="str">
        <f aca="false">IF(TRIM(Raw_Data!L587)="","No Coupon",TRIM(UPPER(Raw_Data!L587)))</f>
        <v>WINTER15</v>
      </c>
      <c r="M587" s="2" t="str">
        <f aca="false">PROPER(TRIM(Raw_Data!M587))</f>
        <v>Google</v>
      </c>
      <c r="N587" s="4" t="n">
        <f aca="false">ROUND(E587*F587,2)</f>
        <v>268.32</v>
      </c>
      <c r="O587" s="2" t="str">
        <f aca="false">IF(COUNTIF($A$2:$A$1201,A587)&gt;1,"DUPLICATE","Unique")</f>
        <v>Unique</v>
      </c>
      <c r="P587" s="2" t="str">
        <f aca="false">IF(L587="","MISSING","OK")</f>
        <v>OK</v>
      </c>
      <c r="Q587" s="2" t="str">
        <f aca="false">IF(ISNUMBER(B587),"OK","BAD DATE")</f>
        <v>OK</v>
      </c>
      <c r="R587" s="2" t="str">
        <f aca="false">IF(ROUND(F587,2)=F587,"OK","FIX")</f>
        <v>OK</v>
      </c>
    </row>
    <row r="588" customFormat="false" ht="15" hidden="false" customHeight="false" outlineLevel="0" collapsed="false">
      <c r="A588" s="2" t="str">
        <f aca="false">TRIM(UPPER(Raw_Data!A588))</f>
        <v>ORD200586</v>
      </c>
      <c r="B588" s="3" t="n">
        <f aca="false">IF(ISNUMBER(Raw_Data!B588),Raw_Data!B588,DATEVALUE(Raw_Data!B588))</f>
        <v>45606</v>
      </c>
      <c r="C588" s="2" t="str">
        <f aca="false">TRIM(UPPER(Raw_Data!C588))</f>
        <v>C17389</v>
      </c>
      <c r="D588" s="2" t="str">
        <f aca="false">PROPER(TRIM(Raw_Data!D588))</f>
        <v>Monitor</v>
      </c>
      <c r="E588" s="2" t="n">
        <f aca="false">Raw_Data!E588</f>
        <v>1</v>
      </c>
      <c r="F588" s="4" t="n">
        <f aca="false">ROUND(Raw_Data!F588,2)</f>
        <v>522.08</v>
      </c>
      <c r="G588" s="2" t="str">
        <f aca="false">PROPER(TRIM(Raw_Data!G588))</f>
        <v>905 Main St</v>
      </c>
      <c r="H588" s="2" t="str">
        <f aca="false">PROPER(TRIM(Raw_Data!H588))</f>
        <v>Gift Card</v>
      </c>
      <c r="I588" s="2" t="str">
        <f aca="false">PROPER(TRIM(Raw_Data!I588))</f>
        <v>Returned</v>
      </c>
      <c r="J588" s="2" t="str">
        <f aca="false">TRIM(UPPER(Raw_Data!J588))</f>
        <v>TRK98857880</v>
      </c>
      <c r="K588" s="2" t="n">
        <f aca="false">Raw_Data!K588</f>
        <v>5</v>
      </c>
      <c r="L588" s="2" t="str">
        <f aca="false">IF(TRIM(Raw_Data!L588)="","No Coupon",TRIM(UPPER(Raw_Data!L588)))</f>
        <v>FREESHIP</v>
      </c>
      <c r="M588" s="2" t="str">
        <f aca="false">PROPER(TRIM(Raw_Data!M588))</f>
        <v>Referral</v>
      </c>
      <c r="N588" s="4" t="n">
        <f aca="false">ROUND(E588*F588,2)</f>
        <v>522.08</v>
      </c>
      <c r="O588" s="2" t="str">
        <f aca="false">IF(COUNTIF($A$2:$A$1201,A588)&gt;1,"DUPLICATE","Unique")</f>
        <v>Unique</v>
      </c>
      <c r="P588" s="2" t="str">
        <f aca="false">IF(L588="","MISSING","OK")</f>
        <v>OK</v>
      </c>
      <c r="Q588" s="2" t="str">
        <f aca="false">IF(ISNUMBER(B588),"OK","BAD DATE")</f>
        <v>OK</v>
      </c>
      <c r="R588" s="2" t="str">
        <f aca="false">IF(ROUND(F588,2)=F588,"OK","FIX")</f>
        <v>OK</v>
      </c>
    </row>
    <row r="589" customFormat="false" ht="15" hidden="false" customHeight="false" outlineLevel="0" collapsed="false">
      <c r="A589" s="2" t="str">
        <f aca="false">TRIM(UPPER(Raw_Data!A589))</f>
        <v>ORD200587</v>
      </c>
      <c r="B589" s="3" t="n">
        <f aca="false">IF(ISNUMBER(Raw_Data!B589),Raw_Data!B589,DATEVALUE(Raw_Data!B589))</f>
        <v>45089</v>
      </c>
      <c r="C589" s="2" t="str">
        <f aca="false">TRIM(UPPER(Raw_Data!C589))</f>
        <v>C18820</v>
      </c>
      <c r="D589" s="2" t="str">
        <f aca="false">PROPER(TRIM(Raw_Data!D589))</f>
        <v>Monitor</v>
      </c>
      <c r="E589" s="2" t="n">
        <f aca="false">Raw_Data!E589</f>
        <v>5</v>
      </c>
      <c r="F589" s="4" t="n">
        <f aca="false">ROUND(Raw_Data!F589,2)</f>
        <v>514.6</v>
      </c>
      <c r="G589" s="2" t="str">
        <f aca="false">PROPER(TRIM(Raw_Data!G589))</f>
        <v>347 Main St</v>
      </c>
      <c r="H589" s="2" t="str">
        <f aca="false">PROPER(TRIM(Raw_Data!H589))</f>
        <v>Gift Card</v>
      </c>
      <c r="I589" s="2" t="str">
        <f aca="false">PROPER(TRIM(Raw_Data!I589))</f>
        <v>Delivered</v>
      </c>
      <c r="J589" s="2" t="str">
        <f aca="false">TRIM(UPPER(Raw_Data!J589))</f>
        <v>TRK91547425</v>
      </c>
      <c r="K589" s="2" t="n">
        <f aca="false">Raw_Data!K589</f>
        <v>10</v>
      </c>
      <c r="L589" s="2" t="str">
        <f aca="false">IF(TRIM(Raw_Data!L589)="","No Coupon",TRIM(UPPER(Raw_Data!L589)))</f>
        <v>FREESHIP</v>
      </c>
      <c r="M589" s="2" t="str">
        <f aca="false">PROPER(TRIM(Raw_Data!M589))</f>
        <v>Instagram</v>
      </c>
      <c r="N589" s="4" t="n">
        <f aca="false">ROUND(E589*F589,2)</f>
        <v>2573</v>
      </c>
      <c r="O589" s="2" t="str">
        <f aca="false">IF(COUNTIF($A$2:$A$1201,A589)&gt;1,"DUPLICATE","Unique")</f>
        <v>Unique</v>
      </c>
      <c r="P589" s="2" t="str">
        <f aca="false">IF(L589="","MISSING","OK")</f>
        <v>OK</v>
      </c>
      <c r="Q589" s="2" t="str">
        <f aca="false">IF(ISNUMBER(B589),"OK","BAD DATE")</f>
        <v>OK</v>
      </c>
      <c r="R589" s="2" t="str">
        <f aca="false">IF(ROUND(F589,2)=F589,"OK","FIX")</f>
        <v>OK</v>
      </c>
    </row>
    <row r="590" customFormat="false" ht="15" hidden="false" customHeight="false" outlineLevel="0" collapsed="false">
      <c r="A590" s="2" t="str">
        <f aca="false">TRIM(UPPER(Raw_Data!A590))</f>
        <v>ORD200588</v>
      </c>
      <c r="B590" s="3" t="n">
        <f aca="false">IF(ISNUMBER(Raw_Data!B590),Raw_Data!B590,DATEVALUE(Raw_Data!B590))</f>
        <v>45636</v>
      </c>
      <c r="C590" s="2" t="str">
        <f aca="false">TRIM(UPPER(Raw_Data!C590))</f>
        <v>C61849</v>
      </c>
      <c r="D590" s="2" t="str">
        <f aca="false">PROPER(TRIM(Raw_Data!D590))</f>
        <v>Monitor</v>
      </c>
      <c r="E590" s="2" t="n">
        <f aca="false">Raw_Data!E590</f>
        <v>4</v>
      </c>
      <c r="F590" s="4" t="n">
        <f aca="false">ROUND(Raw_Data!F590,2)</f>
        <v>577.82</v>
      </c>
      <c r="G590" s="2" t="str">
        <f aca="false">PROPER(TRIM(Raw_Data!G590))</f>
        <v>811 Main St</v>
      </c>
      <c r="H590" s="2" t="str">
        <f aca="false">PROPER(TRIM(Raw_Data!H590))</f>
        <v>Credit Card</v>
      </c>
      <c r="I590" s="2" t="str">
        <f aca="false">PROPER(TRIM(Raw_Data!I590))</f>
        <v>Delivered</v>
      </c>
      <c r="J590" s="2" t="str">
        <f aca="false">TRIM(UPPER(Raw_Data!J590))</f>
        <v>TRK47613918</v>
      </c>
      <c r="K590" s="2" t="n">
        <f aca="false">Raw_Data!K590</f>
        <v>9</v>
      </c>
      <c r="L590" s="2" t="str">
        <f aca="false">IF(TRIM(Raw_Data!L590)="","No Coupon",TRIM(UPPER(Raw_Data!L590)))</f>
        <v>No Coupon</v>
      </c>
      <c r="M590" s="2" t="str">
        <f aca="false">PROPER(TRIM(Raw_Data!M590))</f>
        <v>Google</v>
      </c>
      <c r="N590" s="4" t="n">
        <f aca="false">ROUND(E590*F590,2)</f>
        <v>2311.28</v>
      </c>
      <c r="O590" s="2" t="str">
        <f aca="false">IF(COUNTIF($A$2:$A$1201,A590)&gt;1,"DUPLICATE","Unique")</f>
        <v>Unique</v>
      </c>
      <c r="P590" s="2" t="str">
        <f aca="false">IF(L590="","MISSING","OK")</f>
        <v>OK</v>
      </c>
      <c r="Q590" s="2" t="str">
        <f aca="false">IF(ISNUMBER(B590),"OK","BAD DATE")</f>
        <v>OK</v>
      </c>
      <c r="R590" s="2" t="str">
        <f aca="false">IF(ROUND(F590,2)=F590,"OK","FIX")</f>
        <v>OK</v>
      </c>
    </row>
    <row r="591" customFormat="false" ht="15" hidden="false" customHeight="false" outlineLevel="0" collapsed="false">
      <c r="A591" s="2" t="str">
        <f aca="false">TRIM(UPPER(Raw_Data!A591))</f>
        <v>ORD200589</v>
      </c>
      <c r="B591" s="3" t="n">
        <f aca="false">IF(ISNUMBER(Raw_Data!B591),Raw_Data!B591,DATEVALUE(Raw_Data!B591))</f>
        <v>45698</v>
      </c>
      <c r="C591" s="2" t="str">
        <f aca="false">TRIM(UPPER(Raw_Data!C591))</f>
        <v>C84041</v>
      </c>
      <c r="D591" s="2" t="str">
        <f aca="false">PROPER(TRIM(Raw_Data!D591))</f>
        <v>Laptop</v>
      </c>
      <c r="E591" s="2" t="n">
        <f aca="false">Raw_Data!E591</f>
        <v>2</v>
      </c>
      <c r="F591" s="4" t="n">
        <f aca="false">ROUND(Raw_Data!F591,2)</f>
        <v>500.8</v>
      </c>
      <c r="G591" s="2" t="str">
        <f aca="false">PROPER(TRIM(Raw_Data!G591))</f>
        <v>900 Main St</v>
      </c>
      <c r="H591" s="2" t="str">
        <f aca="false">PROPER(TRIM(Raw_Data!H591))</f>
        <v>Cash</v>
      </c>
      <c r="I591" s="2" t="str">
        <f aca="false">PROPER(TRIM(Raw_Data!I591))</f>
        <v>Delivered</v>
      </c>
      <c r="J591" s="2" t="str">
        <f aca="false">TRIM(UPPER(Raw_Data!J591))</f>
        <v>TRK84920444</v>
      </c>
      <c r="K591" s="2" t="n">
        <f aca="false">Raw_Data!K591</f>
        <v>3</v>
      </c>
      <c r="L591" s="2" t="str">
        <f aca="false">IF(TRIM(Raw_Data!L591)="","No Coupon",TRIM(UPPER(Raw_Data!L591)))</f>
        <v>FREESHIP</v>
      </c>
      <c r="M591" s="2" t="str">
        <f aca="false">PROPER(TRIM(Raw_Data!M591))</f>
        <v>Referral</v>
      </c>
      <c r="N591" s="4" t="n">
        <f aca="false">ROUND(E591*F591,2)</f>
        <v>1001.6</v>
      </c>
      <c r="O591" s="2" t="str">
        <f aca="false">IF(COUNTIF($A$2:$A$1201,A591)&gt;1,"DUPLICATE","Unique")</f>
        <v>Unique</v>
      </c>
      <c r="P591" s="2" t="str">
        <f aca="false">IF(L591="","MISSING","OK")</f>
        <v>OK</v>
      </c>
      <c r="Q591" s="2" t="str">
        <f aca="false">IF(ISNUMBER(B591),"OK","BAD DATE")</f>
        <v>OK</v>
      </c>
      <c r="R591" s="2" t="str">
        <f aca="false">IF(ROUND(F591,2)=F591,"OK","FIX")</f>
        <v>OK</v>
      </c>
    </row>
    <row r="592" customFormat="false" ht="15" hidden="false" customHeight="false" outlineLevel="0" collapsed="false">
      <c r="A592" s="2" t="str">
        <f aca="false">TRIM(UPPER(Raw_Data!A592))</f>
        <v>ORD200590</v>
      </c>
      <c r="B592" s="3" t="n">
        <f aca="false">IF(ISNUMBER(Raw_Data!B592),Raw_Data!B592,DATEVALUE(Raw_Data!B592))</f>
        <v>45179</v>
      </c>
      <c r="C592" s="2" t="str">
        <f aca="false">TRIM(UPPER(Raw_Data!C592))</f>
        <v>C55757</v>
      </c>
      <c r="D592" s="2" t="str">
        <f aca="false">PROPER(TRIM(Raw_Data!D592))</f>
        <v>Printer</v>
      </c>
      <c r="E592" s="2" t="n">
        <f aca="false">Raw_Data!E592</f>
        <v>2</v>
      </c>
      <c r="F592" s="4" t="n">
        <f aca="false">ROUND(Raw_Data!F592,2)</f>
        <v>461.13</v>
      </c>
      <c r="G592" s="2" t="str">
        <f aca="false">PROPER(TRIM(Raw_Data!G592))</f>
        <v>175 Main St</v>
      </c>
      <c r="H592" s="2" t="str">
        <f aca="false">PROPER(TRIM(Raw_Data!H592))</f>
        <v>Gift Card</v>
      </c>
      <c r="I592" s="2" t="str">
        <f aca="false">PROPER(TRIM(Raw_Data!I592))</f>
        <v>Returned</v>
      </c>
      <c r="J592" s="2" t="str">
        <f aca="false">TRIM(UPPER(Raw_Data!J592))</f>
        <v>TRK27356242</v>
      </c>
      <c r="K592" s="2" t="n">
        <f aca="false">Raw_Data!K592</f>
        <v>4</v>
      </c>
      <c r="L592" s="2" t="str">
        <f aca="false">IF(TRIM(Raw_Data!L592)="","No Coupon",TRIM(UPPER(Raw_Data!L592)))</f>
        <v>No Coupon</v>
      </c>
      <c r="M592" s="2" t="str">
        <f aca="false">PROPER(TRIM(Raw_Data!M592))</f>
        <v>Email</v>
      </c>
      <c r="N592" s="4" t="n">
        <f aca="false">ROUND(E592*F592,2)</f>
        <v>922.26</v>
      </c>
      <c r="O592" s="2" t="str">
        <f aca="false">IF(COUNTIF($A$2:$A$1201,A592)&gt;1,"DUPLICATE","Unique")</f>
        <v>Unique</v>
      </c>
      <c r="P592" s="2" t="str">
        <f aca="false">IF(L592="","MISSING","OK")</f>
        <v>OK</v>
      </c>
      <c r="Q592" s="2" t="str">
        <f aca="false">IF(ISNUMBER(B592),"OK","BAD DATE")</f>
        <v>OK</v>
      </c>
      <c r="R592" s="2" t="str">
        <f aca="false">IF(ROUND(F592,2)=F592,"OK","FIX")</f>
        <v>OK</v>
      </c>
    </row>
    <row r="593" customFormat="false" ht="15" hidden="false" customHeight="false" outlineLevel="0" collapsed="false">
      <c r="A593" s="2" t="str">
        <f aca="false">TRIM(UPPER(Raw_Data!A593))</f>
        <v>ORD200591</v>
      </c>
      <c r="B593" s="3" t="n">
        <f aca="false">IF(ISNUMBER(Raw_Data!B593),Raw_Data!B593,DATEVALUE(Raw_Data!B593))</f>
        <v>45614</v>
      </c>
      <c r="C593" s="2" t="str">
        <f aca="false">TRIM(UPPER(Raw_Data!C593))</f>
        <v>C18187</v>
      </c>
      <c r="D593" s="2" t="str">
        <f aca="false">PROPER(TRIM(Raw_Data!D593))</f>
        <v>Laptop</v>
      </c>
      <c r="E593" s="2" t="n">
        <f aca="false">Raw_Data!E593</f>
        <v>1</v>
      </c>
      <c r="F593" s="4" t="n">
        <f aca="false">ROUND(Raw_Data!F593,2)</f>
        <v>605.28</v>
      </c>
      <c r="G593" s="2" t="str">
        <f aca="false">PROPER(TRIM(Raw_Data!G593))</f>
        <v>470 Main St</v>
      </c>
      <c r="H593" s="2" t="str">
        <f aca="false">PROPER(TRIM(Raw_Data!H593))</f>
        <v>Gift Card</v>
      </c>
      <c r="I593" s="2" t="str">
        <f aca="false">PROPER(TRIM(Raw_Data!I593))</f>
        <v>Shipped</v>
      </c>
      <c r="J593" s="2" t="str">
        <f aca="false">TRIM(UPPER(Raw_Data!J593))</f>
        <v>TRK50528185</v>
      </c>
      <c r="K593" s="2" t="n">
        <f aca="false">Raw_Data!K593</f>
        <v>3</v>
      </c>
      <c r="L593" s="2" t="str">
        <f aca="false">IF(TRIM(Raw_Data!L593)="","No Coupon",TRIM(UPPER(Raw_Data!L593)))</f>
        <v>FREESHIP</v>
      </c>
      <c r="M593" s="2" t="str">
        <f aca="false">PROPER(TRIM(Raw_Data!M593))</f>
        <v>Referral</v>
      </c>
      <c r="N593" s="4" t="n">
        <f aca="false">ROUND(E593*F593,2)</f>
        <v>605.28</v>
      </c>
      <c r="O593" s="2" t="str">
        <f aca="false">IF(COUNTIF($A$2:$A$1201,A593)&gt;1,"DUPLICATE","Unique")</f>
        <v>Unique</v>
      </c>
      <c r="P593" s="2" t="str">
        <f aca="false">IF(L593="","MISSING","OK")</f>
        <v>OK</v>
      </c>
      <c r="Q593" s="2" t="str">
        <f aca="false">IF(ISNUMBER(B593),"OK","BAD DATE")</f>
        <v>OK</v>
      </c>
      <c r="R593" s="2" t="str">
        <f aca="false">IF(ROUND(F593,2)=F593,"OK","FIX")</f>
        <v>OK</v>
      </c>
    </row>
    <row r="594" customFormat="false" ht="15" hidden="false" customHeight="false" outlineLevel="0" collapsed="false">
      <c r="A594" s="2" t="str">
        <f aca="false">TRIM(UPPER(Raw_Data!A594))</f>
        <v>ORD200592</v>
      </c>
      <c r="B594" s="3" t="n">
        <f aca="false">IF(ISNUMBER(Raw_Data!B594),Raw_Data!B594,DATEVALUE(Raw_Data!B594))</f>
        <v>45405</v>
      </c>
      <c r="C594" s="2" t="str">
        <f aca="false">TRIM(UPPER(Raw_Data!C594))</f>
        <v>C42306</v>
      </c>
      <c r="D594" s="2" t="str">
        <f aca="false">PROPER(TRIM(Raw_Data!D594))</f>
        <v>Phone</v>
      </c>
      <c r="E594" s="2" t="n">
        <f aca="false">Raw_Data!E594</f>
        <v>3</v>
      </c>
      <c r="F594" s="4" t="n">
        <f aca="false">ROUND(Raw_Data!F594,2)</f>
        <v>204.27</v>
      </c>
      <c r="G594" s="2" t="str">
        <f aca="false">PROPER(TRIM(Raw_Data!G594))</f>
        <v>938 Main St</v>
      </c>
      <c r="H594" s="2" t="str">
        <f aca="false">PROPER(TRIM(Raw_Data!H594))</f>
        <v>Online</v>
      </c>
      <c r="I594" s="2" t="str">
        <f aca="false">PROPER(TRIM(Raw_Data!I594))</f>
        <v>Returned</v>
      </c>
      <c r="J594" s="2" t="str">
        <f aca="false">TRIM(UPPER(Raw_Data!J594))</f>
        <v>TRK15499648</v>
      </c>
      <c r="K594" s="2" t="n">
        <f aca="false">Raw_Data!K594</f>
        <v>4</v>
      </c>
      <c r="L594" s="2" t="str">
        <f aca="false">IF(TRIM(Raw_Data!L594)="","No Coupon",TRIM(UPPER(Raw_Data!L594)))</f>
        <v>No Coupon</v>
      </c>
      <c r="M594" s="2" t="str">
        <f aca="false">PROPER(TRIM(Raw_Data!M594))</f>
        <v>Google</v>
      </c>
      <c r="N594" s="4" t="n">
        <f aca="false">ROUND(E594*F594,2)</f>
        <v>612.81</v>
      </c>
      <c r="O594" s="2" t="str">
        <f aca="false">IF(COUNTIF($A$2:$A$1201,A594)&gt;1,"DUPLICATE","Unique")</f>
        <v>Unique</v>
      </c>
      <c r="P594" s="2" t="str">
        <f aca="false">IF(L594="","MISSING","OK")</f>
        <v>OK</v>
      </c>
      <c r="Q594" s="2" t="str">
        <f aca="false">IF(ISNUMBER(B594),"OK","BAD DATE")</f>
        <v>OK</v>
      </c>
      <c r="R594" s="2" t="str">
        <f aca="false">IF(ROUND(F594,2)=F594,"OK","FIX")</f>
        <v>OK</v>
      </c>
    </row>
    <row r="595" customFormat="false" ht="15" hidden="false" customHeight="false" outlineLevel="0" collapsed="false">
      <c r="A595" s="2" t="str">
        <f aca="false">TRIM(UPPER(Raw_Data!A595))</f>
        <v>ORD200593</v>
      </c>
      <c r="B595" s="3" t="n">
        <f aca="false">IF(ISNUMBER(Raw_Data!B595),Raw_Data!B595,DATEVALUE(Raw_Data!B595))</f>
        <v>45140</v>
      </c>
      <c r="C595" s="2" t="str">
        <f aca="false">TRIM(UPPER(Raw_Data!C595))</f>
        <v>C51024</v>
      </c>
      <c r="D595" s="2" t="str">
        <f aca="false">PROPER(TRIM(Raw_Data!D595))</f>
        <v>Monitor</v>
      </c>
      <c r="E595" s="2" t="n">
        <f aca="false">Raw_Data!E595</f>
        <v>1</v>
      </c>
      <c r="F595" s="4" t="n">
        <f aca="false">ROUND(Raw_Data!F595,2)</f>
        <v>489.8</v>
      </c>
      <c r="G595" s="2" t="str">
        <f aca="false">PROPER(TRIM(Raw_Data!G595))</f>
        <v>636 Main St</v>
      </c>
      <c r="H595" s="2" t="str">
        <f aca="false">PROPER(TRIM(Raw_Data!H595))</f>
        <v>Gift Card</v>
      </c>
      <c r="I595" s="2" t="str">
        <f aca="false">PROPER(TRIM(Raw_Data!I595))</f>
        <v>Shipped</v>
      </c>
      <c r="J595" s="2" t="str">
        <f aca="false">TRIM(UPPER(Raw_Data!J595))</f>
        <v>TRK31375086</v>
      </c>
      <c r="K595" s="2" t="n">
        <f aca="false">Raw_Data!K595</f>
        <v>4</v>
      </c>
      <c r="L595" s="2" t="str">
        <f aca="false">IF(TRIM(Raw_Data!L595)="","No Coupon",TRIM(UPPER(Raw_Data!L595)))</f>
        <v>FREESHIP</v>
      </c>
      <c r="M595" s="2" t="str">
        <f aca="false">PROPER(TRIM(Raw_Data!M595))</f>
        <v>Facebook</v>
      </c>
      <c r="N595" s="4" t="n">
        <f aca="false">ROUND(E595*F595,2)</f>
        <v>489.8</v>
      </c>
      <c r="O595" s="2" t="str">
        <f aca="false">IF(COUNTIF($A$2:$A$1201,A595)&gt;1,"DUPLICATE","Unique")</f>
        <v>Unique</v>
      </c>
      <c r="P595" s="2" t="str">
        <f aca="false">IF(L595="","MISSING","OK")</f>
        <v>OK</v>
      </c>
      <c r="Q595" s="2" t="str">
        <f aca="false">IF(ISNUMBER(B595),"OK","BAD DATE")</f>
        <v>OK</v>
      </c>
      <c r="R595" s="2" t="str">
        <f aca="false">IF(ROUND(F595,2)=F595,"OK","FIX")</f>
        <v>OK</v>
      </c>
    </row>
    <row r="596" customFormat="false" ht="15" hidden="false" customHeight="false" outlineLevel="0" collapsed="false">
      <c r="A596" s="2" t="str">
        <f aca="false">TRIM(UPPER(Raw_Data!A596))</f>
        <v>ORD200594</v>
      </c>
      <c r="B596" s="3" t="n">
        <f aca="false">IF(ISNUMBER(Raw_Data!B596),Raw_Data!B596,DATEVALUE(Raw_Data!B596))</f>
        <v>45343</v>
      </c>
      <c r="C596" s="2" t="str">
        <f aca="false">TRIM(UPPER(Raw_Data!C596))</f>
        <v>C40140</v>
      </c>
      <c r="D596" s="2" t="str">
        <f aca="false">PROPER(TRIM(Raw_Data!D596))</f>
        <v>Phone</v>
      </c>
      <c r="E596" s="2" t="n">
        <f aca="false">Raw_Data!E596</f>
        <v>5</v>
      </c>
      <c r="F596" s="4" t="n">
        <f aca="false">ROUND(Raw_Data!F596,2)</f>
        <v>72.64</v>
      </c>
      <c r="G596" s="2" t="str">
        <f aca="false">PROPER(TRIM(Raw_Data!G596))</f>
        <v>598 Main St</v>
      </c>
      <c r="H596" s="2" t="str">
        <f aca="false">PROPER(TRIM(Raw_Data!H596))</f>
        <v>Credit Card</v>
      </c>
      <c r="I596" s="2" t="str">
        <f aca="false">PROPER(TRIM(Raw_Data!I596))</f>
        <v>Cancelled</v>
      </c>
      <c r="J596" s="2" t="str">
        <f aca="false">TRIM(UPPER(Raw_Data!J596))</f>
        <v>TRK12671989</v>
      </c>
      <c r="K596" s="2" t="n">
        <f aca="false">Raw_Data!K596</f>
        <v>7</v>
      </c>
      <c r="L596" s="2" t="str">
        <f aca="false">IF(TRIM(Raw_Data!L596)="","No Coupon",TRIM(UPPER(Raw_Data!L596)))</f>
        <v>No Coupon</v>
      </c>
      <c r="M596" s="2" t="str">
        <f aca="false">PROPER(TRIM(Raw_Data!M596))</f>
        <v>Email</v>
      </c>
      <c r="N596" s="4" t="n">
        <f aca="false">ROUND(E596*F596,2)</f>
        <v>363.2</v>
      </c>
      <c r="O596" s="2" t="str">
        <f aca="false">IF(COUNTIF($A$2:$A$1201,A596)&gt;1,"DUPLICATE","Unique")</f>
        <v>Unique</v>
      </c>
      <c r="P596" s="2" t="str">
        <f aca="false">IF(L596="","MISSING","OK")</f>
        <v>OK</v>
      </c>
      <c r="Q596" s="2" t="str">
        <f aca="false">IF(ISNUMBER(B596),"OK","BAD DATE")</f>
        <v>OK</v>
      </c>
      <c r="R596" s="2" t="str">
        <f aca="false">IF(ROUND(F596,2)=F596,"OK","FIX")</f>
        <v>OK</v>
      </c>
    </row>
    <row r="597" customFormat="false" ht="15" hidden="false" customHeight="false" outlineLevel="0" collapsed="false">
      <c r="A597" s="2" t="str">
        <f aca="false">TRIM(UPPER(Raw_Data!A597))</f>
        <v>ORD200595</v>
      </c>
      <c r="B597" s="3" t="n">
        <f aca="false">IF(ISNUMBER(Raw_Data!B597),Raw_Data!B597,DATEVALUE(Raw_Data!B597))</f>
        <v>45667</v>
      </c>
      <c r="C597" s="2" t="str">
        <f aca="false">TRIM(UPPER(Raw_Data!C597))</f>
        <v>C72596</v>
      </c>
      <c r="D597" s="2" t="str">
        <f aca="false">PROPER(TRIM(Raw_Data!D597))</f>
        <v>Printer</v>
      </c>
      <c r="E597" s="2" t="n">
        <f aca="false">Raw_Data!E597</f>
        <v>2</v>
      </c>
      <c r="F597" s="4" t="n">
        <f aca="false">ROUND(Raw_Data!F597,2)</f>
        <v>385.16</v>
      </c>
      <c r="G597" s="2" t="str">
        <f aca="false">PROPER(TRIM(Raw_Data!G597))</f>
        <v>491 Main St</v>
      </c>
      <c r="H597" s="2" t="str">
        <f aca="false">PROPER(TRIM(Raw_Data!H597))</f>
        <v>Online</v>
      </c>
      <c r="I597" s="2" t="str">
        <f aca="false">PROPER(TRIM(Raw_Data!I597))</f>
        <v>Pending</v>
      </c>
      <c r="J597" s="2" t="str">
        <f aca="false">TRIM(UPPER(Raw_Data!J597))</f>
        <v>TRK83870446</v>
      </c>
      <c r="K597" s="2" t="n">
        <f aca="false">Raw_Data!K597</f>
        <v>7</v>
      </c>
      <c r="L597" s="2" t="str">
        <f aca="false">IF(TRIM(Raw_Data!L597)="","No Coupon",TRIM(UPPER(Raw_Data!L597)))</f>
        <v>SAVE10</v>
      </c>
      <c r="M597" s="2" t="str">
        <f aca="false">PROPER(TRIM(Raw_Data!M597))</f>
        <v>Email</v>
      </c>
      <c r="N597" s="4" t="n">
        <f aca="false">ROUND(E597*F597,2)</f>
        <v>770.32</v>
      </c>
      <c r="O597" s="2" t="str">
        <f aca="false">IF(COUNTIF($A$2:$A$1201,A597)&gt;1,"DUPLICATE","Unique")</f>
        <v>Unique</v>
      </c>
      <c r="P597" s="2" t="str">
        <f aca="false">IF(L597="","MISSING","OK")</f>
        <v>OK</v>
      </c>
      <c r="Q597" s="2" t="str">
        <f aca="false">IF(ISNUMBER(B597),"OK","BAD DATE")</f>
        <v>OK</v>
      </c>
      <c r="R597" s="2" t="str">
        <f aca="false">IF(ROUND(F597,2)=F597,"OK","FIX")</f>
        <v>OK</v>
      </c>
    </row>
    <row r="598" customFormat="false" ht="15" hidden="false" customHeight="false" outlineLevel="0" collapsed="false">
      <c r="A598" s="2" t="str">
        <f aca="false">TRIM(UPPER(Raw_Data!A598))</f>
        <v>ORD200596</v>
      </c>
      <c r="B598" s="3" t="n">
        <f aca="false">IF(ISNUMBER(Raw_Data!B598),Raw_Data!B598,DATEVALUE(Raw_Data!B598))</f>
        <v>45089</v>
      </c>
      <c r="C598" s="2" t="str">
        <f aca="false">TRIM(UPPER(Raw_Data!C598))</f>
        <v>C91805</v>
      </c>
      <c r="D598" s="2" t="str">
        <f aca="false">PROPER(TRIM(Raw_Data!D598))</f>
        <v>Desk</v>
      </c>
      <c r="E598" s="2" t="n">
        <f aca="false">Raw_Data!E598</f>
        <v>3</v>
      </c>
      <c r="F598" s="4" t="n">
        <f aca="false">ROUND(Raw_Data!F598,2)</f>
        <v>606.41</v>
      </c>
      <c r="G598" s="2" t="str">
        <f aca="false">PROPER(TRIM(Raw_Data!G598))</f>
        <v>653 Main St</v>
      </c>
      <c r="H598" s="2" t="str">
        <f aca="false">PROPER(TRIM(Raw_Data!H598))</f>
        <v>Debit Card</v>
      </c>
      <c r="I598" s="2" t="str">
        <f aca="false">PROPER(TRIM(Raw_Data!I598))</f>
        <v>Returned</v>
      </c>
      <c r="J598" s="2" t="str">
        <f aca="false">TRIM(UPPER(Raw_Data!J598))</f>
        <v>TRK34504030</v>
      </c>
      <c r="K598" s="2" t="n">
        <f aca="false">Raw_Data!K598</f>
        <v>7</v>
      </c>
      <c r="L598" s="2" t="str">
        <f aca="false">IF(TRIM(Raw_Data!L598)="","No Coupon",TRIM(UPPER(Raw_Data!L598)))</f>
        <v>FREESHIP</v>
      </c>
      <c r="M598" s="2" t="str">
        <f aca="false">PROPER(TRIM(Raw_Data!M598))</f>
        <v>Facebook</v>
      </c>
      <c r="N598" s="4" t="n">
        <f aca="false">ROUND(E598*F598,2)</f>
        <v>1819.23</v>
      </c>
      <c r="O598" s="2" t="str">
        <f aca="false">IF(COUNTIF($A$2:$A$1201,A598)&gt;1,"DUPLICATE","Unique")</f>
        <v>Unique</v>
      </c>
      <c r="P598" s="2" t="str">
        <f aca="false">IF(L598="","MISSING","OK")</f>
        <v>OK</v>
      </c>
      <c r="Q598" s="2" t="str">
        <f aca="false">IF(ISNUMBER(B598),"OK","BAD DATE")</f>
        <v>OK</v>
      </c>
      <c r="R598" s="2" t="str">
        <f aca="false">IF(ROUND(F598,2)=F598,"OK","FIX")</f>
        <v>OK</v>
      </c>
    </row>
    <row r="599" customFormat="false" ht="15" hidden="false" customHeight="false" outlineLevel="0" collapsed="false">
      <c r="A599" s="2" t="str">
        <f aca="false">TRIM(UPPER(Raw_Data!A599))</f>
        <v>ORD200597</v>
      </c>
      <c r="B599" s="3" t="n">
        <f aca="false">IF(ISNUMBER(Raw_Data!B599),Raw_Data!B599,DATEVALUE(Raw_Data!B599))</f>
        <v>45621</v>
      </c>
      <c r="C599" s="2" t="str">
        <f aca="false">TRIM(UPPER(Raw_Data!C599))</f>
        <v>C40538</v>
      </c>
      <c r="D599" s="2" t="str">
        <f aca="false">PROPER(TRIM(Raw_Data!D599))</f>
        <v>Desk</v>
      </c>
      <c r="E599" s="2" t="n">
        <f aca="false">Raw_Data!E599</f>
        <v>2</v>
      </c>
      <c r="F599" s="4" t="n">
        <f aca="false">ROUND(Raw_Data!F599,2)</f>
        <v>211.82</v>
      </c>
      <c r="G599" s="2" t="str">
        <f aca="false">PROPER(TRIM(Raw_Data!G599))</f>
        <v>700 Main St</v>
      </c>
      <c r="H599" s="2" t="str">
        <f aca="false">PROPER(TRIM(Raw_Data!H599))</f>
        <v>Gift Card</v>
      </c>
      <c r="I599" s="2" t="str">
        <f aca="false">PROPER(TRIM(Raw_Data!I599))</f>
        <v>Cancelled</v>
      </c>
      <c r="J599" s="2" t="str">
        <f aca="false">TRIM(UPPER(Raw_Data!J599))</f>
        <v>TRK29821356</v>
      </c>
      <c r="K599" s="2" t="n">
        <f aca="false">Raw_Data!K599</f>
        <v>4</v>
      </c>
      <c r="L599" s="2" t="str">
        <f aca="false">IF(TRIM(Raw_Data!L599)="","No Coupon",TRIM(UPPER(Raw_Data!L599)))</f>
        <v>WINTER15</v>
      </c>
      <c r="M599" s="2" t="str">
        <f aca="false">PROPER(TRIM(Raw_Data!M599))</f>
        <v>Email</v>
      </c>
      <c r="N599" s="4" t="n">
        <f aca="false">ROUND(E599*F599,2)</f>
        <v>423.64</v>
      </c>
      <c r="O599" s="2" t="str">
        <f aca="false">IF(COUNTIF($A$2:$A$1201,A599)&gt;1,"DUPLICATE","Unique")</f>
        <v>Unique</v>
      </c>
      <c r="P599" s="2" t="str">
        <f aca="false">IF(L599="","MISSING","OK")</f>
        <v>OK</v>
      </c>
      <c r="Q599" s="2" t="str">
        <f aca="false">IF(ISNUMBER(B599),"OK","BAD DATE")</f>
        <v>OK</v>
      </c>
      <c r="R599" s="2" t="str">
        <f aca="false">IF(ROUND(F599,2)=F599,"OK","FIX")</f>
        <v>OK</v>
      </c>
    </row>
    <row r="600" customFormat="false" ht="15" hidden="false" customHeight="false" outlineLevel="0" collapsed="false">
      <c r="A600" s="2" t="str">
        <f aca="false">TRIM(UPPER(Raw_Data!A600))</f>
        <v>ORD200598</v>
      </c>
      <c r="B600" s="3" t="n">
        <f aca="false">IF(ISNUMBER(Raw_Data!B600),Raw_Data!B600,DATEVALUE(Raw_Data!B600))</f>
        <v>45408</v>
      </c>
      <c r="C600" s="2" t="str">
        <f aca="false">TRIM(UPPER(Raw_Data!C600))</f>
        <v>C60329</v>
      </c>
      <c r="D600" s="2" t="str">
        <f aca="false">PROPER(TRIM(Raw_Data!D600))</f>
        <v>Desk</v>
      </c>
      <c r="E600" s="2" t="n">
        <f aca="false">Raw_Data!E600</f>
        <v>5</v>
      </c>
      <c r="F600" s="4" t="n">
        <f aca="false">ROUND(Raw_Data!F600,2)</f>
        <v>495.35</v>
      </c>
      <c r="G600" s="2" t="str">
        <f aca="false">PROPER(TRIM(Raw_Data!G600))</f>
        <v>826 Main St</v>
      </c>
      <c r="H600" s="2" t="str">
        <f aca="false">PROPER(TRIM(Raw_Data!H600))</f>
        <v>Credit Card</v>
      </c>
      <c r="I600" s="2" t="str">
        <f aca="false">PROPER(TRIM(Raw_Data!I600))</f>
        <v>Pending</v>
      </c>
      <c r="J600" s="2" t="str">
        <f aca="false">TRIM(UPPER(Raw_Data!J600))</f>
        <v>TRK59069987</v>
      </c>
      <c r="K600" s="2" t="n">
        <f aca="false">Raw_Data!K600</f>
        <v>5</v>
      </c>
      <c r="L600" s="2" t="str">
        <f aca="false">IF(TRIM(Raw_Data!L600)="","No Coupon",TRIM(UPPER(Raw_Data!L600)))</f>
        <v>No Coupon</v>
      </c>
      <c r="M600" s="2" t="str">
        <f aca="false">PROPER(TRIM(Raw_Data!M600))</f>
        <v>Facebook</v>
      </c>
      <c r="N600" s="4" t="n">
        <f aca="false">ROUND(E600*F600,2)</f>
        <v>2476.75</v>
      </c>
      <c r="O600" s="2" t="str">
        <f aca="false">IF(COUNTIF($A$2:$A$1201,A600)&gt;1,"DUPLICATE","Unique")</f>
        <v>Unique</v>
      </c>
      <c r="P600" s="2" t="str">
        <f aca="false">IF(L600="","MISSING","OK")</f>
        <v>OK</v>
      </c>
      <c r="Q600" s="2" t="str">
        <f aca="false">IF(ISNUMBER(B600),"OK","BAD DATE")</f>
        <v>OK</v>
      </c>
      <c r="R600" s="2" t="str">
        <f aca="false">IF(ROUND(F600,2)=F600,"OK","FIX")</f>
        <v>OK</v>
      </c>
    </row>
    <row r="601" customFormat="false" ht="15" hidden="false" customHeight="false" outlineLevel="0" collapsed="false">
      <c r="A601" s="2" t="str">
        <f aca="false">TRIM(UPPER(Raw_Data!A601))</f>
        <v>ORD200599</v>
      </c>
      <c r="B601" s="3" t="n">
        <f aca="false">IF(ISNUMBER(Raw_Data!B601),Raw_Data!B601,DATEVALUE(Raw_Data!B601))</f>
        <v>45107</v>
      </c>
      <c r="C601" s="2" t="str">
        <f aca="false">TRIM(UPPER(Raw_Data!C601))</f>
        <v>C28740</v>
      </c>
      <c r="D601" s="2" t="str">
        <f aca="false">PROPER(TRIM(Raw_Data!D601))</f>
        <v>Chair</v>
      </c>
      <c r="E601" s="2" t="n">
        <f aca="false">Raw_Data!E601</f>
        <v>3</v>
      </c>
      <c r="F601" s="4" t="n">
        <f aca="false">ROUND(Raw_Data!F601,2)</f>
        <v>556.99</v>
      </c>
      <c r="G601" s="2" t="str">
        <f aca="false">PROPER(TRIM(Raw_Data!G601))</f>
        <v>123 Main St</v>
      </c>
      <c r="H601" s="2" t="str">
        <f aca="false">PROPER(TRIM(Raw_Data!H601))</f>
        <v>Online</v>
      </c>
      <c r="I601" s="2" t="str">
        <f aca="false">PROPER(TRIM(Raw_Data!I601))</f>
        <v>Cancelled</v>
      </c>
      <c r="J601" s="2" t="str">
        <f aca="false">TRIM(UPPER(Raw_Data!J601))</f>
        <v>TRK33642221</v>
      </c>
      <c r="K601" s="2" t="n">
        <f aca="false">Raw_Data!K601</f>
        <v>4</v>
      </c>
      <c r="L601" s="2" t="str">
        <f aca="false">IF(TRIM(Raw_Data!L601)="","No Coupon",TRIM(UPPER(Raw_Data!L601)))</f>
        <v>FREESHIP</v>
      </c>
      <c r="M601" s="2" t="str">
        <f aca="false">PROPER(TRIM(Raw_Data!M601))</f>
        <v>Facebook</v>
      </c>
      <c r="N601" s="4" t="n">
        <f aca="false">ROUND(E601*F601,2)</f>
        <v>1670.97</v>
      </c>
      <c r="O601" s="2" t="str">
        <f aca="false">IF(COUNTIF($A$2:$A$1201,A601)&gt;1,"DUPLICATE","Unique")</f>
        <v>Unique</v>
      </c>
      <c r="P601" s="2" t="str">
        <f aca="false">IF(L601="","MISSING","OK")</f>
        <v>OK</v>
      </c>
      <c r="Q601" s="2" t="str">
        <f aca="false">IF(ISNUMBER(B601),"OK","BAD DATE")</f>
        <v>OK</v>
      </c>
      <c r="R601" s="2" t="str">
        <f aca="false">IF(ROUND(F601,2)=F601,"OK","FIX")</f>
        <v>OK</v>
      </c>
    </row>
    <row r="602" customFormat="false" ht="15" hidden="false" customHeight="false" outlineLevel="0" collapsed="false">
      <c r="A602" s="2" t="str">
        <f aca="false">TRIM(UPPER(Raw_Data!A602))</f>
        <v>ORD200600</v>
      </c>
      <c r="B602" s="3" t="n">
        <f aca="false">IF(ISNUMBER(Raw_Data!B602),Raw_Data!B602,DATEVALUE(Raw_Data!B602))</f>
        <v>45072</v>
      </c>
      <c r="C602" s="2" t="str">
        <f aca="false">TRIM(UPPER(Raw_Data!C602))</f>
        <v>C87051</v>
      </c>
      <c r="D602" s="2" t="str">
        <f aca="false">PROPER(TRIM(Raw_Data!D602))</f>
        <v>Printer</v>
      </c>
      <c r="E602" s="2" t="n">
        <f aca="false">Raw_Data!E602</f>
        <v>1</v>
      </c>
      <c r="F602" s="4" t="n">
        <f aca="false">ROUND(Raw_Data!F602,2)</f>
        <v>72.31</v>
      </c>
      <c r="G602" s="2" t="str">
        <f aca="false">PROPER(TRIM(Raw_Data!G602))</f>
        <v>460 Main St</v>
      </c>
      <c r="H602" s="2" t="str">
        <f aca="false">PROPER(TRIM(Raw_Data!H602))</f>
        <v>Gift Card</v>
      </c>
      <c r="I602" s="2" t="str">
        <f aca="false">PROPER(TRIM(Raw_Data!I602))</f>
        <v>Cancelled</v>
      </c>
      <c r="J602" s="2" t="str">
        <f aca="false">TRIM(UPPER(Raw_Data!J602))</f>
        <v>TRK82056333</v>
      </c>
      <c r="K602" s="2" t="n">
        <f aca="false">Raw_Data!K602</f>
        <v>1</v>
      </c>
      <c r="L602" s="2" t="str">
        <f aca="false">IF(TRIM(Raw_Data!L602)="","No Coupon",TRIM(UPPER(Raw_Data!L602)))</f>
        <v>FREESHIP</v>
      </c>
      <c r="M602" s="2" t="str">
        <f aca="false">PROPER(TRIM(Raw_Data!M602))</f>
        <v>Facebook</v>
      </c>
      <c r="N602" s="4" t="n">
        <f aca="false">ROUND(E602*F602,2)</f>
        <v>72.31</v>
      </c>
      <c r="O602" s="2" t="str">
        <f aca="false">IF(COUNTIF($A$2:$A$1201,A602)&gt;1,"DUPLICATE","Unique")</f>
        <v>Unique</v>
      </c>
      <c r="P602" s="2" t="str">
        <f aca="false">IF(L602="","MISSING","OK")</f>
        <v>OK</v>
      </c>
      <c r="Q602" s="2" t="str">
        <f aca="false">IF(ISNUMBER(B602),"OK","BAD DATE")</f>
        <v>OK</v>
      </c>
      <c r="R602" s="2" t="str">
        <f aca="false">IF(ROUND(F602,2)=F602,"OK","FIX")</f>
        <v>OK</v>
      </c>
    </row>
    <row r="603" customFormat="false" ht="15" hidden="false" customHeight="false" outlineLevel="0" collapsed="false">
      <c r="A603" s="2" t="str">
        <f aca="false">TRIM(UPPER(Raw_Data!A603))</f>
        <v>ORD200601</v>
      </c>
      <c r="B603" s="3" t="n">
        <f aca="false">IF(ISNUMBER(Raw_Data!B603),Raw_Data!B603,DATEVALUE(Raw_Data!B603))</f>
        <v>45201</v>
      </c>
      <c r="C603" s="2" t="str">
        <f aca="false">TRIM(UPPER(Raw_Data!C603))</f>
        <v>C12479</v>
      </c>
      <c r="D603" s="2" t="str">
        <f aca="false">PROPER(TRIM(Raw_Data!D603))</f>
        <v>Monitor</v>
      </c>
      <c r="E603" s="2" t="n">
        <f aca="false">Raw_Data!E603</f>
        <v>5</v>
      </c>
      <c r="F603" s="4" t="n">
        <f aca="false">ROUND(Raw_Data!F603,2)</f>
        <v>24.82</v>
      </c>
      <c r="G603" s="2" t="str">
        <f aca="false">PROPER(TRIM(Raw_Data!G603))</f>
        <v>529 Main St</v>
      </c>
      <c r="H603" s="2" t="str">
        <f aca="false">PROPER(TRIM(Raw_Data!H603))</f>
        <v>Credit Card</v>
      </c>
      <c r="I603" s="2" t="str">
        <f aca="false">PROPER(TRIM(Raw_Data!I603))</f>
        <v>Shipped</v>
      </c>
      <c r="J603" s="2" t="str">
        <f aca="false">TRIM(UPPER(Raw_Data!J603))</f>
        <v>TRK73935314</v>
      </c>
      <c r="K603" s="2" t="n">
        <f aca="false">Raw_Data!K603</f>
        <v>10</v>
      </c>
      <c r="L603" s="2" t="str">
        <f aca="false">IF(TRIM(Raw_Data!L603)="","No Coupon",TRIM(UPPER(Raw_Data!L603)))</f>
        <v>No Coupon</v>
      </c>
      <c r="M603" s="2" t="str">
        <f aca="false">PROPER(TRIM(Raw_Data!M603))</f>
        <v>Referral</v>
      </c>
      <c r="N603" s="4" t="n">
        <f aca="false">ROUND(E603*F603,2)</f>
        <v>124.1</v>
      </c>
      <c r="O603" s="2" t="str">
        <f aca="false">IF(COUNTIF($A$2:$A$1201,A603)&gt;1,"DUPLICATE","Unique")</f>
        <v>Unique</v>
      </c>
      <c r="P603" s="2" t="str">
        <f aca="false">IF(L603="","MISSING","OK")</f>
        <v>OK</v>
      </c>
      <c r="Q603" s="2" t="str">
        <f aca="false">IF(ISNUMBER(B603),"OK","BAD DATE")</f>
        <v>OK</v>
      </c>
      <c r="R603" s="2" t="str">
        <f aca="false">IF(ROUND(F603,2)=F603,"OK","FIX")</f>
        <v>OK</v>
      </c>
    </row>
    <row r="604" customFormat="false" ht="15" hidden="false" customHeight="false" outlineLevel="0" collapsed="false">
      <c r="A604" s="2" t="str">
        <f aca="false">TRIM(UPPER(Raw_Data!A604))</f>
        <v>ORD200602</v>
      </c>
      <c r="B604" s="3" t="n">
        <f aca="false">IF(ISNUMBER(Raw_Data!B604),Raw_Data!B604,DATEVALUE(Raw_Data!B604))</f>
        <v>45356</v>
      </c>
      <c r="C604" s="2" t="str">
        <f aca="false">TRIM(UPPER(Raw_Data!C604))</f>
        <v>C35852</v>
      </c>
      <c r="D604" s="2" t="str">
        <f aca="false">PROPER(TRIM(Raw_Data!D604))</f>
        <v>Tablet</v>
      </c>
      <c r="E604" s="2" t="n">
        <f aca="false">Raw_Data!E604</f>
        <v>4</v>
      </c>
      <c r="F604" s="4" t="n">
        <f aca="false">ROUND(Raw_Data!F604,2)</f>
        <v>26.04</v>
      </c>
      <c r="G604" s="2" t="str">
        <f aca="false">PROPER(TRIM(Raw_Data!G604))</f>
        <v>982 Main St</v>
      </c>
      <c r="H604" s="2" t="str">
        <f aca="false">PROPER(TRIM(Raw_Data!H604))</f>
        <v>Online</v>
      </c>
      <c r="I604" s="2" t="str">
        <f aca="false">PROPER(TRIM(Raw_Data!I604))</f>
        <v>Pending</v>
      </c>
      <c r="J604" s="2" t="str">
        <f aca="false">TRIM(UPPER(Raw_Data!J604))</f>
        <v>TRK64660134</v>
      </c>
      <c r="K604" s="2" t="n">
        <f aca="false">Raw_Data!K604</f>
        <v>5</v>
      </c>
      <c r="L604" s="2" t="str">
        <f aca="false">IF(TRIM(Raw_Data!L604)="","No Coupon",TRIM(UPPER(Raw_Data!L604)))</f>
        <v>SAVE10</v>
      </c>
      <c r="M604" s="2" t="str">
        <f aca="false">PROPER(TRIM(Raw_Data!M604))</f>
        <v>Instagram</v>
      </c>
      <c r="N604" s="4" t="n">
        <f aca="false">ROUND(E604*F604,2)</f>
        <v>104.16</v>
      </c>
      <c r="O604" s="2" t="str">
        <f aca="false">IF(COUNTIF($A$2:$A$1201,A604)&gt;1,"DUPLICATE","Unique")</f>
        <v>Unique</v>
      </c>
      <c r="P604" s="2" t="str">
        <f aca="false">IF(L604="","MISSING","OK")</f>
        <v>OK</v>
      </c>
      <c r="Q604" s="2" t="str">
        <f aca="false">IF(ISNUMBER(B604),"OK","BAD DATE")</f>
        <v>OK</v>
      </c>
      <c r="R604" s="2" t="str">
        <f aca="false">IF(ROUND(F604,2)=F604,"OK","FIX")</f>
        <v>OK</v>
      </c>
    </row>
    <row r="605" customFormat="false" ht="15" hidden="false" customHeight="false" outlineLevel="0" collapsed="false">
      <c r="A605" s="2" t="str">
        <f aca="false">TRIM(UPPER(Raw_Data!A605))</f>
        <v>ORD200603</v>
      </c>
      <c r="B605" s="3" t="n">
        <f aca="false">IF(ISNUMBER(Raw_Data!B605),Raw_Data!B605,DATEVALUE(Raw_Data!B605))</f>
        <v>45569</v>
      </c>
      <c r="C605" s="2" t="str">
        <f aca="false">TRIM(UPPER(Raw_Data!C605))</f>
        <v>C26223</v>
      </c>
      <c r="D605" s="2" t="str">
        <f aca="false">PROPER(TRIM(Raw_Data!D605))</f>
        <v>Tablet</v>
      </c>
      <c r="E605" s="2" t="n">
        <f aca="false">Raw_Data!E605</f>
        <v>1</v>
      </c>
      <c r="F605" s="4" t="n">
        <f aca="false">ROUND(Raw_Data!F605,2)</f>
        <v>657.07</v>
      </c>
      <c r="G605" s="2" t="str">
        <f aca="false">PROPER(TRIM(Raw_Data!G605))</f>
        <v>800 Main St</v>
      </c>
      <c r="H605" s="2" t="str">
        <f aca="false">PROPER(TRIM(Raw_Data!H605))</f>
        <v>Cash</v>
      </c>
      <c r="I605" s="2" t="str">
        <f aca="false">PROPER(TRIM(Raw_Data!I605))</f>
        <v>Pending</v>
      </c>
      <c r="J605" s="2" t="str">
        <f aca="false">TRIM(UPPER(Raw_Data!J605))</f>
        <v>TRK50900547</v>
      </c>
      <c r="K605" s="2" t="n">
        <f aca="false">Raw_Data!K605</f>
        <v>4</v>
      </c>
      <c r="L605" s="2" t="str">
        <f aca="false">IF(TRIM(Raw_Data!L605)="","No Coupon",TRIM(UPPER(Raw_Data!L605)))</f>
        <v>SAVE10</v>
      </c>
      <c r="M605" s="2" t="str">
        <f aca="false">PROPER(TRIM(Raw_Data!M605))</f>
        <v>Google</v>
      </c>
      <c r="N605" s="4" t="n">
        <f aca="false">ROUND(E605*F605,2)</f>
        <v>657.07</v>
      </c>
      <c r="O605" s="2" t="str">
        <f aca="false">IF(COUNTIF($A$2:$A$1201,A605)&gt;1,"DUPLICATE","Unique")</f>
        <v>Unique</v>
      </c>
      <c r="P605" s="2" t="str">
        <f aca="false">IF(L605="","MISSING","OK")</f>
        <v>OK</v>
      </c>
      <c r="Q605" s="2" t="str">
        <f aca="false">IF(ISNUMBER(B605),"OK","BAD DATE")</f>
        <v>OK</v>
      </c>
      <c r="R605" s="2" t="str">
        <f aca="false">IF(ROUND(F605,2)=F605,"OK","FIX")</f>
        <v>OK</v>
      </c>
    </row>
    <row r="606" customFormat="false" ht="15" hidden="false" customHeight="false" outlineLevel="0" collapsed="false">
      <c r="A606" s="2" t="str">
        <f aca="false">TRIM(UPPER(Raw_Data!A606))</f>
        <v>ORD200604</v>
      </c>
      <c r="B606" s="3" t="n">
        <f aca="false">IF(ISNUMBER(Raw_Data!B606),Raw_Data!B606,DATEVALUE(Raw_Data!B606))</f>
        <v>45830</v>
      </c>
      <c r="C606" s="2" t="str">
        <f aca="false">TRIM(UPPER(Raw_Data!C606))</f>
        <v>C99214</v>
      </c>
      <c r="D606" s="2" t="str">
        <f aca="false">PROPER(TRIM(Raw_Data!D606))</f>
        <v>Chair</v>
      </c>
      <c r="E606" s="2" t="n">
        <f aca="false">Raw_Data!E606</f>
        <v>3</v>
      </c>
      <c r="F606" s="4" t="n">
        <f aca="false">ROUND(Raw_Data!F606,2)</f>
        <v>32.62</v>
      </c>
      <c r="G606" s="2" t="str">
        <f aca="false">PROPER(TRIM(Raw_Data!G606))</f>
        <v>252 Main St</v>
      </c>
      <c r="H606" s="2" t="str">
        <f aca="false">PROPER(TRIM(Raw_Data!H606))</f>
        <v>Debit Card</v>
      </c>
      <c r="I606" s="2" t="str">
        <f aca="false">PROPER(TRIM(Raw_Data!I606))</f>
        <v>Delivered</v>
      </c>
      <c r="J606" s="2" t="str">
        <f aca="false">TRIM(UPPER(Raw_Data!J606))</f>
        <v>TRK81368481</v>
      </c>
      <c r="K606" s="2" t="n">
        <f aca="false">Raw_Data!K606</f>
        <v>6</v>
      </c>
      <c r="L606" s="2" t="str">
        <f aca="false">IF(TRIM(Raw_Data!L606)="","No Coupon",TRIM(UPPER(Raw_Data!L606)))</f>
        <v>No Coupon</v>
      </c>
      <c r="M606" s="2" t="str">
        <f aca="false">PROPER(TRIM(Raw_Data!M606))</f>
        <v>Facebook</v>
      </c>
      <c r="N606" s="4" t="n">
        <f aca="false">ROUND(E606*F606,2)</f>
        <v>97.86</v>
      </c>
      <c r="O606" s="2" t="str">
        <f aca="false">IF(COUNTIF($A$2:$A$1201,A606)&gt;1,"DUPLICATE","Unique")</f>
        <v>Unique</v>
      </c>
      <c r="P606" s="2" t="str">
        <f aca="false">IF(L606="","MISSING","OK")</f>
        <v>OK</v>
      </c>
      <c r="Q606" s="2" t="str">
        <f aca="false">IF(ISNUMBER(B606),"OK","BAD DATE")</f>
        <v>OK</v>
      </c>
      <c r="R606" s="2" t="str">
        <f aca="false">IF(ROUND(F606,2)=F606,"OK","FIX")</f>
        <v>OK</v>
      </c>
    </row>
    <row r="607" customFormat="false" ht="15" hidden="false" customHeight="false" outlineLevel="0" collapsed="false">
      <c r="A607" s="2" t="str">
        <f aca="false">TRIM(UPPER(Raw_Data!A607))</f>
        <v>ORD200605</v>
      </c>
      <c r="B607" s="3" t="n">
        <f aca="false">IF(ISNUMBER(Raw_Data!B607),Raw_Data!B607,DATEVALUE(Raw_Data!B607))</f>
        <v>45422</v>
      </c>
      <c r="C607" s="2" t="str">
        <f aca="false">TRIM(UPPER(Raw_Data!C607))</f>
        <v>C49605</v>
      </c>
      <c r="D607" s="2" t="str">
        <f aca="false">PROPER(TRIM(Raw_Data!D607))</f>
        <v>Monitor</v>
      </c>
      <c r="E607" s="2" t="n">
        <f aca="false">Raw_Data!E607</f>
        <v>2</v>
      </c>
      <c r="F607" s="4" t="n">
        <f aca="false">ROUND(Raw_Data!F607,2)</f>
        <v>228.91</v>
      </c>
      <c r="G607" s="2" t="str">
        <f aca="false">PROPER(TRIM(Raw_Data!G607))</f>
        <v>892 Main St</v>
      </c>
      <c r="H607" s="2" t="str">
        <f aca="false">PROPER(TRIM(Raw_Data!H607))</f>
        <v>Debit Card</v>
      </c>
      <c r="I607" s="2" t="str">
        <f aca="false">PROPER(TRIM(Raw_Data!I607))</f>
        <v>Shipped</v>
      </c>
      <c r="J607" s="2" t="str">
        <f aca="false">TRIM(UPPER(Raw_Data!J607))</f>
        <v>TRK95620066</v>
      </c>
      <c r="K607" s="2" t="n">
        <f aca="false">Raw_Data!K607</f>
        <v>4</v>
      </c>
      <c r="L607" s="2" t="str">
        <f aca="false">IF(TRIM(Raw_Data!L607)="","No Coupon",TRIM(UPPER(Raw_Data!L607)))</f>
        <v>SAVE10</v>
      </c>
      <c r="M607" s="2" t="str">
        <f aca="false">PROPER(TRIM(Raw_Data!M607))</f>
        <v>Referral</v>
      </c>
      <c r="N607" s="4" t="n">
        <f aca="false">ROUND(E607*F607,2)</f>
        <v>457.82</v>
      </c>
      <c r="O607" s="2" t="str">
        <f aca="false">IF(COUNTIF($A$2:$A$1201,A607)&gt;1,"DUPLICATE","Unique")</f>
        <v>Unique</v>
      </c>
      <c r="P607" s="2" t="str">
        <f aca="false">IF(L607="","MISSING","OK")</f>
        <v>OK</v>
      </c>
      <c r="Q607" s="2" t="str">
        <f aca="false">IF(ISNUMBER(B607),"OK","BAD DATE")</f>
        <v>OK</v>
      </c>
      <c r="R607" s="2" t="str">
        <f aca="false">IF(ROUND(F607,2)=F607,"OK","FIX")</f>
        <v>OK</v>
      </c>
    </row>
    <row r="608" customFormat="false" ht="15" hidden="false" customHeight="false" outlineLevel="0" collapsed="false">
      <c r="A608" s="2" t="str">
        <f aca="false">TRIM(UPPER(Raw_Data!A608))</f>
        <v>ORD200606</v>
      </c>
      <c r="B608" s="3" t="n">
        <f aca="false">IF(ISNUMBER(Raw_Data!B608),Raw_Data!B608,DATEVALUE(Raw_Data!B608))</f>
        <v>45602</v>
      </c>
      <c r="C608" s="2" t="str">
        <f aca="false">TRIM(UPPER(Raw_Data!C608))</f>
        <v>C85018</v>
      </c>
      <c r="D608" s="2" t="str">
        <f aca="false">PROPER(TRIM(Raw_Data!D608))</f>
        <v>Laptop</v>
      </c>
      <c r="E608" s="2" t="n">
        <f aca="false">Raw_Data!E608</f>
        <v>3</v>
      </c>
      <c r="F608" s="4" t="n">
        <f aca="false">ROUND(Raw_Data!F608,2)</f>
        <v>274.75</v>
      </c>
      <c r="G608" s="2" t="str">
        <f aca="false">PROPER(TRIM(Raw_Data!G608))</f>
        <v>783 Main St</v>
      </c>
      <c r="H608" s="2" t="str">
        <f aca="false">PROPER(TRIM(Raw_Data!H608))</f>
        <v>Cash</v>
      </c>
      <c r="I608" s="2" t="str">
        <f aca="false">PROPER(TRIM(Raw_Data!I608))</f>
        <v>Cancelled</v>
      </c>
      <c r="J608" s="2" t="str">
        <f aca="false">TRIM(UPPER(Raw_Data!J608))</f>
        <v>TRK54128886</v>
      </c>
      <c r="K608" s="2" t="n">
        <f aca="false">Raw_Data!K608</f>
        <v>3</v>
      </c>
      <c r="L608" s="2" t="str">
        <f aca="false">IF(TRIM(Raw_Data!L608)="","No Coupon",TRIM(UPPER(Raw_Data!L608)))</f>
        <v>SAVE10</v>
      </c>
      <c r="M608" s="2" t="str">
        <f aca="false">PROPER(TRIM(Raw_Data!M608))</f>
        <v>Google</v>
      </c>
      <c r="N608" s="4" t="n">
        <f aca="false">ROUND(E608*F608,2)</f>
        <v>824.25</v>
      </c>
      <c r="O608" s="2" t="str">
        <f aca="false">IF(COUNTIF($A$2:$A$1201,A608)&gt;1,"DUPLICATE","Unique")</f>
        <v>Unique</v>
      </c>
      <c r="P608" s="2" t="str">
        <f aca="false">IF(L608="","MISSING","OK")</f>
        <v>OK</v>
      </c>
      <c r="Q608" s="2" t="str">
        <f aca="false">IF(ISNUMBER(B608),"OK","BAD DATE")</f>
        <v>OK</v>
      </c>
      <c r="R608" s="2" t="str">
        <f aca="false">IF(ROUND(F608,2)=F608,"OK","FIX")</f>
        <v>OK</v>
      </c>
    </row>
    <row r="609" customFormat="false" ht="15" hidden="false" customHeight="false" outlineLevel="0" collapsed="false">
      <c r="A609" s="2" t="str">
        <f aca="false">TRIM(UPPER(Raw_Data!A609))</f>
        <v>ORD200607</v>
      </c>
      <c r="B609" s="3" t="n">
        <f aca="false">IF(ISNUMBER(Raw_Data!B609),Raw_Data!B609,DATEVALUE(Raw_Data!B609))</f>
        <v>45808</v>
      </c>
      <c r="C609" s="2" t="str">
        <f aca="false">TRIM(UPPER(Raw_Data!C609))</f>
        <v>C96434</v>
      </c>
      <c r="D609" s="2" t="str">
        <f aca="false">PROPER(TRIM(Raw_Data!D609))</f>
        <v>Printer</v>
      </c>
      <c r="E609" s="2" t="n">
        <f aca="false">Raw_Data!E609</f>
        <v>4</v>
      </c>
      <c r="F609" s="4" t="n">
        <f aca="false">ROUND(Raw_Data!F609,2)</f>
        <v>634.05</v>
      </c>
      <c r="G609" s="2" t="str">
        <f aca="false">PROPER(TRIM(Raw_Data!G609))</f>
        <v>282 Main St</v>
      </c>
      <c r="H609" s="2" t="str">
        <f aca="false">PROPER(TRIM(Raw_Data!H609))</f>
        <v>Cash</v>
      </c>
      <c r="I609" s="2" t="str">
        <f aca="false">PROPER(TRIM(Raw_Data!I609))</f>
        <v>Shipped</v>
      </c>
      <c r="J609" s="2" t="str">
        <f aca="false">TRIM(UPPER(Raw_Data!J609))</f>
        <v>TRK56730647</v>
      </c>
      <c r="K609" s="2" t="n">
        <f aca="false">Raw_Data!K609</f>
        <v>6</v>
      </c>
      <c r="L609" s="2" t="str">
        <f aca="false">IF(TRIM(Raw_Data!L609)="","No Coupon",TRIM(UPPER(Raw_Data!L609)))</f>
        <v>SAVE10</v>
      </c>
      <c r="M609" s="2" t="str">
        <f aca="false">PROPER(TRIM(Raw_Data!M609))</f>
        <v>Google</v>
      </c>
      <c r="N609" s="4" t="n">
        <f aca="false">ROUND(E609*F609,2)</f>
        <v>2536.2</v>
      </c>
      <c r="O609" s="2" t="str">
        <f aca="false">IF(COUNTIF($A$2:$A$1201,A609)&gt;1,"DUPLICATE","Unique")</f>
        <v>Unique</v>
      </c>
      <c r="P609" s="2" t="str">
        <f aca="false">IF(L609="","MISSING","OK")</f>
        <v>OK</v>
      </c>
      <c r="Q609" s="2" t="str">
        <f aca="false">IF(ISNUMBER(B609),"OK","BAD DATE")</f>
        <v>OK</v>
      </c>
      <c r="R609" s="2" t="str">
        <f aca="false">IF(ROUND(F609,2)=F609,"OK","FIX")</f>
        <v>OK</v>
      </c>
    </row>
    <row r="610" customFormat="false" ht="15" hidden="false" customHeight="false" outlineLevel="0" collapsed="false">
      <c r="A610" s="2" t="str">
        <f aca="false">TRIM(UPPER(Raw_Data!A610))</f>
        <v>ORD200608</v>
      </c>
      <c r="B610" s="3" t="n">
        <f aca="false">IF(ISNUMBER(Raw_Data!B610),Raw_Data!B610,DATEVALUE(Raw_Data!B610))</f>
        <v>45497</v>
      </c>
      <c r="C610" s="2" t="str">
        <f aca="false">TRIM(UPPER(Raw_Data!C610))</f>
        <v>C32956</v>
      </c>
      <c r="D610" s="2" t="str">
        <f aca="false">PROPER(TRIM(Raw_Data!D610))</f>
        <v>Laptop</v>
      </c>
      <c r="E610" s="2" t="n">
        <f aca="false">Raw_Data!E610</f>
        <v>5</v>
      </c>
      <c r="F610" s="4" t="n">
        <f aca="false">ROUND(Raw_Data!F610,2)</f>
        <v>543.16</v>
      </c>
      <c r="G610" s="2" t="str">
        <f aca="false">PROPER(TRIM(Raw_Data!G610))</f>
        <v>788 Main St</v>
      </c>
      <c r="H610" s="2" t="str">
        <f aca="false">PROPER(TRIM(Raw_Data!H610))</f>
        <v>Online</v>
      </c>
      <c r="I610" s="2" t="str">
        <f aca="false">PROPER(TRIM(Raw_Data!I610))</f>
        <v>Cancelled</v>
      </c>
      <c r="J610" s="2" t="str">
        <f aca="false">TRIM(UPPER(Raw_Data!J610))</f>
        <v>TRK73140103</v>
      </c>
      <c r="K610" s="2" t="n">
        <f aca="false">Raw_Data!K610</f>
        <v>6</v>
      </c>
      <c r="L610" s="2" t="str">
        <f aca="false">IF(TRIM(Raw_Data!L610)="","No Coupon",TRIM(UPPER(Raw_Data!L610)))</f>
        <v>SAVE10</v>
      </c>
      <c r="M610" s="2" t="str">
        <f aca="false">PROPER(TRIM(Raw_Data!M610))</f>
        <v>Instagram</v>
      </c>
      <c r="N610" s="4" t="n">
        <f aca="false">ROUND(E610*F610,2)</f>
        <v>2715.8</v>
      </c>
      <c r="O610" s="2" t="str">
        <f aca="false">IF(COUNTIF($A$2:$A$1201,A610)&gt;1,"DUPLICATE","Unique")</f>
        <v>Unique</v>
      </c>
      <c r="P610" s="2" t="str">
        <f aca="false">IF(L610="","MISSING","OK")</f>
        <v>OK</v>
      </c>
      <c r="Q610" s="2" t="str">
        <f aca="false">IF(ISNUMBER(B610),"OK","BAD DATE")</f>
        <v>OK</v>
      </c>
      <c r="R610" s="2" t="str">
        <f aca="false">IF(ROUND(F610,2)=F610,"OK","FIX")</f>
        <v>OK</v>
      </c>
    </row>
    <row r="611" customFormat="false" ht="15" hidden="false" customHeight="false" outlineLevel="0" collapsed="false">
      <c r="A611" s="2" t="str">
        <f aca="false">TRIM(UPPER(Raw_Data!A611))</f>
        <v>ORD200609</v>
      </c>
      <c r="B611" s="3" t="n">
        <f aca="false">IF(ISNUMBER(Raw_Data!B611),Raw_Data!B611,DATEVALUE(Raw_Data!B611))</f>
        <v>45684</v>
      </c>
      <c r="C611" s="2" t="str">
        <f aca="false">TRIM(UPPER(Raw_Data!C611))</f>
        <v>C41137</v>
      </c>
      <c r="D611" s="2" t="str">
        <f aca="false">PROPER(TRIM(Raw_Data!D611))</f>
        <v>Chair</v>
      </c>
      <c r="E611" s="2" t="n">
        <f aca="false">Raw_Data!E611</f>
        <v>3</v>
      </c>
      <c r="F611" s="4" t="n">
        <f aca="false">ROUND(Raw_Data!F611,2)</f>
        <v>449.13</v>
      </c>
      <c r="G611" s="2" t="str">
        <f aca="false">PROPER(TRIM(Raw_Data!G611))</f>
        <v>809 Main St</v>
      </c>
      <c r="H611" s="2" t="str">
        <f aca="false">PROPER(TRIM(Raw_Data!H611))</f>
        <v>Cash</v>
      </c>
      <c r="I611" s="2" t="str">
        <f aca="false">PROPER(TRIM(Raw_Data!I611))</f>
        <v>Returned</v>
      </c>
      <c r="J611" s="2" t="str">
        <f aca="false">TRIM(UPPER(Raw_Data!J611))</f>
        <v>TRK52732162</v>
      </c>
      <c r="K611" s="2" t="n">
        <f aca="false">Raw_Data!K611</f>
        <v>5</v>
      </c>
      <c r="L611" s="2" t="str">
        <f aca="false">IF(TRIM(Raw_Data!L611)="","No Coupon",TRIM(UPPER(Raw_Data!L611)))</f>
        <v>WINTER15</v>
      </c>
      <c r="M611" s="2" t="str">
        <f aca="false">PROPER(TRIM(Raw_Data!M611))</f>
        <v>Referral</v>
      </c>
      <c r="N611" s="4" t="n">
        <f aca="false">ROUND(E611*F611,2)</f>
        <v>1347.39</v>
      </c>
      <c r="O611" s="2" t="str">
        <f aca="false">IF(COUNTIF($A$2:$A$1201,A611)&gt;1,"DUPLICATE","Unique")</f>
        <v>Unique</v>
      </c>
      <c r="P611" s="2" t="str">
        <f aca="false">IF(L611="","MISSING","OK")</f>
        <v>OK</v>
      </c>
      <c r="Q611" s="2" t="str">
        <f aca="false">IF(ISNUMBER(B611),"OK","BAD DATE")</f>
        <v>OK</v>
      </c>
      <c r="R611" s="2" t="str">
        <f aca="false">IF(ROUND(F611,2)=F611,"OK","FIX")</f>
        <v>OK</v>
      </c>
    </row>
    <row r="612" customFormat="false" ht="15" hidden="false" customHeight="false" outlineLevel="0" collapsed="false">
      <c r="A612" s="2" t="str">
        <f aca="false">TRIM(UPPER(Raw_Data!A612))</f>
        <v>ORD200610</v>
      </c>
      <c r="B612" s="3" t="n">
        <f aca="false">IF(ISNUMBER(Raw_Data!B612),Raw_Data!B612,DATEVALUE(Raw_Data!B612))</f>
        <v>45459</v>
      </c>
      <c r="C612" s="2" t="str">
        <f aca="false">TRIM(UPPER(Raw_Data!C612))</f>
        <v>C60361</v>
      </c>
      <c r="D612" s="2" t="str">
        <f aca="false">PROPER(TRIM(Raw_Data!D612))</f>
        <v>Desk</v>
      </c>
      <c r="E612" s="2" t="n">
        <f aca="false">Raw_Data!E612</f>
        <v>5</v>
      </c>
      <c r="F612" s="4" t="n">
        <f aca="false">ROUND(Raw_Data!F612,2)</f>
        <v>389.62</v>
      </c>
      <c r="G612" s="2" t="str">
        <f aca="false">PROPER(TRIM(Raw_Data!G612))</f>
        <v>623 Main St</v>
      </c>
      <c r="H612" s="2" t="str">
        <f aca="false">PROPER(TRIM(Raw_Data!H612))</f>
        <v>Cash</v>
      </c>
      <c r="I612" s="2" t="str">
        <f aca="false">PROPER(TRIM(Raw_Data!I612))</f>
        <v>Returned</v>
      </c>
      <c r="J612" s="2" t="str">
        <f aca="false">TRIM(UPPER(Raw_Data!J612))</f>
        <v>TRK83566924</v>
      </c>
      <c r="K612" s="2" t="n">
        <f aca="false">Raw_Data!K612</f>
        <v>7</v>
      </c>
      <c r="L612" s="2" t="str">
        <f aca="false">IF(TRIM(Raw_Data!L612)="","No Coupon",TRIM(UPPER(Raw_Data!L612)))</f>
        <v>FREESHIP</v>
      </c>
      <c r="M612" s="2" t="str">
        <f aca="false">PROPER(TRIM(Raw_Data!M612))</f>
        <v>Facebook</v>
      </c>
      <c r="N612" s="4" t="n">
        <f aca="false">ROUND(E612*F612,2)</f>
        <v>1948.1</v>
      </c>
      <c r="O612" s="2" t="str">
        <f aca="false">IF(COUNTIF($A$2:$A$1201,A612)&gt;1,"DUPLICATE","Unique")</f>
        <v>Unique</v>
      </c>
      <c r="P612" s="2" t="str">
        <f aca="false">IF(L612="","MISSING","OK")</f>
        <v>OK</v>
      </c>
      <c r="Q612" s="2" t="str">
        <f aca="false">IF(ISNUMBER(B612),"OK","BAD DATE")</f>
        <v>OK</v>
      </c>
      <c r="R612" s="2" t="str">
        <f aca="false">IF(ROUND(F612,2)=F612,"OK","FIX")</f>
        <v>OK</v>
      </c>
    </row>
    <row r="613" customFormat="false" ht="15" hidden="false" customHeight="false" outlineLevel="0" collapsed="false">
      <c r="A613" s="2" t="str">
        <f aca="false">TRIM(UPPER(Raw_Data!A613))</f>
        <v>ORD200611</v>
      </c>
      <c r="B613" s="3" t="n">
        <f aca="false">IF(ISNUMBER(Raw_Data!B613),Raw_Data!B613,DATEVALUE(Raw_Data!B613))</f>
        <v>45037</v>
      </c>
      <c r="C613" s="2" t="str">
        <f aca="false">TRIM(UPPER(Raw_Data!C613))</f>
        <v>C36688</v>
      </c>
      <c r="D613" s="2" t="str">
        <f aca="false">PROPER(TRIM(Raw_Data!D613))</f>
        <v>Desk</v>
      </c>
      <c r="E613" s="2" t="n">
        <f aca="false">Raw_Data!E613</f>
        <v>1</v>
      </c>
      <c r="F613" s="4" t="n">
        <f aca="false">ROUND(Raw_Data!F613,2)</f>
        <v>305.17</v>
      </c>
      <c r="G613" s="2" t="str">
        <f aca="false">PROPER(TRIM(Raw_Data!G613))</f>
        <v>700 Main St</v>
      </c>
      <c r="H613" s="2" t="str">
        <f aca="false">PROPER(TRIM(Raw_Data!H613))</f>
        <v>Gift Card</v>
      </c>
      <c r="I613" s="2" t="str">
        <f aca="false">PROPER(TRIM(Raw_Data!I613))</f>
        <v>Returned</v>
      </c>
      <c r="J613" s="2" t="str">
        <f aca="false">TRIM(UPPER(Raw_Data!J613))</f>
        <v>TRK35720426</v>
      </c>
      <c r="K613" s="2" t="n">
        <f aca="false">Raw_Data!K613</f>
        <v>3</v>
      </c>
      <c r="L613" s="2" t="str">
        <f aca="false">IF(TRIM(Raw_Data!L613)="","No Coupon",TRIM(UPPER(Raw_Data!L613)))</f>
        <v>WINTER15</v>
      </c>
      <c r="M613" s="2" t="str">
        <f aca="false">PROPER(TRIM(Raw_Data!M613))</f>
        <v>Referral</v>
      </c>
      <c r="N613" s="4" t="n">
        <f aca="false">ROUND(E613*F613,2)</f>
        <v>305.17</v>
      </c>
      <c r="O613" s="2" t="str">
        <f aca="false">IF(COUNTIF($A$2:$A$1201,A613)&gt;1,"DUPLICATE","Unique")</f>
        <v>Unique</v>
      </c>
      <c r="P613" s="2" t="str">
        <f aca="false">IF(L613="","MISSING","OK")</f>
        <v>OK</v>
      </c>
      <c r="Q613" s="2" t="str">
        <f aca="false">IF(ISNUMBER(B613),"OK","BAD DATE")</f>
        <v>OK</v>
      </c>
      <c r="R613" s="2" t="str">
        <f aca="false">IF(ROUND(F613,2)=F613,"OK","FIX")</f>
        <v>OK</v>
      </c>
    </row>
    <row r="614" customFormat="false" ht="15" hidden="false" customHeight="false" outlineLevel="0" collapsed="false">
      <c r="A614" s="2" t="str">
        <f aca="false">TRIM(UPPER(Raw_Data!A614))</f>
        <v>ORD200612</v>
      </c>
      <c r="B614" s="3" t="n">
        <f aca="false">IF(ISNUMBER(Raw_Data!B614),Raw_Data!B614,DATEVALUE(Raw_Data!B614))</f>
        <v>45079</v>
      </c>
      <c r="C614" s="2" t="str">
        <f aca="false">TRIM(UPPER(Raw_Data!C614))</f>
        <v>C51811</v>
      </c>
      <c r="D614" s="2" t="str">
        <f aca="false">PROPER(TRIM(Raw_Data!D614))</f>
        <v>Chair</v>
      </c>
      <c r="E614" s="2" t="n">
        <f aca="false">Raw_Data!E614</f>
        <v>3</v>
      </c>
      <c r="F614" s="4" t="n">
        <f aca="false">ROUND(Raw_Data!F614,2)</f>
        <v>445.12</v>
      </c>
      <c r="G614" s="2" t="str">
        <f aca="false">PROPER(TRIM(Raw_Data!G614))</f>
        <v>339 Main St</v>
      </c>
      <c r="H614" s="2" t="str">
        <f aca="false">PROPER(TRIM(Raw_Data!H614))</f>
        <v>Gift Card</v>
      </c>
      <c r="I614" s="2" t="str">
        <f aca="false">PROPER(TRIM(Raw_Data!I614))</f>
        <v>Cancelled</v>
      </c>
      <c r="J614" s="2" t="str">
        <f aca="false">TRIM(UPPER(Raw_Data!J614))</f>
        <v>TRK82377939</v>
      </c>
      <c r="K614" s="2" t="n">
        <f aca="false">Raw_Data!K614</f>
        <v>8</v>
      </c>
      <c r="L614" s="2" t="str">
        <f aca="false">IF(TRIM(Raw_Data!L614)="","No Coupon",TRIM(UPPER(Raw_Data!L614)))</f>
        <v>No Coupon</v>
      </c>
      <c r="M614" s="2" t="str">
        <f aca="false">PROPER(TRIM(Raw_Data!M614))</f>
        <v>Google</v>
      </c>
      <c r="N614" s="4" t="n">
        <f aca="false">ROUND(E614*F614,2)</f>
        <v>1335.36</v>
      </c>
      <c r="O614" s="2" t="str">
        <f aca="false">IF(COUNTIF($A$2:$A$1201,A614)&gt;1,"DUPLICATE","Unique")</f>
        <v>Unique</v>
      </c>
      <c r="P614" s="2" t="str">
        <f aca="false">IF(L614="","MISSING","OK")</f>
        <v>OK</v>
      </c>
      <c r="Q614" s="2" t="str">
        <f aca="false">IF(ISNUMBER(B614),"OK","BAD DATE")</f>
        <v>OK</v>
      </c>
      <c r="R614" s="2" t="str">
        <f aca="false">IF(ROUND(F614,2)=F614,"OK","FIX")</f>
        <v>OK</v>
      </c>
    </row>
    <row r="615" customFormat="false" ht="15" hidden="false" customHeight="false" outlineLevel="0" collapsed="false">
      <c r="A615" s="2" t="str">
        <f aca="false">TRIM(UPPER(Raw_Data!A615))</f>
        <v>ORD200613</v>
      </c>
      <c r="B615" s="3" t="n">
        <f aca="false">IF(ISNUMBER(Raw_Data!B615),Raw_Data!B615,DATEVALUE(Raw_Data!B615))</f>
        <v>45645</v>
      </c>
      <c r="C615" s="2" t="str">
        <f aca="false">TRIM(UPPER(Raw_Data!C615))</f>
        <v>C62405</v>
      </c>
      <c r="D615" s="2" t="str">
        <f aca="false">PROPER(TRIM(Raw_Data!D615))</f>
        <v>Laptop</v>
      </c>
      <c r="E615" s="2" t="n">
        <f aca="false">Raw_Data!E615</f>
        <v>2</v>
      </c>
      <c r="F615" s="4" t="n">
        <f aca="false">ROUND(Raw_Data!F615,2)</f>
        <v>230.36</v>
      </c>
      <c r="G615" s="2" t="str">
        <f aca="false">PROPER(TRIM(Raw_Data!G615))</f>
        <v>154 Main St</v>
      </c>
      <c r="H615" s="2" t="str">
        <f aca="false">PROPER(TRIM(Raw_Data!H615))</f>
        <v>Online</v>
      </c>
      <c r="I615" s="2" t="str">
        <f aca="false">PROPER(TRIM(Raw_Data!I615))</f>
        <v>Returned</v>
      </c>
      <c r="J615" s="2" t="str">
        <f aca="false">TRIM(UPPER(Raw_Data!J615))</f>
        <v>TRK14721763</v>
      </c>
      <c r="K615" s="2" t="n">
        <f aca="false">Raw_Data!K615</f>
        <v>4</v>
      </c>
      <c r="L615" s="2" t="str">
        <f aca="false">IF(TRIM(Raw_Data!L615)="","No Coupon",TRIM(UPPER(Raw_Data!L615)))</f>
        <v>WINTER15</v>
      </c>
      <c r="M615" s="2" t="str">
        <f aca="false">PROPER(TRIM(Raw_Data!M615))</f>
        <v>Email</v>
      </c>
      <c r="N615" s="4" t="n">
        <f aca="false">ROUND(E615*F615,2)</f>
        <v>460.72</v>
      </c>
      <c r="O615" s="2" t="str">
        <f aca="false">IF(COUNTIF($A$2:$A$1201,A615)&gt;1,"DUPLICATE","Unique")</f>
        <v>Unique</v>
      </c>
      <c r="P615" s="2" t="str">
        <f aca="false">IF(L615="","MISSING","OK")</f>
        <v>OK</v>
      </c>
      <c r="Q615" s="2" t="str">
        <f aca="false">IF(ISNUMBER(B615),"OK","BAD DATE")</f>
        <v>OK</v>
      </c>
      <c r="R615" s="2" t="str">
        <f aca="false">IF(ROUND(F615,2)=F615,"OK","FIX")</f>
        <v>OK</v>
      </c>
    </row>
    <row r="616" customFormat="false" ht="15" hidden="false" customHeight="false" outlineLevel="0" collapsed="false">
      <c r="A616" s="2" t="str">
        <f aca="false">TRIM(UPPER(Raw_Data!A616))</f>
        <v>ORD200614</v>
      </c>
      <c r="B616" s="3" t="n">
        <f aca="false">IF(ISNUMBER(Raw_Data!B616),Raw_Data!B616,DATEVALUE(Raw_Data!B616))</f>
        <v>45359</v>
      </c>
      <c r="C616" s="2" t="str">
        <f aca="false">TRIM(UPPER(Raw_Data!C616))</f>
        <v>C77363</v>
      </c>
      <c r="D616" s="2" t="str">
        <f aca="false">PROPER(TRIM(Raw_Data!D616))</f>
        <v>Phone</v>
      </c>
      <c r="E616" s="2" t="n">
        <f aca="false">Raw_Data!E616</f>
        <v>1</v>
      </c>
      <c r="F616" s="4" t="n">
        <f aca="false">ROUND(Raw_Data!F616,2)</f>
        <v>96.81</v>
      </c>
      <c r="G616" s="2" t="str">
        <f aca="false">PROPER(TRIM(Raw_Data!G616))</f>
        <v>807 Main St</v>
      </c>
      <c r="H616" s="2" t="str">
        <f aca="false">PROPER(TRIM(Raw_Data!H616))</f>
        <v>Gift Card</v>
      </c>
      <c r="I616" s="2" t="str">
        <f aca="false">PROPER(TRIM(Raw_Data!I616))</f>
        <v>Cancelled</v>
      </c>
      <c r="J616" s="2" t="str">
        <f aca="false">TRIM(UPPER(Raw_Data!J616))</f>
        <v>TRK12439827</v>
      </c>
      <c r="K616" s="2" t="n">
        <f aca="false">Raw_Data!K616</f>
        <v>3</v>
      </c>
      <c r="L616" s="2" t="str">
        <f aca="false">IF(TRIM(Raw_Data!L616)="","No Coupon",TRIM(UPPER(Raw_Data!L616)))</f>
        <v>No Coupon</v>
      </c>
      <c r="M616" s="2" t="str">
        <f aca="false">PROPER(TRIM(Raw_Data!M616))</f>
        <v>Referral</v>
      </c>
      <c r="N616" s="4" t="n">
        <f aca="false">ROUND(E616*F616,2)</f>
        <v>96.81</v>
      </c>
      <c r="O616" s="2" t="str">
        <f aca="false">IF(COUNTIF($A$2:$A$1201,A616)&gt;1,"DUPLICATE","Unique")</f>
        <v>Unique</v>
      </c>
      <c r="P616" s="2" t="str">
        <f aca="false">IF(L616="","MISSING","OK")</f>
        <v>OK</v>
      </c>
      <c r="Q616" s="2" t="str">
        <f aca="false">IF(ISNUMBER(B616),"OK","BAD DATE")</f>
        <v>OK</v>
      </c>
      <c r="R616" s="2" t="str">
        <f aca="false">IF(ROUND(F616,2)=F616,"OK","FIX")</f>
        <v>OK</v>
      </c>
    </row>
    <row r="617" customFormat="false" ht="15" hidden="false" customHeight="false" outlineLevel="0" collapsed="false">
      <c r="A617" s="2" t="str">
        <f aca="false">TRIM(UPPER(Raw_Data!A617))</f>
        <v>ORD200615</v>
      </c>
      <c r="B617" s="3" t="n">
        <f aca="false">IF(ISNUMBER(Raw_Data!B617),Raw_Data!B617,DATEVALUE(Raw_Data!B617))</f>
        <v>45723</v>
      </c>
      <c r="C617" s="2" t="str">
        <f aca="false">TRIM(UPPER(Raw_Data!C617))</f>
        <v>C97218</v>
      </c>
      <c r="D617" s="2" t="str">
        <f aca="false">PROPER(TRIM(Raw_Data!D617))</f>
        <v>Monitor</v>
      </c>
      <c r="E617" s="2" t="n">
        <f aca="false">Raw_Data!E617</f>
        <v>5</v>
      </c>
      <c r="F617" s="4" t="n">
        <f aca="false">ROUND(Raw_Data!F617,2)</f>
        <v>460.14</v>
      </c>
      <c r="G617" s="2" t="str">
        <f aca="false">PROPER(TRIM(Raw_Data!G617))</f>
        <v>252 Main St</v>
      </c>
      <c r="H617" s="2" t="str">
        <f aca="false">PROPER(TRIM(Raw_Data!H617))</f>
        <v>Credit Card</v>
      </c>
      <c r="I617" s="2" t="str">
        <f aca="false">PROPER(TRIM(Raw_Data!I617))</f>
        <v>Returned</v>
      </c>
      <c r="J617" s="2" t="str">
        <f aca="false">TRIM(UPPER(Raw_Data!J617))</f>
        <v>TRK52632065</v>
      </c>
      <c r="K617" s="2" t="n">
        <f aca="false">Raw_Data!K617</f>
        <v>10</v>
      </c>
      <c r="L617" s="2" t="str">
        <f aca="false">IF(TRIM(Raw_Data!L617)="","No Coupon",TRIM(UPPER(Raw_Data!L617)))</f>
        <v>WINTER15</v>
      </c>
      <c r="M617" s="2" t="str">
        <f aca="false">PROPER(TRIM(Raw_Data!M617))</f>
        <v>Facebook</v>
      </c>
      <c r="N617" s="4" t="n">
        <f aca="false">ROUND(E617*F617,2)</f>
        <v>2300.7</v>
      </c>
      <c r="O617" s="2" t="str">
        <f aca="false">IF(COUNTIF($A$2:$A$1201,A617)&gt;1,"DUPLICATE","Unique")</f>
        <v>Unique</v>
      </c>
      <c r="P617" s="2" t="str">
        <f aca="false">IF(L617="","MISSING","OK")</f>
        <v>OK</v>
      </c>
      <c r="Q617" s="2" t="str">
        <f aca="false">IF(ISNUMBER(B617),"OK","BAD DATE")</f>
        <v>OK</v>
      </c>
      <c r="R617" s="2" t="str">
        <f aca="false">IF(ROUND(F617,2)=F617,"OK","FIX")</f>
        <v>OK</v>
      </c>
    </row>
    <row r="618" customFormat="false" ht="15" hidden="false" customHeight="false" outlineLevel="0" collapsed="false">
      <c r="A618" s="2" t="str">
        <f aca="false">TRIM(UPPER(Raw_Data!A618))</f>
        <v>ORD200616</v>
      </c>
      <c r="B618" s="3" t="n">
        <f aca="false">IF(ISNUMBER(Raw_Data!B618),Raw_Data!B618,DATEVALUE(Raw_Data!B618))</f>
        <v>45582</v>
      </c>
      <c r="C618" s="2" t="str">
        <f aca="false">TRIM(UPPER(Raw_Data!C618))</f>
        <v>C43919</v>
      </c>
      <c r="D618" s="2" t="str">
        <f aca="false">PROPER(TRIM(Raw_Data!D618))</f>
        <v>Tablet</v>
      </c>
      <c r="E618" s="2" t="n">
        <f aca="false">Raw_Data!E618</f>
        <v>3</v>
      </c>
      <c r="F618" s="4" t="n">
        <f aca="false">ROUND(Raw_Data!F618,2)</f>
        <v>601.6</v>
      </c>
      <c r="G618" s="2" t="str">
        <f aca="false">PROPER(TRIM(Raw_Data!G618))</f>
        <v>984 Main St</v>
      </c>
      <c r="H618" s="2" t="str">
        <f aca="false">PROPER(TRIM(Raw_Data!H618))</f>
        <v>Credit Card</v>
      </c>
      <c r="I618" s="2" t="str">
        <f aca="false">PROPER(TRIM(Raw_Data!I618))</f>
        <v>Cancelled</v>
      </c>
      <c r="J618" s="2" t="str">
        <f aca="false">TRIM(UPPER(Raw_Data!J618))</f>
        <v>TRK73113192</v>
      </c>
      <c r="K618" s="2" t="n">
        <f aca="false">Raw_Data!K618</f>
        <v>7</v>
      </c>
      <c r="L618" s="2" t="str">
        <f aca="false">IF(TRIM(Raw_Data!L618)="","No Coupon",TRIM(UPPER(Raw_Data!L618)))</f>
        <v>SAVE10</v>
      </c>
      <c r="M618" s="2" t="str">
        <f aca="false">PROPER(TRIM(Raw_Data!M618))</f>
        <v>Facebook</v>
      </c>
      <c r="N618" s="4" t="n">
        <f aca="false">ROUND(E618*F618,2)</f>
        <v>1804.8</v>
      </c>
      <c r="O618" s="2" t="str">
        <f aca="false">IF(COUNTIF($A$2:$A$1201,A618)&gt;1,"DUPLICATE","Unique")</f>
        <v>Unique</v>
      </c>
      <c r="P618" s="2" t="str">
        <f aca="false">IF(L618="","MISSING","OK")</f>
        <v>OK</v>
      </c>
      <c r="Q618" s="2" t="str">
        <f aca="false">IF(ISNUMBER(B618),"OK","BAD DATE")</f>
        <v>OK</v>
      </c>
      <c r="R618" s="2" t="str">
        <f aca="false">IF(ROUND(F618,2)=F618,"OK","FIX")</f>
        <v>OK</v>
      </c>
    </row>
    <row r="619" customFormat="false" ht="15" hidden="false" customHeight="false" outlineLevel="0" collapsed="false">
      <c r="A619" s="2" t="str">
        <f aca="false">TRIM(UPPER(Raw_Data!A619))</f>
        <v>ORD200617</v>
      </c>
      <c r="B619" s="3" t="n">
        <f aca="false">IF(ISNUMBER(Raw_Data!B619),Raw_Data!B619,DATEVALUE(Raw_Data!B619))</f>
        <v>45330</v>
      </c>
      <c r="C619" s="2" t="str">
        <f aca="false">TRIM(UPPER(Raw_Data!C619))</f>
        <v>C57093</v>
      </c>
      <c r="D619" s="2" t="str">
        <f aca="false">PROPER(TRIM(Raw_Data!D619))</f>
        <v>Tablet</v>
      </c>
      <c r="E619" s="2" t="n">
        <f aca="false">Raw_Data!E619</f>
        <v>3</v>
      </c>
      <c r="F619" s="4" t="n">
        <f aca="false">ROUND(Raw_Data!F619,2)</f>
        <v>184.47</v>
      </c>
      <c r="G619" s="2" t="str">
        <f aca="false">PROPER(TRIM(Raw_Data!G619))</f>
        <v>834 Main St</v>
      </c>
      <c r="H619" s="2" t="str">
        <f aca="false">PROPER(TRIM(Raw_Data!H619))</f>
        <v>Online</v>
      </c>
      <c r="I619" s="2" t="str">
        <f aca="false">PROPER(TRIM(Raw_Data!I619))</f>
        <v>Cancelled</v>
      </c>
      <c r="J619" s="2" t="str">
        <f aca="false">TRIM(UPPER(Raw_Data!J619))</f>
        <v>TRK75469057</v>
      </c>
      <c r="K619" s="2" t="n">
        <f aca="false">Raw_Data!K619</f>
        <v>4</v>
      </c>
      <c r="L619" s="2" t="str">
        <f aca="false">IF(TRIM(Raw_Data!L619)="","No Coupon",TRIM(UPPER(Raw_Data!L619)))</f>
        <v>No Coupon</v>
      </c>
      <c r="M619" s="2" t="str">
        <f aca="false">PROPER(TRIM(Raw_Data!M619))</f>
        <v>Referral</v>
      </c>
      <c r="N619" s="4" t="n">
        <f aca="false">ROUND(E619*F619,2)</f>
        <v>553.41</v>
      </c>
      <c r="O619" s="2" t="str">
        <f aca="false">IF(COUNTIF($A$2:$A$1201,A619)&gt;1,"DUPLICATE","Unique")</f>
        <v>Unique</v>
      </c>
      <c r="P619" s="2" t="str">
        <f aca="false">IF(L619="","MISSING","OK")</f>
        <v>OK</v>
      </c>
      <c r="Q619" s="2" t="str">
        <f aca="false">IF(ISNUMBER(B619),"OK","BAD DATE")</f>
        <v>OK</v>
      </c>
      <c r="R619" s="2" t="str">
        <f aca="false">IF(ROUND(F619,2)=F619,"OK","FIX")</f>
        <v>OK</v>
      </c>
    </row>
    <row r="620" customFormat="false" ht="15" hidden="false" customHeight="false" outlineLevel="0" collapsed="false">
      <c r="A620" s="2" t="str">
        <f aca="false">TRIM(UPPER(Raw_Data!A620))</f>
        <v>ORD200618</v>
      </c>
      <c r="B620" s="3" t="n">
        <f aca="false">IF(ISNUMBER(Raw_Data!B620),Raw_Data!B620,DATEVALUE(Raw_Data!B620))</f>
        <v>45538</v>
      </c>
      <c r="C620" s="2" t="str">
        <f aca="false">TRIM(UPPER(Raw_Data!C620))</f>
        <v>C50565</v>
      </c>
      <c r="D620" s="2" t="str">
        <f aca="false">PROPER(TRIM(Raw_Data!D620))</f>
        <v>Tablet</v>
      </c>
      <c r="E620" s="2" t="n">
        <f aca="false">Raw_Data!E620</f>
        <v>1</v>
      </c>
      <c r="F620" s="4" t="n">
        <f aca="false">ROUND(Raw_Data!F620,2)</f>
        <v>411.34</v>
      </c>
      <c r="G620" s="2" t="str">
        <f aca="false">PROPER(TRIM(Raw_Data!G620))</f>
        <v>399 Main St</v>
      </c>
      <c r="H620" s="2" t="str">
        <f aca="false">PROPER(TRIM(Raw_Data!H620))</f>
        <v>Debit Card</v>
      </c>
      <c r="I620" s="2" t="str">
        <f aca="false">PROPER(TRIM(Raw_Data!I620))</f>
        <v>Returned</v>
      </c>
      <c r="J620" s="2" t="str">
        <f aca="false">TRIM(UPPER(Raw_Data!J620))</f>
        <v>TRK97981418</v>
      </c>
      <c r="K620" s="2" t="n">
        <f aca="false">Raw_Data!K620</f>
        <v>5</v>
      </c>
      <c r="L620" s="2" t="str">
        <f aca="false">IF(TRIM(Raw_Data!L620)="","No Coupon",TRIM(UPPER(Raw_Data!L620)))</f>
        <v>No Coupon</v>
      </c>
      <c r="M620" s="2" t="str">
        <f aca="false">PROPER(TRIM(Raw_Data!M620))</f>
        <v>Instagram</v>
      </c>
      <c r="N620" s="4" t="n">
        <f aca="false">ROUND(E620*F620,2)</f>
        <v>411.34</v>
      </c>
      <c r="O620" s="2" t="str">
        <f aca="false">IF(COUNTIF($A$2:$A$1201,A620)&gt;1,"DUPLICATE","Unique")</f>
        <v>Unique</v>
      </c>
      <c r="P620" s="2" t="str">
        <f aca="false">IF(L620="","MISSING","OK")</f>
        <v>OK</v>
      </c>
      <c r="Q620" s="2" t="str">
        <f aca="false">IF(ISNUMBER(B620),"OK","BAD DATE")</f>
        <v>OK</v>
      </c>
      <c r="R620" s="2" t="str">
        <f aca="false">IF(ROUND(F620,2)=F620,"OK","FIX")</f>
        <v>OK</v>
      </c>
    </row>
    <row r="621" customFormat="false" ht="15" hidden="false" customHeight="false" outlineLevel="0" collapsed="false">
      <c r="A621" s="2" t="str">
        <f aca="false">TRIM(UPPER(Raw_Data!A621))</f>
        <v>ORD200619</v>
      </c>
      <c r="B621" s="3" t="n">
        <f aca="false">IF(ISNUMBER(Raw_Data!B621),Raw_Data!B621,DATEVALUE(Raw_Data!B621))</f>
        <v>45489</v>
      </c>
      <c r="C621" s="2" t="str">
        <f aca="false">TRIM(UPPER(Raw_Data!C621))</f>
        <v>C38845</v>
      </c>
      <c r="D621" s="2" t="str">
        <f aca="false">PROPER(TRIM(Raw_Data!D621))</f>
        <v>Laptop</v>
      </c>
      <c r="E621" s="2" t="n">
        <f aca="false">Raw_Data!E621</f>
        <v>1</v>
      </c>
      <c r="F621" s="4" t="n">
        <f aca="false">ROUND(Raw_Data!F621,2)</f>
        <v>532.89</v>
      </c>
      <c r="G621" s="2" t="str">
        <f aca="false">PROPER(TRIM(Raw_Data!G621))</f>
        <v>764 Main St</v>
      </c>
      <c r="H621" s="2" t="str">
        <f aca="false">PROPER(TRIM(Raw_Data!H621))</f>
        <v>Gift Card</v>
      </c>
      <c r="I621" s="2" t="str">
        <f aca="false">PROPER(TRIM(Raw_Data!I621))</f>
        <v>Pending</v>
      </c>
      <c r="J621" s="2" t="str">
        <f aca="false">TRIM(UPPER(Raw_Data!J621))</f>
        <v>TRK47637374</v>
      </c>
      <c r="K621" s="2" t="n">
        <f aca="false">Raw_Data!K621</f>
        <v>2</v>
      </c>
      <c r="L621" s="2" t="str">
        <f aca="false">IF(TRIM(Raw_Data!L621)="","No Coupon",TRIM(UPPER(Raw_Data!L621)))</f>
        <v>No Coupon</v>
      </c>
      <c r="M621" s="2" t="str">
        <f aca="false">PROPER(TRIM(Raw_Data!M621))</f>
        <v>Referral</v>
      </c>
      <c r="N621" s="4" t="n">
        <f aca="false">ROUND(E621*F621,2)</f>
        <v>532.89</v>
      </c>
      <c r="O621" s="2" t="str">
        <f aca="false">IF(COUNTIF($A$2:$A$1201,A621)&gt;1,"DUPLICATE","Unique")</f>
        <v>Unique</v>
      </c>
      <c r="P621" s="2" t="str">
        <f aca="false">IF(L621="","MISSING","OK")</f>
        <v>OK</v>
      </c>
      <c r="Q621" s="2" t="str">
        <f aca="false">IF(ISNUMBER(B621),"OK","BAD DATE")</f>
        <v>OK</v>
      </c>
      <c r="R621" s="2" t="str">
        <f aca="false">IF(ROUND(F621,2)=F621,"OK","FIX")</f>
        <v>OK</v>
      </c>
    </row>
    <row r="622" customFormat="false" ht="15" hidden="false" customHeight="false" outlineLevel="0" collapsed="false">
      <c r="A622" s="2" t="str">
        <f aca="false">TRIM(UPPER(Raw_Data!A622))</f>
        <v>ORD200620</v>
      </c>
      <c r="B622" s="3" t="n">
        <f aca="false">IF(ISNUMBER(Raw_Data!B622),Raw_Data!B622,DATEVALUE(Raw_Data!B622))</f>
        <v>45378</v>
      </c>
      <c r="C622" s="2" t="str">
        <f aca="false">TRIM(UPPER(Raw_Data!C622))</f>
        <v>C84834</v>
      </c>
      <c r="D622" s="2" t="str">
        <f aca="false">PROPER(TRIM(Raw_Data!D622))</f>
        <v>Tablet</v>
      </c>
      <c r="E622" s="2" t="n">
        <f aca="false">Raw_Data!E622</f>
        <v>3</v>
      </c>
      <c r="F622" s="4" t="n">
        <f aca="false">ROUND(Raw_Data!F622,2)</f>
        <v>136.34</v>
      </c>
      <c r="G622" s="2" t="str">
        <f aca="false">PROPER(TRIM(Raw_Data!G622))</f>
        <v>866 Main St</v>
      </c>
      <c r="H622" s="2" t="str">
        <f aca="false">PROPER(TRIM(Raw_Data!H622))</f>
        <v>Debit Card</v>
      </c>
      <c r="I622" s="2" t="str">
        <f aca="false">PROPER(TRIM(Raw_Data!I622))</f>
        <v>Returned</v>
      </c>
      <c r="J622" s="2" t="str">
        <f aca="false">TRIM(UPPER(Raw_Data!J622))</f>
        <v>TRK90136001</v>
      </c>
      <c r="K622" s="2" t="n">
        <f aca="false">Raw_Data!K622</f>
        <v>8</v>
      </c>
      <c r="L622" s="2" t="str">
        <f aca="false">IF(TRIM(Raw_Data!L622)="","No Coupon",TRIM(UPPER(Raw_Data!L622)))</f>
        <v>SAVE10</v>
      </c>
      <c r="M622" s="2" t="str">
        <f aca="false">PROPER(TRIM(Raw_Data!M622))</f>
        <v>Referral</v>
      </c>
      <c r="N622" s="4" t="n">
        <f aca="false">ROUND(E622*F622,2)</f>
        <v>409.02</v>
      </c>
      <c r="O622" s="2" t="str">
        <f aca="false">IF(COUNTIF($A$2:$A$1201,A622)&gt;1,"DUPLICATE","Unique")</f>
        <v>Unique</v>
      </c>
      <c r="P622" s="2" t="str">
        <f aca="false">IF(L622="","MISSING","OK")</f>
        <v>OK</v>
      </c>
      <c r="Q622" s="2" t="str">
        <f aca="false">IF(ISNUMBER(B622),"OK","BAD DATE")</f>
        <v>OK</v>
      </c>
      <c r="R622" s="2" t="str">
        <f aca="false">IF(ROUND(F622,2)=F622,"OK","FIX")</f>
        <v>OK</v>
      </c>
    </row>
    <row r="623" customFormat="false" ht="15" hidden="false" customHeight="false" outlineLevel="0" collapsed="false">
      <c r="A623" s="2" t="str">
        <f aca="false">TRIM(UPPER(Raw_Data!A623))</f>
        <v>ORD200621</v>
      </c>
      <c r="B623" s="3" t="n">
        <f aca="false">IF(ISNUMBER(Raw_Data!B623),Raw_Data!B623,DATEVALUE(Raw_Data!B623))</f>
        <v>45221</v>
      </c>
      <c r="C623" s="2" t="str">
        <f aca="false">TRIM(UPPER(Raw_Data!C623))</f>
        <v>C37455</v>
      </c>
      <c r="D623" s="2" t="str">
        <f aca="false">PROPER(TRIM(Raw_Data!D623))</f>
        <v>Phone</v>
      </c>
      <c r="E623" s="2" t="n">
        <f aca="false">Raw_Data!E623</f>
        <v>5</v>
      </c>
      <c r="F623" s="4" t="n">
        <f aca="false">ROUND(Raw_Data!F623,2)</f>
        <v>476.01</v>
      </c>
      <c r="G623" s="2" t="str">
        <f aca="false">PROPER(TRIM(Raw_Data!G623))</f>
        <v>146 Main St</v>
      </c>
      <c r="H623" s="2" t="str">
        <f aca="false">PROPER(TRIM(Raw_Data!H623))</f>
        <v>Credit Card</v>
      </c>
      <c r="I623" s="2" t="str">
        <f aca="false">PROPER(TRIM(Raw_Data!I623))</f>
        <v>Delivered</v>
      </c>
      <c r="J623" s="2" t="str">
        <f aca="false">TRIM(UPPER(Raw_Data!J623))</f>
        <v>TRK82685594</v>
      </c>
      <c r="K623" s="2" t="n">
        <f aca="false">Raw_Data!K623</f>
        <v>7</v>
      </c>
      <c r="L623" s="2" t="str">
        <f aca="false">IF(TRIM(Raw_Data!L623)="","No Coupon",TRIM(UPPER(Raw_Data!L623)))</f>
        <v>WINTER15</v>
      </c>
      <c r="M623" s="2" t="str">
        <f aca="false">PROPER(TRIM(Raw_Data!M623))</f>
        <v>Google</v>
      </c>
      <c r="N623" s="4" t="n">
        <f aca="false">ROUND(E623*F623,2)</f>
        <v>2380.05</v>
      </c>
      <c r="O623" s="2" t="str">
        <f aca="false">IF(COUNTIF($A$2:$A$1201,A623)&gt;1,"DUPLICATE","Unique")</f>
        <v>Unique</v>
      </c>
      <c r="P623" s="2" t="str">
        <f aca="false">IF(L623="","MISSING","OK")</f>
        <v>OK</v>
      </c>
      <c r="Q623" s="2" t="str">
        <f aca="false">IF(ISNUMBER(B623),"OK","BAD DATE")</f>
        <v>OK</v>
      </c>
      <c r="R623" s="2" t="str">
        <f aca="false">IF(ROUND(F623,2)=F623,"OK","FIX")</f>
        <v>OK</v>
      </c>
    </row>
    <row r="624" customFormat="false" ht="15" hidden="false" customHeight="false" outlineLevel="0" collapsed="false">
      <c r="A624" s="2" t="str">
        <f aca="false">TRIM(UPPER(Raw_Data!A624))</f>
        <v>ORD200622</v>
      </c>
      <c r="B624" s="3" t="n">
        <f aca="false">IF(ISNUMBER(Raw_Data!B624),Raw_Data!B624,DATEVALUE(Raw_Data!B624))</f>
        <v>45598</v>
      </c>
      <c r="C624" s="2" t="str">
        <f aca="false">TRIM(UPPER(Raw_Data!C624))</f>
        <v>C27078</v>
      </c>
      <c r="D624" s="2" t="str">
        <f aca="false">PROPER(TRIM(Raw_Data!D624))</f>
        <v>Desk</v>
      </c>
      <c r="E624" s="2" t="n">
        <f aca="false">Raw_Data!E624</f>
        <v>5</v>
      </c>
      <c r="F624" s="4" t="n">
        <f aca="false">ROUND(Raw_Data!F624,2)</f>
        <v>236.38</v>
      </c>
      <c r="G624" s="2" t="str">
        <f aca="false">PROPER(TRIM(Raw_Data!G624))</f>
        <v>128 Main St</v>
      </c>
      <c r="H624" s="2" t="str">
        <f aca="false">PROPER(TRIM(Raw_Data!H624))</f>
        <v>Credit Card</v>
      </c>
      <c r="I624" s="2" t="str">
        <f aca="false">PROPER(TRIM(Raw_Data!I624))</f>
        <v>Returned</v>
      </c>
      <c r="J624" s="2" t="str">
        <f aca="false">TRIM(UPPER(Raw_Data!J624))</f>
        <v>TRK89314307</v>
      </c>
      <c r="K624" s="2" t="n">
        <f aca="false">Raw_Data!K624</f>
        <v>7</v>
      </c>
      <c r="L624" s="2" t="str">
        <f aca="false">IF(TRIM(Raw_Data!L624)="","No Coupon",TRIM(UPPER(Raw_Data!L624)))</f>
        <v>No Coupon</v>
      </c>
      <c r="M624" s="2" t="str">
        <f aca="false">PROPER(TRIM(Raw_Data!M624))</f>
        <v>Facebook</v>
      </c>
      <c r="N624" s="4" t="n">
        <f aca="false">ROUND(E624*F624,2)</f>
        <v>1181.9</v>
      </c>
      <c r="O624" s="2" t="str">
        <f aca="false">IF(COUNTIF($A$2:$A$1201,A624)&gt;1,"DUPLICATE","Unique")</f>
        <v>Unique</v>
      </c>
      <c r="P624" s="2" t="str">
        <f aca="false">IF(L624="","MISSING","OK")</f>
        <v>OK</v>
      </c>
      <c r="Q624" s="2" t="str">
        <f aca="false">IF(ISNUMBER(B624),"OK","BAD DATE")</f>
        <v>OK</v>
      </c>
      <c r="R624" s="2" t="str">
        <f aca="false">IF(ROUND(F624,2)=F624,"OK","FIX")</f>
        <v>OK</v>
      </c>
    </row>
    <row r="625" customFormat="false" ht="15" hidden="false" customHeight="false" outlineLevel="0" collapsed="false">
      <c r="A625" s="2" t="str">
        <f aca="false">TRIM(UPPER(Raw_Data!A625))</f>
        <v>ORD200623</v>
      </c>
      <c r="B625" s="3" t="n">
        <f aca="false">IF(ISNUMBER(Raw_Data!B625),Raw_Data!B625,DATEVALUE(Raw_Data!B625))</f>
        <v>45093</v>
      </c>
      <c r="C625" s="2" t="str">
        <f aca="false">TRIM(UPPER(Raw_Data!C625))</f>
        <v>C91941</v>
      </c>
      <c r="D625" s="2" t="str">
        <f aca="false">PROPER(TRIM(Raw_Data!D625))</f>
        <v>Printer</v>
      </c>
      <c r="E625" s="2" t="n">
        <f aca="false">Raw_Data!E625</f>
        <v>3</v>
      </c>
      <c r="F625" s="4" t="n">
        <f aca="false">ROUND(Raw_Data!F625,2)</f>
        <v>396</v>
      </c>
      <c r="G625" s="2" t="str">
        <f aca="false">PROPER(TRIM(Raw_Data!G625))</f>
        <v>269 Main St</v>
      </c>
      <c r="H625" s="2" t="str">
        <f aca="false">PROPER(TRIM(Raw_Data!H625))</f>
        <v>Gift Card</v>
      </c>
      <c r="I625" s="2" t="str">
        <f aca="false">PROPER(TRIM(Raw_Data!I625))</f>
        <v>Cancelled</v>
      </c>
      <c r="J625" s="2" t="str">
        <f aca="false">TRIM(UPPER(Raw_Data!J625))</f>
        <v>TRK21330732</v>
      </c>
      <c r="K625" s="2" t="n">
        <f aca="false">Raw_Data!K625</f>
        <v>4</v>
      </c>
      <c r="L625" s="2" t="str">
        <f aca="false">IF(TRIM(Raw_Data!L625)="","No Coupon",TRIM(UPPER(Raw_Data!L625)))</f>
        <v>FREESHIP</v>
      </c>
      <c r="M625" s="2" t="str">
        <f aca="false">PROPER(TRIM(Raw_Data!M625))</f>
        <v>Instagram</v>
      </c>
      <c r="N625" s="4" t="n">
        <f aca="false">ROUND(E625*F625,2)</f>
        <v>1188</v>
      </c>
      <c r="O625" s="2" t="str">
        <f aca="false">IF(COUNTIF($A$2:$A$1201,A625)&gt;1,"DUPLICATE","Unique")</f>
        <v>Unique</v>
      </c>
      <c r="P625" s="2" t="str">
        <f aca="false">IF(L625="","MISSING","OK")</f>
        <v>OK</v>
      </c>
      <c r="Q625" s="2" t="str">
        <f aca="false">IF(ISNUMBER(B625),"OK","BAD DATE")</f>
        <v>OK</v>
      </c>
      <c r="R625" s="2" t="str">
        <f aca="false">IF(ROUND(F625,2)=F625,"OK","FIX")</f>
        <v>OK</v>
      </c>
    </row>
    <row r="626" customFormat="false" ht="15" hidden="false" customHeight="false" outlineLevel="0" collapsed="false">
      <c r="A626" s="2" t="str">
        <f aca="false">TRIM(UPPER(Raw_Data!A626))</f>
        <v>ORD200624</v>
      </c>
      <c r="B626" s="3" t="n">
        <f aca="false">IF(ISNUMBER(Raw_Data!B626),Raw_Data!B626,DATEVALUE(Raw_Data!B626))</f>
        <v>45307</v>
      </c>
      <c r="C626" s="2" t="str">
        <f aca="false">TRIM(UPPER(Raw_Data!C626))</f>
        <v>C25967</v>
      </c>
      <c r="D626" s="2" t="str">
        <f aca="false">PROPER(TRIM(Raw_Data!D626))</f>
        <v>Tablet</v>
      </c>
      <c r="E626" s="2" t="n">
        <f aca="false">Raw_Data!E626</f>
        <v>5</v>
      </c>
      <c r="F626" s="4" t="n">
        <f aca="false">ROUND(Raw_Data!F626,2)</f>
        <v>341.96</v>
      </c>
      <c r="G626" s="2" t="str">
        <f aca="false">PROPER(TRIM(Raw_Data!G626))</f>
        <v>747 Main St</v>
      </c>
      <c r="H626" s="2" t="str">
        <f aca="false">PROPER(TRIM(Raw_Data!H626))</f>
        <v>Debit Card</v>
      </c>
      <c r="I626" s="2" t="str">
        <f aca="false">PROPER(TRIM(Raw_Data!I626))</f>
        <v>Delivered</v>
      </c>
      <c r="J626" s="2" t="str">
        <f aca="false">TRIM(UPPER(Raw_Data!J626))</f>
        <v>TRK88559278</v>
      </c>
      <c r="K626" s="2" t="n">
        <f aca="false">Raw_Data!K626</f>
        <v>6</v>
      </c>
      <c r="L626" s="2" t="str">
        <f aca="false">IF(TRIM(Raw_Data!L626)="","No Coupon",TRIM(UPPER(Raw_Data!L626)))</f>
        <v>No Coupon</v>
      </c>
      <c r="M626" s="2" t="str">
        <f aca="false">PROPER(TRIM(Raw_Data!M626))</f>
        <v>Email</v>
      </c>
      <c r="N626" s="4" t="n">
        <f aca="false">ROUND(E626*F626,2)</f>
        <v>1709.8</v>
      </c>
      <c r="O626" s="2" t="str">
        <f aca="false">IF(COUNTIF($A$2:$A$1201,A626)&gt;1,"DUPLICATE","Unique")</f>
        <v>Unique</v>
      </c>
      <c r="P626" s="2" t="str">
        <f aca="false">IF(L626="","MISSING","OK")</f>
        <v>OK</v>
      </c>
      <c r="Q626" s="2" t="str">
        <f aca="false">IF(ISNUMBER(B626),"OK","BAD DATE")</f>
        <v>OK</v>
      </c>
      <c r="R626" s="2" t="str">
        <f aca="false">IF(ROUND(F626,2)=F626,"OK","FIX")</f>
        <v>OK</v>
      </c>
    </row>
    <row r="627" customFormat="false" ht="15" hidden="false" customHeight="false" outlineLevel="0" collapsed="false">
      <c r="A627" s="2" t="str">
        <f aca="false">TRIM(UPPER(Raw_Data!A627))</f>
        <v>ORD200625</v>
      </c>
      <c r="B627" s="3" t="n">
        <f aca="false">IF(ISNUMBER(Raw_Data!B627),Raw_Data!B627,DATEVALUE(Raw_Data!B627))</f>
        <v>45193</v>
      </c>
      <c r="C627" s="2" t="str">
        <f aca="false">TRIM(UPPER(Raw_Data!C627))</f>
        <v>C22123</v>
      </c>
      <c r="D627" s="2" t="str">
        <f aca="false">PROPER(TRIM(Raw_Data!D627))</f>
        <v>Tablet</v>
      </c>
      <c r="E627" s="2" t="n">
        <f aca="false">Raw_Data!E627</f>
        <v>1</v>
      </c>
      <c r="F627" s="4" t="n">
        <f aca="false">ROUND(Raw_Data!F627,2)</f>
        <v>672.89</v>
      </c>
      <c r="G627" s="2" t="str">
        <f aca="false">PROPER(TRIM(Raw_Data!G627))</f>
        <v>519 Main St</v>
      </c>
      <c r="H627" s="2" t="str">
        <f aca="false">PROPER(TRIM(Raw_Data!H627))</f>
        <v>Credit Card</v>
      </c>
      <c r="I627" s="2" t="str">
        <f aca="false">PROPER(TRIM(Raw_Data!I627))</f>
        <v>Pending</v>
      </c>
      <c r="J627" s="2" t="str">
        <f aca="false">TRIM(UPPER(Raw_Data!J627))</f>
        <v>TRK43250279</v>
      </c>
      <c r="K627" s="2" t="n">
        <f aca="false">Raw_Data!K627</f>
        <v>1</v>
      </c>
      <c r="L627" s="2" t="str">
        <f aca="false">IF(TRIM(Raw_Data!L627)="","No Coupon",TRIM(UPPER(Raw_Data!L627)))</f>
        <v>WINTER15</v>
      </c>
      <c r="M627" s="2" t="str">
        <f aca="false">PROPER(TRIM(Raw_Data!M627))</f>
        <v>Email</v>
      </c>
      <c r="N627" s="4" t="n">
        <f aca="false">ROUND(E627*F627,2)</f>
        <v>672.89</v>
      </c>
      <c r="O627" s="2" t="str">
        <f aca="false">IF(COUNTIF($A$2:$A$1201,A627)&gt;1,"DUPLICATE","Unique")</f>
        <v>Unique</v>
      </c>
      <c r="P627" s="2" t="str">
        <f aca="false">IF(L627="","MISSING","OK")</f>
        <v>OK</v>
      </c>
      <c r="Q627" s="2" t="str">
        <f aca="false">IF(ISNUMBER(B627),"OK","BAD DATE")</f>
        <v>OK</v>
      </c>
      <c r="R627" s="2" t="str">
        <f aca="false">IF(ROUND(F627,2)=F627,"OK","FIX")</f>
        <v>OK</v>
      </c>
    </row>
    <row r="628" customFormat="false" ht="15" hidden="false" customHeight="false" outlineLevel="0" collapsed="false">
      <c r="A628" s="2" t="str">
        <f aca="false">TRIM(UPPER(Raw_Data!A628))</f>
        <v>ORD200626</v>
      </c>
      <c r="B628" s="3" t="n">
        <f aca="false">IF(ISNUMBER(Raw_Data!B628),Raw_Data!B628,DATEVALUE(Raw_Data!B628))</f>
        <v>45352</v>
      </c>
      <c r="C628" s="2" t="str">
        <f aca="false">TRIM(UPPER(Raw_Data!C628))</f>
        <v>C45671</v>
      </c>
      <c r="D628" s="2" t="str">
        <f aca="false">PROPER(TRIM(Raw_Data!D628))</f>
        <v>Tablet</v>
      </c>
      <c r="E628" s="2" t="n">
        <f aca="false">Raw_Data!E628</f>
        <v>2</v>
      </c>
      <c r="F628" s="4" t="n">
        <f aca="false">ROUND(Raw_Data!F628,2)</f>
        <v>657.48</v>
      </c>
      <c r="G628" s="2" t="str">
        <f aca="false">PROPER(TRIM(Raw_Data!G628))</f>
        <v>769 Main St</v>
      </c>
      <c r="H628" s="2" t="str">
        <f aca="false">PROPER(TRIM(Raw_Data!H628))</f>
        <v>Online</v>
      </c>
      <c r="I628" s="2" t="str">
        <f aca="false">PROPER(TRIM(Raw_Data!I628))</f>
        <v>Shipped</v>
      </c>
      <c r="J628" s="2" t="str">
        <f aca="false">TRIM(UPPER(Raw_Data!J628))</f>
        <v>TRK18179773</v>
      </c>
      <c r="K628" s="2" t="n">
        <f aca="false">Raw_Data!K628</f>
        <v>5</v>
      </c>
      <c r="L628" s="2" t="str">
        <f aca="false">IF(TRIM(Raw_Data!L628)="","No Coupon",TRIM(UPPER(Raw_Data!L628)))</f>
        <v>SAVE10</v>
      </c>
      <c r="M628" s="2" t="str">
        <f aca="false">PROPER(TRIM(Raw_Data!M628))</f>
        <v>Referral</v>
      </c>
      <c r="N628" s="4" t="n">
        <f aca="false">ROUND(E628*F628,2)</f>
        <v>1314.96</v>
      </c>
      <c r="O628" s="2" t="str">
        <f aca="false">IF(COUNTIF($A$2:$A$1201,A628)&gt;1,"DUPLICATE","Unique")</f>
        <v>Unique</v>
      </c>
      <c r="P628" s="2" t="str">
        <f aca="false">IF(L628="","MISSING","OK")</f>
        <v>OK</v>
      </c>
      <c r="Q628" s="2" t="str">
        <f aca="false">IF(ISNUMBER(B628),"OK","BAD DATE")</f>
        <v>OK</v>
      </c>
      <c r="R628" s="2" t="str">
        <f aca="false">IF(ROUND(F628,2)=F628,"OK","FIX")</f>
        <v>OK</v>
      </c>
    </row>
    <row r="629" customFormat="false" ht="15" hidden="false" customHeight="false" outlineLevel="0" collapsed="false">
      <c r="A629" s="2" t="str">
        <f aca="false">TRIM(UPPER(Raw_Data!A629))</f>
        <v>ORD200627</v>
      </c>
      <c r="B629" s="3" t="n">
        <f aca="false">IF(ISNUMBER(Raw_Data!B629),Raw_Data!B629,DATEVALUE(Raw_Data!B629))</f>
        <v>45144</v>
      </c>
      <c r="C629" s="2" t="str">
        <f aca="false">TRIM(UPPER(Raw_Data!C629))</f>
        <v>C53334</v>
      </c>
      <c r="D629" s="2" t="str">
        <f aca="false">PROPER(TRIM(Raw_Data!D629))</f>
        <v>Chair</v>
      </c>
      <c r="E629" s="2" t="n">
        <f aca="false">Raw_Data!E629</f>
        <v>3</v>
      </c>
      <c r="F629" s="4" t="n">
        <f aca="false">ROUND(Raw_Data!F629,2)</f>
        <v>498.68</v>
      </c>
      <c r="G629" s="2" t="str">
        <f aca="false">PROPER(TRIM(Raw_Data!G629))</f>
        <v>879 Main St</v>
      </c>
      <c r="H629" s="2" t="str">
        <f aca="false">PROPER(TRIM(Raw_Data!H629))</f>
        <v>Online</v>
      </c>
      <c r="I629" s="2" t="str">
        <f aca="false">PROPER(TRIM(Raw_Data!I629))</f>
        <v>Returned</v>
      </c>
      <c r="J629" s="2" t="str">
        <f aca="false">TRIM(UPPER(Raw_Data!J629))</f>
        <v>TRK31724421</v>
      </c>
      <c r="K629" s="2" t="n">
        <f aca="false">Raw_Data!K629</f>
        <v>4</v>
      </c>
      <c r="L629" s="2" t="str">
        <f aca="false">IF(TRIM(Raw_Data!L629)="","No Coupon",TRIM(UPPER(Raw_Data!L629)))</f>
        <v>FREESHIP</v>
      </c>
      <c r="M629" s="2" t="str">
        <f aca="false">PROPER(TRIM(Raw_Data!M629))</f>
        <v>Email</v>
      </c>
      <c r="N629" s="4" t="n">
        <f aca="false">ROUND(E629*F629,2)</f>
        <v>1496.04</v>
      </c>
      <c r="O629" s="2" t="str">
        <f aca="false">IF(COUNTIF($A$2:$A$1201,A629)&gt;1,"DUPLICATE","Unique")</f>
        <v>Unique</v>
      </c>
      <c r="P629" s="2" t="str">
        <f aca="false">IF(L629="","MISSING","OK")</f>
        <v>OK</v>
      </c>
      <c r="Q629" s="2" t="str">
        <f aca="false">IF(ISNUMBER(B629),"OK","BAD DATE")</f>
        <v>OK</v>
      </c>
      <c r="R629" s="2" t="str">
        <f aca="false">IF(ROUND(F629,2)=F629,"OK","FIX")</f>
        <v>OK</v>
      </c>
    </row>
    <row r="630" customFormat="false" ht="15" hidden="false" customHeight="false" outlineLevel="0" collapsed="false">
      <c r="A630" s="2" t="str">
        <f aca="false">TRIM(UPPER(Raw_Data!A630))</f>
        <v>ORD200628</v>
      </c>
      <c r="B630" s="3" t="n">
        <f aca="false">IF(ISNUMBER(Raw_Data!B630),Raw_Data!B630,DATEVALUE(Raw_Data!B630))</f>
        <v>45011</v>
      </c>
      <c r="C630" s="2" t="str">
        <f aca="false">TRIM(UPPER(Raw_Data!C630))</f>
        <v>C18717</v>
      </c>
      <c r="D630" s="2" t="str">
        <f aca="false">PROPER(TRIM(Raw_Data!D630))</f>
        <v>Printer</v>
      </c>
      <c r="E630" s="2" t="n">
        <f aca="false">Raw_Data!E630</f>
        <v>5</v>
      </c>
      <c r="F630" s="4" t="n">
        <f aca="false">ROUND(Raw_Data!F630,2)</f>
        <v>558.63</v>
      </c>
      <c r="G630" s="2" t="str">
        <f aca="false">PROPER(TRIM(Raw_Data!G630))</f>
        <v>861 Main St</v>
      </c>
      <c r="H630" s="2" t="str">
        <f aca="false">PROPER(TRIM(Raw_Data!H630))</f>
        <v>Cash</v>
      </c>
      <c r="I630" s="2" t="str">
        <f aca="false">PROPER(TRIM(Raw_Data!I630))</f>
        <v>Pending</v>
      </c>
      <c r="J630" s="2" t="str">
        <f aca="false">TRIM(UPPER(Raw_Data!J630))</f>
        <v>TRK58568806</v>
      </c>
      <c r="K630" s="2" t="n">
        <f aca="false">Raw_Data!K630</f>
        <v>8</v>
      </c>
      <c r="L630" s="2" t="str">
        <f aca="false">IF(TRIM(Raw_Data!L630)="","No Coupon",TRIM(UPPER(Raw_Data!L630)))</f>
        <v>FREESHIP</v>
      </c>
      <c r="M630" s="2" t="str">
        <f aca="false">PROPER(TRIM(Raw_Data!M630))</f>
        <v>Referral</v>
      </c>
      <c r="N630" s="4" t="n">
        <f aca="false">ROUND(E630*F630,2)</f>
        <v>2793.15</v>
      </c>
      <c r="O630" s="2" t="str">
        <f aca="false">IF(COUNTIF($A$2:$A$1201,A630)&gt;1,"DUPLICATE","Unique")</f>
        <v>Unique</v>
      </c>
      <c r="P630" s="2" t="str">
        <f aca="false">IF(L630="","MISSING","OK")</f>
        <v>OK</v>
      </c>
      <c r="Q630" s="2" t="str">
        <f aca="false">IF(ISNUMBER(B630),"OK","BAD DATE")</f>
        <v>OK</v>
      </c>
      <c r="R630" s="2" t="str">
        <f aca="false">IF(ROUND(F630,2)=F630,"OK","FIX")</f>
        <v>OK</v>
      </c>
    </row>
    <row r="631" customFormat="false" ht="15" hidden="false" customHeight="false" outlineLevel="0" collapsed="false">
      <c r="A631" s="2" t="str">
        <f aca="false">TRIM(UPPER(Raw_Data!A631))</f>
        <v>ORD200629</v>
      </c>
      <c r="B631" s="3" t="n">
        <f aca="false">IF(ISNUMBER(Raw_Data!B631),Raw_Data!B631,DATEVALUE(Raw_Data!B631))</f>
        <v>45114</v>
      </c>
      <c r="C631" s="2" t="str">
        <f aca="false">TRIM(UPPER(Raw_Data!C631))</f>
        <v>C50137</v>
      </c>
      <c r="D631" s="2" t="str">
        <f aca="false">PROPER(TRIM(Raw_Data!D631))</f>
        <v>Phone</v>
      </c>
      <c r="E631" s="2" t="n">
        <f aca="false">Raw_Data!E631</f>
        <v>3</v>
      </c>
      <c r="F631" s="4" t="n">
        <f aca="false">ROUND(Raw_Data!F631,2)</f>
        <v>19.73</v>
      </c>
      <c r="G631" s="2" t="str">
        <f aca="false">PROPER(TRIM(Raw_Data!G631))</f>
        <v>840 Main St</v>
      </c>
      <c r="H631" s="2" t="str">
        <f aca="false">PROPER(TRIM(Raw_Data!H631))</f>
        <v>Online</v>
      </c>
      <c r="I631" s="2" t="str">
        <f aca="false">PROPER(TRIM(Raw_Data!I631))</f>
        <v>Pending</v>
      </c>
      <c r="J631" s="2" t="str">
        <f aca="false">TRIM(UPPER(Raw_Data!J631))</f>
        <v>TRK91836131</v>
      </c>
      <c r="K631" s="2" t="n">
        <f aca="false">Raw_Data!K631</f>
        <v>3</v>
      </c>
      <c r="L631" s="2" t="str">
        <f aca="false">IF(TRIM(Raw_Data!L631)="","No Coupon",TRIM(UPPER(Raw_Data!L631)))</f>
        <v>No Coupon</v>
      </c>
      <c r="M631" s="2" t="str">
        <f aca="false">PROPER(TRIM(Raw_Data!M631))</f>
        <v>Referral</v>
      </c>
      <c r="N631" s="4" t="n">
        <f aca="false">ROUND(E631*F631,2)</f>
        <v>59.19</v>
      </c>
      <c r="O631" s="2" t="str">
        <f aca="false">IF(COUNTIF($A$2:$A$1201,A631)&gt;1,"DUPLICATE","Unique")</f>
        <v>Unique</v>
      </c>
      <c r="P631" s="2" t="str">
        <f aca="false">IF(L631="","MISSING","OK")</f>
        <v>OK</v>
      </c>
      <c r="Q631" s="2" t="str">
        <f aca="false">IF(ISNUMBER(B631),"OK","BAD DATE")</f>
        <v>OK</v>
      </c>
      <c r="R631" s="2" t="str">
        <f aca="false">IF(ROUND(F631,2)=F631,"OK","FIX")</f>
        <v>OK</v>
      </c>
    </row>
    <row r="632" customFormat="false" ht="15" hidden="false" customHeight="false" outlineLevel="0" collapsed="false">
      <c r="A632" s="2" t="str">
        <f aca="false">TRIM(UPPER(Raw_Data!A632))</f>
        <v>ORD200630</v>
      </c>
      <c r="B632" s="3" t="n">
        <f aca="false">IF(ISNUMBER(Raw_Data!B632),Raw_Data!B632,DATEVALUE(Raw_Data!B632))</f>
        <v>45100</v>
      </c>
      <c r="C632" s="2" t="str">
        <f aca="false">TRIM(UPPER(Raw_Data!C632))</f>
        <v>C51481</v>
      </c>
      <c r="D632" s="2" t="str">
        <f aca="false">PROPER(TRIM(Raw_Data!D632))</f>
        <v>Monitor</v>
      </c>
      <c r="E632" s="2" t="n">
        <f aca="false">Raw_Data!E632</f>
        <v>5</v>
      </c>
      <c r="F632" s="4" t="n">
        <f aca="false">ROUND(Raw_Data!F632,2)</f>
        <v>248.84</v>
      </c>
      <c r="G632" s="2" t="str">
        <f aca="false">PROPER(TRIM(Raw_Data!G632))</f>
        <v>140 Main St</v>
      </c>
      <c r="H632" s="2" t="str">
        <f aca="false">PROPER(TRIM(Raw_Data!H632))</f>
        <v>Debit Card</v>
      </c>
      <c r="I632" s="2" t="str">
        <f aca="false">PROPER(TRIM(Raw_Data!I632))</f>
        <v>Cancelled</v>
      </c>
      <c r="J632" s="2" t="str">
        <f aca="false">TRIM(UPPER(Raw_Data!J632))</f>
        <v>TRK33437701</v>
      </c>
      <c r="K632" s="2" t="n">
        <f aca="false">Raw_Data!K632</f>
        <v>10</v>
      </c>
      <c r="L632" s="2" t="str">
        <f aca="false">IF(TRIM(Raw_Data!L632)="","No Coupon",TRIM(UPPER(Raw_Data!L632)))</f>
        <v>No Coupon</v>
      </c>
      <c r="M632" s="2" t="str">
        <f aca="false">PROPER(TRIM(Raw_Data!M632))</f>
        <v>Instagram</v>
      </c>
      <c r="N632" s="4" t="n">
        <f aca="false">ROUND(E632*F632,2)</f>
        <v>1244.2</v>
      </c>
      <c r="O632" s="2" t="str">
        <f aca="false">IF(COUNTIF($A$2:$A$1201,A632)&gt;1,"DUPLICATE","Unique")</f>
        <v>Unique</v>
      </c>
      <c r="P632" s="2" t="str">
        <f aca="false">IF(L632="","MISSING","OK")</f>
        <v>OK</v>
      </c>
      <c r="Q632" s="2" t="str">
        <f aca="false">IF(ISNUMBER(B632),"OK","BAD DATE")</f>
        <v>OK</v>
      </c>
      <c r="R632" s="2" t="str">
        <f aca="false">IF(ROUND(F632,2)=F632,"OK","FIX")</f>
        <v>OK</v>
      </c>
    </row>
    <row r="633" customFormat="false" ht="15" hidden="false" customHeight="false" outlineLevel="0" collapsed="false">
      <c r="A633" s="2" t="str">
        <f aca="false">TRIM(UPPER(Raw_Data!A633))</f>
        <v>ORD200631</v>
      </c>
      <c r="B633" s="3" t="n">
        <f aca="false">IF(ISNUMBER(Raw_Data!B633),Raw_Data!B633,DATEVALUE(Raw_Data!B633))</f>
        <v>45535</v>
      </c>
      <c r="C633" s="2" t="str">
        <f aca="false">TRIM(UPPER(Raw_Data!C633))</f>
        <v>C99128</v>
      </c>
      <c r="D633" s="2" t="str">
        <f aca="false">PROPER(TRIM(Raw_Data!D633))</f>
        <v>Chair</v>
      </c>
      <c r="E633" s="2" t="n">
        <f aca="false">Raw_Data!E633</f>
        <v>3</v>
      </c>
      <c r="F633" s="4" t="n">
        <f aca="false">ROUND(Raw_Data!F633,2)</f>
        <v>46.11</v>
      </c>
      <c r="G633" s="2" t="str">
        <f aca="false">PROPER(TRIM(Raw_Data!G633))</f>
        <v>360 Main St</v>
      </c>
      <c r="H633" s="2" t="str">
        <f aca="false">PROPER(TRIM(Raw_Data!H633))</f>
        <v>Gift Card</v>
      </c>
      <c r="I633" s="2" t="str">
        <f aca="false">PROPER(TRIM(Raw_Data!I633))</f>
        <v>Returned</v>
      </c>
      <c r="J633" s="2" t="str">
        <f aca="false">TRIM(UPPER(Raw_Data!J633))</f>
        <v>TRK32426808</v>
      </c>
      <c r="K633" s="2" t="n">
        <f aca="false">Raw_Data!K633</f>
        <v>5</v>
      </c>
      <c r="L633" s="2" t="str">
        <f aca="false">IF(TRIM(Raw_Data!L633)="","No Coupon",TRIM(UPPER(Raw_Data!L633)))</f>
        <v>WINTER15</v>
      </c>
      <c r="M633" s="2" t="str">
        <f aca="false">PROPER(TRIM(Raw_Data!M633))</f>
        <v>Referral</v>
      </c>
      <c r="N633" s="4" t="n">
        <f aca="false">ROUND(E633*F633,2)</f>
        <v>138.33</v>
      </c>
      <c r="O633" s="2" t="str">
        <f aca="false">IF(COUNTIF($A$2:$A$1201,A633)&gt;1,"DUPLICATE","Unique")</f>
        <v>Unique</v>
      </c>
      <c r="P633" s="2" t="str">
        <f aca="false">IF(L633="","MISSING","OK")</f>
        <v>OK</v>
      </c>
      <c r="Q633" s="2" t="str">
        <f aca="false">IF(ISNUMBER(B633),"OK","BAD DATE")</f>
        <v>OK</v>
      </c>
      <c r="R633" s="2" t="str">
        <f aca="false">IF(ROUND(F633,2)=F633,"OK","FIX")</f>
        <v>OK</v>
      </c>
    </row>
    <row r="634" customFormat="false" ht="15" hidden="false" customHeight="false" outlineLevel="0" collapsed="false">
      <c r="A634" s="2" t="str">
        <f aca="false">TRIM(UPPER(Raw_Data!A634))</f>
        <v>ORD200632</v>
      </c>
      <c r="B634" s="3" t="n">
        <f aca="false">IF(ISNUMBER(Raw_Data!B634),Raw_Data!B634,DATEVALUE(Raw_Data!B634))</f>
        <v>45048</v>
      </c>
      <c r="C634" s="2" t="str">
        <f aca="false">TRIM(UPPER(Raw_Data!C634))</f>
        <v>C67260</v>
      </c>
      <c r="D634" s="2" t="str">
        <f aca="false">PROPER(TRIM(Raw_Data!D634))</f>
        <v>Laptop</v>
      </c>
      <c r="E634" s="2" t="n">
        <f aca="false">Raw_Data!E634</f>
        <v>5</v>
      </c>
      <c r="F634" s="4" t="n">
        <f aca="false">ROUND(Raw_Data!F634,2)</f>
        <v>678.16</v>
      </c>
      <c r="G634" s="2" t="str">
        <f aca="false">PROPER(TRIM(Raw_Data!G634))</f>
        <v>463 Main St</v>
      </c>
      <c r="H634" s="2" t="str">
        <f aca="false">PROPER(TRIM(Raw_Data!H634))</f>
        <v>Gift Card</v>
      </c>
      <c r="I634" s="2" t="str">
        <f aca="false">PROPER(TRIM(Raw_Data!I634))</f>
        <v>Delivered</v>
      </c>
      <c r="J634" s="2" t="str">
        <f aca="false">TRIM(UPPER(Raw_Data!J634))</f>
        <v>TRK38229104</v>
      </c>
      <c r="K634" s="2" t="n">
        <f aca="false">Raw_Data!K634</f>
        <v>7</v>
      </c>
      <c r="L634" s="2" t="str">
        <f aca="false">IF(TRIM(Raw_Data!L634)="","No Coupon",TRIM(UPPER(Raw_Data!L634)))</f>
        <v>WINTER15</v>
      </c>
      <c r="M634" s="2" t="str">
        <f aca="false">PROPER(TRIM(Raw_Data!M634))</f>
        <v>Facebook</v>
      </c>
      <c r="N634" s="4" t="n">
        <f aca="false">ROUND(E634*F634,2)</f>
        <v>3390.8</v>
      </c>
      <c r="O634" s="2" t="str">
        <f aca="false">IF(COUNTIF($A$2:$A$1201,A634)&gt;1,"DUPLICATE","Unique")</f>
        <v>Unique</v>
      </c>
      <c r="P634" s="2" t="str">
        <f aca="false">IF(L634="","MISSING","OK")</f>
        <v>OK</v>
      </c>
      <c r="Q634" s="2" t="str">
        <f aca="false">IF(ISNUMBER(B634),"OK","BAD DATE")</f>
        <v>OK</v>
      </c>
      <c r="R634" s="2" t="str">
        <f aca="false">IF(ROUND(F634,2)=F634,"OK","FIX")</f>
        <v>OK</v>
      </c>
    </row>
    <row r="635" customFormat="false" ht="15" hidden="false" customHeight="false" outlineLevel="0" collapsed="false">
      <c r="A635" s="2" t="str">
        <f aca="false">TRIM(UPPER(Raw_Data!A635))</f>
        <v>ORD200633</v>
      </c>
      <c r="B635" s="3" t="n">
        <f aca="false">IF(ISNUMBER(Raw_Data!B635),Raw_Data!B635,DATEVALUE(Raw_Data!B635))</f>
        <v>45392</v>
      </c>
      <c r="C635" s="2" t="str">
        <f aca="false">TRIM(UPPER(Raw_Data!C635))</f>
        <v>C79533</v>
      </c>
      <c r="D635" s="2" t="str">
        <f aca="false">PROPER(TRIM(Raw_Data!D635))</f>
        <v>Laptop</v>
      </c>
      <c r="E635" s="2" t="n">
        <f aca="false">Raw_Data!E635</f>
        <v>5</v>
      </c>
      <c r="F635" s="4" t="n">
        <f aca="false">ROUND(Raw_Data!F635,2)</f>
        <v>601.72</v>
      </c>
      <c r="G635" s="2" t="str">
        <f aca="false">PROPER(TRIM(Raw_Data!G635))</f>
        <v>921 Main St</v>
      </c>
      <c r="H635" s="2" t="str">
        <f aca="false">PROPER(TRIM(Raw_Data!H635))</f>
        <v>Gift Card</v>
      </c>
      <c r="I635" s="2" t="str">
        <f aca="false">PROPER(TRIM(Raw_Data!I635))</f>
        <v>Cancelled</v>
      </c>
      <c r="J635" s="2" t="str">
        <f aca="false">TRIM(UPPER(Raw_Data!J635))</f>
        <v>TRK54711422</v>
      </c>
      <c r="K635" s="2" t="n">
        <f aca="false">Raw_Data!K635</f>
        <v>5</v>
      </c>
      <c r="L635" s="2" t="str">
        <f aca="false">IF(TRIM(Raw_Data!L635)="","No Coupon",TRIM(UPPER(Raw_Data!L635)))</f>
        <v>WINTER15</v>
      </c>
      <c r="M635" s="2" t="str">
        <f aca="false">PROPER(TRIM(Raw_Data!M635))</f>
        <v>Instagram</v>
      </c>
      <c r="N635" s="4" t="n">
        <f aca="false">ROUND(E635*F635,2)</f>
        <v>3008.6</v>
      </c>
      <c r="O635" s="2" t="str">
        <f aca="false">IF(COUNTIF($A$2:$A$1201,A635)&gt;1,"DUPLICATE","Unique")</f>
        <v>Unique</v>
      </c>
      <c r="P635" s="2" t="str">
        <f aca="false">IF(L635="","MISSING","OK")</f>
        <v>OK</v>
      </c>
      <c r="Q635" s="2" t="str">
        <f aca="false">IF(ISNUMBER(B635),"OK","BAD DATE")</f>
        <v>OK</v>
      </c>
      <c r="R635" s="2" t="str">
        <f aca="false">IF(ROUND(F635,2)=F635,"OK","FIX")</f>
        <v>OK</v>
      </c>
    </row>
    <row r="636" customFormat="false" ht="15" hidden="false" customHeight="false" outlineLevel="0" collapsed="false">
      <c r="A636" s="2" t="str">
        <f aca="false">TRIM(UPPER(Raw_Data!A636))</f>
        <v>ORD200634</v>
      </c>
      <c r="B636" s="3" t="n">
        <f aca="false">IF(ISNUMBER(Raw_Data!B636),Raw_Data!B636,DATEVALUE(Raw_Data!B636))</f>
        <v>45407</v>
      </c>
      <c r="C636" s="2" t="str">
        <f aca="false">TRIM(UPPER(Raw_Data!C636))</f>
        <v>C66906</v>
      </c>
      <c r="D636" s="2" t="str">
        <f aca="false">PROPER(TRIM(Raw_Data!D636))</f>
        <v>Printer</v>
      </c>
      <c r="E636" s="2" t="n">
        <f aca="false">Raw_Data!E636</f>
        <v>2</v>
      </c>
      <c r="F636" s="4" t="n">
        <f aca="false">ROUND(Raw_Data!F636,2)</f>
        <v>259.32</v>
      </c>
      <c r="G636" s="2" t="str">
        <f aca="false">PROPER(TRIM(Raw_Data!G636))</f>
        <v>117 Main St</v>
      </c>
      <c r="H636" s="2" t="str">
        <f aca="false">PROPER(TRIM(Raw_Data!H636))</f>
        <v>Gift Card</v>
      </c>
      <c r="I636" s="2" t="str">
        <f aca="false">PROPER(TRIM(Raw_Data!I636))</f>
        <v>Delivered</v>
      </c>
      <c r="J636" s="2" t="str">
        <f aca="false">TRIM(UPPER(Raw_Data!J636))</f>
        <v>TRK31633755</v>
      </c>
      <c r="K636" s="2" t="n">
        <f aca="false">Raw_Data!K636</f>
        <v>2</v>
      </c>
      <c r="L636" s="2" t="str">
        <f aca="false">IF(TRIM(Raw_Data!L636)="","No Coupon",TRIM(UPPER(Raw_Data!L636)))</f>
        <v>WINTER15</v>
      </c>
      <c r="M636" s="2" t="str">
        <f aca="false">PROPER(TRIM(Raw_Data!M636))</f>
        <v>Referral</v>
      </c>
      <c r="N636" s="4" t="n">
        <f aca="false">ROUND(E636*F636,2)</f>
        <v>518.64</v>
      </c>
      <c r="O636" s="2" t="str">
        <f aca="false">IF(COUNTIF($A$2:$A$1201,A636)&gt;1,"DUPLICATE","Unique")</f>
        <v>Unique</v>
      </c>
      <c r="P636" s="2" t="str">
        <f aca="false">IF(L636="","MISSING","OK")</f>
        <v>OK</v>
      </c>
      <c r="Q636" s="2" t="str">
        <f aca="false">IF(ISNUMBER(B636),"OK","BAD DATE")</f>
        <v>OK</v>
      </c>
      <c r="R636" s="2" t="str">
        <f aca="false">IF(ROUND(F636,2)=F636,"OK","FIX")</f>
        <v>OK</v>
      </c>
    </row>
    <row r="637" customFormat="false" ht="15" hidden="false" customHeight="false" outlineLevel="0" collapsed="false">
      <c r="A637" s="2" t="str">
        <f aca="false">TRIM(UPPER(Raw_Data!A637))</f>
        <v>ORD200635</v>
      </c>
      <c r="B637" s="3" t="n">
        <f aca="false">IF(ISNUMBER(Raw_Data!B637),Raw_Data!B637,DATEVALUE(Raw_Data!B637))</f>
        <v>45273</v>
      </c>
      <c r="C637" s="2" t="str">
        <f aca="false">TRIM(UPPER(Raw_Data!C637))</f>
        <v>C12818</v>
      </c>
      <c r="D637" s="2" t="str">
        <f aca="false">PROPER(TRIM(Raw_Data!D637))</f>
        <v>Chair</v>
      </c>
      <c r="E637" s="2" t="n">
        <f aca="false">Raw_Data!E637</f>
        <v>3</v>
      </c>
      <c r="F637" s="4" t="n">
        <f aca="false">ROUND(Raw_Data!F637,2)</f>
        <v>63.68</v>
      </c>
      <c r="G637" s="2" t="str">
        <f aca="false">PROPER(TRIM(Raw_Data!G637))</f>
        <v>434 Main St</v>
      </c>
      <c r="H637" s="2" t="str">
        <f aca="false">PROPER(TRIM(Raw_Data!H637))</f>
        <v>Cash</v>
      </c>
      <c r="I637" s="2" t="str">
        <f aca="false">PROPER(TRIM(Raw_Data!I637))</f>
        <v>Returned</v>
      </c>
      <c r="J637" s="2" t="str">
        <f aca="false">TRIM(UPPER(Raw_Data!J637))</f>
        <v>TRK40879983</v>
      </c>
      <c r="K637" s="2" t="n">
        <f aca="false">Raw_Data!K637</f>
        <v>6</v>
      </c>
      <c r="L637" s="2" t="str">
        <f aca="false">IF(TRIM(Raw_Data!L637)="","No Coupon",TRIM(UPPER(Raw_Data!L637)))</f>
        <v>No Coupon</v>
      </c>
      <c r="M637" s="2" t="str">
        <f aca="false">PROPER(TRIM(Raw_Data!M637))</f>
        <v>Facebook</v>
      </c>
      <c r="N637" s="4" t="n">
        <f aca="false">ROUND(E637*F637,2)</f>
        <v>191.04</v>
      </c>
      <c r="O637" s="2" t="str">
        <f aca="false">IF(COUNTIF($A$2:$A$1201,A637)&gt;1,"DUPLICATE","Unique")</f>
        <v>Unique</v>
      </c>
      <c r="P637" s="2" t="str">
        <f aca="false">IF(L637="","MISSING","OK")</f>
        <v>OK</v>
      </c>
      <c r="Q637" s="2" t="str">
        <f aca="false">IF(ISNUMBER(B637),"OK","BAD DATE")</f>
        <v>OK</v>
      </c>
      <c r="R637" s="2" t="str">
        <f aca="false">IF(ROUND(F637,2)=F637,"OK","FIX")</f>
        <v>OK</v>
      </c>
    </row>
    <row r="638" customFormat="false" ht="15" hidden="false" customHeight="false" outlineLevel="0" collapsed="false">
      <c r="A638" s="2" t="str">
        <f aca="false">TRIM(UPPER(Raw_Data!A638))</f>
        <v>ORD200636</v>
      </c>
      <c r="B638" s="3" t="n">
        <f aca="false">IF(ISNUMBER(Raw_Data!B638),Raw_Data!B638,DATEVALUE(Raw_Data!B638))</f>
        <v>45204</v>
      </c>
      <c r="C638" s="2" t="str">
        <f aca="false">TRIM(UPPER(Raw_Data!C638))</f>
        <v>C60384</v>
      </c>
      <c r="D638" s="2" t="str">
        <f aca="false">PROPER(TRIM(Raw_Data!D638))</f>
        <v>Laptop</v>
      </c>
      <c r="E638" s="2" t="n">
        <f aca="false">Raw_Data!E638</f>
        <v>4</v>
      </c>
      <c r="F638" s="4" t="n">
        <f aca="false">ROUND(Raw_Data!F638,2)</f>
        <v>371.07</v>
      </c>
      <c r="G638" s="2" t="str">
        <f aca="false">PROPER(TRIM(Raw_Data!G638))</f>
        <v>336 Main St</v>
      </c>
      <c r="H638" s="2" t="str">
        <f aca="false">PROPER(TRIM(Raw_Data!H638))</f>
        <v>Cash</v>
      </c>
      <c r="I638" s="2" t="str">
        <f aca="false">PROPER(TRIM(Raw_Data!I638))</f>
        <v>Cancelled</v>
      </c>
      <c r="J638" s="2" t="str">
        <f aca="false">TRIM(UPPER(Raw_Data!J638))</f>
        <v>TRK92080037</v>
      </c>
      <c r="K638" s="2" t="n">
        <f aca="false">Raw_Data!K638</f>
        <v>7</v>
      </c>
      <c r="L638" s="2" t="str">
        <f aca="false">IF(TRIM(Raw_Data!L638)="","No Coupon",TRIM(UPPER(Raw_Data!L638)))</f>
        <v>WINTER15</v>
      </c>
      <c r="M638" s="2" t="str">
        <f aca="false">PROPER(TRIM(Raw_Data!M638))</f>
        <v>Facebook</v>
      </c>
      <c r="N638" s="4" t="n">
        <f aca="false">ROUND(E638*F638,2)</f>
        <v>1484.28</v>
      </c>
      <c r="O638" s="2" t="str">
        <f aca="false">IF(COUNTIF($A$2:$A$1201,A638)&gt;1,"DUPLICATE","Unique")</f>
        <v>Unique</v>
      </c>
      <c r="P638" s="2" t="str">
        <f aca="false">IF(L638="","MISSING","OK")</f>
        <v>OK</v>
      </c>
      <c r="Q638" s="2" t="str">
        <f aca="false">IF(ISNUMBER(B638),"OK","BAD DATE")</f>
        <v>OK</v>
      </c>
      <c r="R638" s="2" t="str">
        <f aca="false">IF(ROUND(F638,2)=F638,"OK","FIX")</f>
        <v>OK</v>
      </c>
    </row>
    <row r="639" customFormat="false" ht="15" hidden="false" customHeight="false" outlineLevel="0" collapsed="false">
      <c r="A639" s="2" t="str">
        <f aca="false">TRIM(UPPER(Raw_Data!A639))</f>
        <v>ORD200637</v>
      </c>
      <c r="B639" s="3" t="n">
        <f aca="false">IF(ISNUMBER(Raw_Data!B639),Raw_Data!B639,DATEVALUE(Raw_Data!B639))</f>
        <v>45564</v>
      </c>
      <c r="C639" s="2" t="str">
        <f aca="false">TRIM(UPPER(Raw_Data!C639))</f>
        <v>C92294</v>
      </c>
      <c r="D639" s="2" t="str">
        <f aca="false">PROPER(TRIM(Raw_Data!D639))</f>
        <v>Chair</v>
      </c>
      <c r="E639" s="2" t="n">
        <f aca="false">Raw_Data!E639</f>
        <v>4</v>
      </c>
      <c r="F639" s="4" t="n">
        <f aca="false">ROUND(Raw_Data!F639,2)</f>
        <v>306.35</v>
      </c>
      <c r="G639" s="2" t="str">
        <f aca="false">PROPER(TRIM(Raw_Data!G639))</f>
        <v>784 Main St</v>
      </c>
      <c r="H639" s="2" t="str">
        <f aca="false">PROPER(TRIM(Raw_Data!H639))</f>
        <v>Gift Card</v>
      </c>
      <c r="I639" s="2" t="str">
        <f aca="false">PROPER(TRIM(Raw_Data!I639))</f>
        <v>Shipped</v>
      </c>
      <c r="J639" s="2" t="str">
        <f aca="false">TRIM(UPPER(Raw_Data!J639))</f>
        <v>TRK23585765</v>
      </c>
      <c r="K639" s="2" t="n">
        <f aca="false">Raw_Data!K639</f>
        <v>7</v>
      </c>
      <c r="L639" s="2" t="str">
        <f aca="false">IF(TRIM(Raw_Data!L639)="","No Coupon",TRIM(UPPER(Raw_Data!L639)))</f>
        <v>WINTER15</v>
      </c>
      <c r="M639" s="2" t="str">
        <f aca="false">PROPER(TRIM(Raw_Data!M639))</f>
        <v>Referral</v>
      </c>
      <c r="N639" s="4" t="n">
        <f aca="false">ROUND(E639*F639,2)</f>
        <v>1225.4</v>
      </c>
      <c r="O639" s="2" t="str">
        <f aca="false">IF(COUNTIF($A$2:$A$1201,A639)&gt;1,"DUPLICATE","Unique")</f>
        <v>Unique</v>
      </c>
      <c r="P639" s="2" t="str">
        <f aca="false">IF(L639="","MISSING","OK")</f>
        <v>OK</v>
      </c>
      <c r="Q639" s="2" t="str">
        <f aca="false">IF(ISNUMBER(B639),"OK","BAD DATE")</f>
        <v>OK</v>
      </c>
      <c r="R639" s="2" t="str">
        <f aca="false">IF(ROUND(F639,2)=F639,"OK","FIX")</f>
        <v>OK</v>
      </c>
    </row>
    <row r="640" customFormat="false" ht="15" hidden="false" customHeight="false" outlineLevel="0" collapsed="false">
      <c r="A640" s="2" t="str">
        <f aca="false">TRIM(UPPER(Raw_Data!A640))</f>
        <v>ORD200638</v>
      </c>
      <c r="B640" s="3" t="n">
        <f aca="false">IF(ISNUMBER(Raw_Data!B640),Raw_Data!B640,DATEVALUE(Raw_Data!B640))</f>
        <v>45214</v>
      </c>
      <c r="C640" s="2" t="str">
        <f aca="false">TRIM(UPPER(Raw_Data!C640))</f>
        <v>C66840</v>
      </c>
      <c r="D640" s="2" t="str">
        <f aca="false">PROPER(TRIM(Raw_Data!D640))</f>
        <v>Tablet</v>
      </c>
      <c r="E640" s="2" t="n">
        <f aca="false">Raw_Data!E640</f>
        <v>4</v>
      </c>
      <c r="F640" s="4" t="n">
        <f aca="false">ROUND(Raw_Data!F640,2)</f>
        <v>578.27</v>
      </c>
      <c r="G640" s="2" t="str">
        <f aca="false">PROPER(TRIM(Raw_Data!G640))</f>
        <v>547 Main St</v>
      </c>
      <c r="H640" s="2" t="str">
        <f aca="false">PROPER(TRIM(Raw_Data!H640))</f>
        <v>Online</v>
      </c>
      <c r="I640" s="2" t="str">
        <f aca="false">PROPER(TRIM(Raw_Data!I640))</f>
        <v>Delivered</v>
      </c>
      <c r="J640" s="2" t="str">
        <f aca="false">TRIM(UPPER(Raw_Data!J640))</f>
        <v>TRK76929637</v>
      </c>
      <c r="K640" s="2" t="n">
        <f aca="false">Raw_Data!K640</f>
        <v>9</v>
      </c>
      <c r="L640" s="2" t="str">
        <f aca="false">IF(TRIM(Raw_Data!L640)="","No Coupon",TRIM(UPPER(Raw_Data!L640)))</f>
        <v>WINTER15</v>
      </c>
      <c r="M640" s="2" t="str">
        <f aca="false">PROPER(TRIM(Raw_Data!M640))</f>
        <v>Email</v>
      </c>
      <c r="N640" s="4" t="n">
        <f aca="false">ROUND(E640*F640,2)</f>
        <v>2313.08</v>
      </c>
      <c r="O640" s="2" t="str">
        <f aca="false">IF(COUNTIF($A$2:$A$1201,A640)&gt;1,"DUPLICATE","Unique")</f>
        <v>Unique</v>
      </c>
      <c r="P640" s="2" t="str">
        <f aca="false">IF(L640="","MISSING","OK")</f>
        <v>OK</v>
      </c>
      <c r="Q640" s="2" t="str">
        <f aca="false">IF(ISNUMBER(B640),"OK","BAD DATE")</f>
        <v>OK</v>
      </c>
      <c r="R640" s="2" t="str">
        <f aca="false">IF(ROUND(F640,2)=F640,"OK","FIX")</f>
        <v>OK</v>
      </c>
    </row>
    <row r="641" customFormat="false" ht="15" hidden="false" customHeight="false" outlineLevel="0" collapsed="false">
      <c r="A641" s="2" t="str">
        <f aca="false">TRIM(UPPER(Raw_Data!A641))</f>
        <v>ORD200639</v>
      </c>
      <c r="B641" s="3" t="n">
        <f aca="false">IF(ISNUMBER(Raw_Data!B641),Raw_Data!B641,DATEVALUE(Raw_Data!B641))</f>
        <v>44946</v>
      </c>
      <c r="C641" s="2" t="str">
        <f aca="false">TRIM(UPPER(Raw_Data!C641))</f>
        <v>C22534</v>
      </c>
      <c r="D641" s="2" t="str">
        <f aca="false">PROPER(TRIM(Raw_Data!D641))</f>
        <v>Chair</v>
      </c>
      <c r="E641" s="2" t="n">
        <f aca="false">Raw_Data!E641</f>
        <v>1</v>
      </c>
      <c r="F641" s="4" t="n">
        <f aca="false">ROUND(Raw_Data!F641,2)</f>
        <v>529.19</v>
      </c>
      <c r="G641" s="2" t="str">
        <f aca="false">PROPER(TRIM(Raw_Data!G641))</f>
        <v>391 Main St</v>
      </c>
      <c r="H641" s="2" t="str">
        <f aca="false">PROPER(TRIM(Raw_Data!H641))</f>
        <v>Cash</v>
      </c>
      <c r="I641" s="2" t="str">
        <f aca="false">PROPER(TRIM(Raw_Data!I641))</f>
        <v>Cancelled</v>
      </c>
      <c r="J641" s="2" t="str">
        <f aca="false">TRIM(UPPER(Raw_Data!J641))</f>
        <v>TRK17415798</v>
      </c>
      <c r="K641" s="2" t="n">
        <f aca="false">Raw_Data!K641</f>
        <v>5</v>
      </c>
      <c r="L641" s="2" t="str">
        <f aca="false">IF(TRIM(Raw_Data!L641)="","No Coupon",TRIM(UPPER(Raw_Data!L641)))</f>
        <v>No Coupon</v>
      </c>
      <c r="M641" s="2" t="str">
        <f aca="false">PROPER(TRIM(Raw_Data!M641))</f>
        <v>Referral</v>
      </c>
      <c r="N641" s="4" t="n">
        <f aca="false">ROUND(E641*F641,2)</f>
        <v>529.19</v>
      </c>
      <c r="O641" s="2" t="str">
        <f aca="false">IF(COUNTIF($A$2:$A$1201,A641)&gt;1,"DUPLICATE","Unique")</f>
        <v>Unique</v>
      </c>
      <c r="P641" s="2" t="str">
        <f aca="false">IF(L641="","MISSING","OK")</f>
        <v>OK</v>
      </c>
      <c r="Q641" s="2" t="str">
        <f aca="false">IF(ISNUMBER(B641),"OK","BAD DATE")</f>
        <v>OK</v>
      </c>
      <c r="R641" s="2" t="str">
        <f aca="false">IF(ROUND(F641,2)=F641,"OK","FIX")</f>
        <v>OK</v>
      </c>
    </row>
    <row r="642" customFormat="false" ht="15" hidden="false" customHeight="false" outlineLevel="0" collapsed="false">
      <c r="A642" s="2" t="str">
        <f aca="false">TRIM(UPPER(Raw_Data!A642))</f>
        <v>ORD200640</v>
      </c>
      <c r="B642" s="3" t="n">
        <f aca="false">IF(ISNUMBER(Raw_Data!B642),Raw_Data!B642,DATEVALUE(Raw_Data!B642))</f>
        <v>45349</v>
      </c>
      <c r="C642" s="2" t="str">
        <f aca="false">TRIM(UPPER(Raw_Data!C642))</f>
        <v>C46509</v>
      </c>
      <c r="D642" s="2" t="str">
        <f aca="false">PROPER(TRIM(Raw_Data!D642))</f>
        <v>Chair</v>
      </c>
      <c r="E642" s="2" t="n">
        <f aca="false">Raw_Data!E642</f>
        <v>2</v>
      </c>
      <c r="F642" s="4" t="n">
        <f aca="false">ROUND(Raw_Data!F642,2)</f>
        <v>587.49</v>
      </c>
      <c r="G642" s="2" t="str">
        <f aca="false">PROPER(TRIM(Raw_Data!G642))</f>
        <v>647 Main St</v>
      </c>
      <c r="H642" s="2" t="str">
        <f aca="false">PROPER(TRIM(Raw_Data!H642))</f>
        <v>Gift Card</v>
      </c>
      <c r="I642" s="2" t="str">
        <f aca="false">PROPER(TRIM(Raw_Data!I642))</f>
        <v>Returned</v>
      </c>
      <c r="J642" s="2" t="str">
        <f aca="false">TRIM(UPPER(Raw_Data!J642))</f>
        <v>TRK24241664</v>
      </c>
      <c r="K642" s="2" t="n">
        <f aca="false">Raw_Data!K642</f>
        <v>6</v>
      </c>
      <c r="L642" s="2" t="str">
        <f aca="false">IF(TRIM(Raw_Data!L642)="","No Coupon",TRIM(UPPER(Raw_Data!L642)))</f>
        <v>SAVE10</v>
      </c>
      <c r="M642" s="2" t="str">
        <f aca="false">PROPER(TRIM(Raw_Data!M642))</f>
        <v>Referral</v>
      </c>
      <c r="N642" s="4" t="n">
        <f aca="false">ROUND(E642*F642,2)</f>
        <v>1174.98</v>
      </c>
      <c r="O642" s="2" t="str">
        <f aca="false">IF(COUNTIF($A$2:$A$1201,A642)&gt;1,"DUPLICATE","Unique")</f>
        <v>Unique</v>
      </c>
      <c r="P642" s="2" t="str">
        <f aca="false">IF(L642="","MISSING","OK")</f>
        <v>OK</v>
      </c>
      <c r="Q642" s="2" t="str">
        <f aca="false">IF(ISNUMBER(B642),"OK","BAD DATE")</f>
        <v>OK</v>
      </c>
      <c r="R642" s="2" t="str">
        <f aca="false">IF(ROUND(F642,2)=F642,"OK","FIX")</f>
        <v>OK</v>
      </c>
    </row>
    <row r="643" customFormat="false" ht="15" hidden="false" customHeight="false" outlineLevel="0" collapsed="false">
      <c r="A643" s="2" t="str">
        <f aca="false">TRIM(UPPER(Raw_Data!A643))</f>
        <v>ORD200641</v>
      </c>
      <c r="B643" s="3" t="n">
        <f aca="false">IF(ISNUMBER(Raw_Data!B643),Raw_Data!B643,DATEVALUE(Raw_Data!B643))</f>
        <v>45473</v>
      </c>
      <c r="C643" s="2" t="str">
        <f aca="false">TRIM(UPPER(Raw_Data!C643))</f>
        <v>C71680</v>
      </c>
      <c r="D643" s="2" t="str">
        <f aca="false">PROPER(TRIM(Raw_Data!D643))</f>
        <v>Printer</v>
      </c>
      <c r="E643" s="2" t="n">
        <f aca="false">Raw_Data!E643</f>
        <v>4</v>
      </c>
      <c r="F643" s="4" t="n">
        <f aca="false">ROUND(Raw_Data!F643,2)</f>
        <v>567.57</v>
      </c>
      <c r="G643" s="2" t="str">
        <f aca="false">PROPER(TRIM(Raw_Data!G643))</f>
        <v>814 Main St</v>
      </c>
      <c r="H643" s="2" t="str">
        <f aca="false">PROPER(TRIM(Raw_Data!H643))</f>
        <v>Debit Card</v>
      </c>
      <c r="I643" s="2" t="str">
        <f aca="false">PROPER(TRIM(Raw_Data!I643))</f>
        <v>Pending</v>
      </c>
      <c r="J643" s="2" t="str">
        <f aca="false">TRIM(UPPER(Raw_Data!J643))</f>
        <v>TRK47386650</v>
      </c>
      <c r="K643" s="2" t="n">
        <f aca="false">Raw_Data!K643</f>
        <v>9</v>
      </c>
      <c r="L643" s="2" t="str">
        <f aca="false">IF(TRIM(Raw_Data!L643)="","No Coupon",TRIM(UPPER(Raw_Data!L643)))</f>
        <v>WINTER15</v>
      </c>
      <c r="M643" s="2" t="str">
        <f aca="false">PROPER(TRIM(Raw_Data!M643))</f>
        <v>Google</v>
      </c>
      <c r="N643" s="4" t="n">
        <f aca="false">ROUND(E643*F643,2)</f>
        <v>2270.28</v>
      </c>
      <c r="O643" s="2" t="str">
        <f aca="false">IF(COUNTIF($A$2:$A$1201,A643)&gt;1,"DUPLICATE","Unique")</f>
        <v>Unique</v>
      </c>
      <c r="P643" s="2" t="str">
        <f aca="false">IF(L643="","MISSING","OK")</f>
        <v>OK</v>
      </c>
      <c r="Q643" s="2" t="str">
        <f aca="false">IF(ISNUMBER(B643),"OK","BAD DATE")</f>
        <v>OK</v>
      </c>
      <c r="R643" s="2" t="str">
        <f aca="false">IF(ROUND(F643,2)=F643,"OK","FIX")</f>
        <v>OK</v>
      </c>
    </row>
    <row r="644" customFormat="false" ht="15" hidden="false" customHeight="false" outlineLevel="0" collapsed="false">
      <c r="A644" s="2" t="str">
        <f aca="false">TRIM(UPPER(Raw_Data!A644))</f>
        <v>ORD200642</v>
      </c>
      <c r="B644" s="3" t="n">
        <f aca="false">IF(ISNUMBER(Raw_Data!B644),Raw_Data!B644,DATEVALUE(Raw_Data!B644))</f>
        <v>45411</v>
      </c>
      <c r="C644" s="2" t="str">
        <f aca="false">TRIM(UPPER(Raw_Data!C644))</f>
        <v>C15063</v>
      </c>
      <c r="D644" s="2" t="str">
        <f aca="false">PROPER(TRIM(Raw_Data!D644))</f>
        <v>Chair</v>
      </c>
      <c r="E644" s="2" t="n">
        <f aca="false">Raw_Data!E644</f>
        <v>5</v>
      </c>
      <c r="F644" s="4" t="n">
        <f aca="false">ROUND(Raw_Data!F644,2)</f>
        <v>85.22</v>
      </c>
      <c r="G644" s="2" t="str">
        <f aca="false">PROPER(TRIM(Raw_Data!G644))</f>
        <v>527 Main St</v>
      </c>
      <c r="H644" s="2" t="str">
        <f aca="false">PROPER(TRIM(Raw_Data!H644))</f>
        <v>Credit Card</v>
      </c>
      <c r="I644" s="2" t="str">
        <f aca="false">PROPER(TRIM(Raw_Data!I644))</f>
        <v>Cancelled</v>
      </c>
      <c r="J644" s="2" t="str">
        <f aca="false">TRIM(UPPER(Raw_Data!J644))</f>
        <v>TRK10329390</v>
      </c>
      <c r="K644" s="2" t="n">
        <f aca="false">Raw_Data!K644</f>
        <v>7</v>
      </c>
      <c r="L644" s="2" t="str">
        <f aca="false">IF(TRIM(Raw_Data!L644)="","No Coupon",TRIM(UPPER(Raw_Data!L644)))</f>
        <v>FREESHIP</v>
      </c>
      <c r="M644" s="2" t="str">
        <f aca="false">PROPER(TRIM(Raw_Data!M644))</f>
        <v>Email</v>
      </c>
      <c r="N644" s="4" t="n">
        <f aca="false">ROUND(E644*F644,2)</f>
        <v>426.1</v>
      </c>
      <c r="O644" s="2" t="str">
        <f aca="false">IF(COUNTIF($A$2:$A$1201,A644)&gt;1,"DUPLICATE","Unique")</f>
        <v>Unique</v>
      </c>
      <c r="P644" s="2" t="str">
        <f aca="false">IF(L644="","MISSING","OK")</f>
        <v>OK</v>
      </c>
      <c r="Q644" s="2" t="str">
        <f aca="false">IF(ISNUMBER(B644),"OK","BAD DATE")</f>
        <v>OK</v>
      </c>
      <c r="R644" s="2" t="str">
        <f aca="false">IF(ROUND(F644,2)=F644,"OK","FIX")</f>
        <v>OK</v>
      </c>
    </row>
    <row r="645" customFormat="false" ht="15" hidden="false" customHeight="false" outlineLevel="0" collapsed="false">
      <c r="A645" s="2" t="str">
        <f aca="false">TRIM(UPPER(Raw_Data!A645))</f>
        <v>ORD200643</v>
      </c>
      <c r="B645" s="3" t="n">
        <f aca="false">IF(ISNUMBER(Raw_Data!B645),Raw_Data!B645,DATEVALUE(Raw_Data!B645))</f>
        <v>45530</v>
      </c>
      <c r="C645" s="2" t="str">
        <f aca="false">TRIM(UPPER(Raw_Data!C645))</f>
        <v>C77122</v>
      </c>
      <c r="D645" s="2" t="str">
        <f aca="false">PROPER(TRIM(Raw_Data!D645))</f>
        <v>Laptop</v>
      </c>
      <c r="E645" s="2" t="n">
        <f aca="false">Raw_Data!E645</f>
        <v>1</v>
      </c>
      <c r="F645" s="4" t="n">
        <f aca="false">ROUND(Raw_Data!F645,2)</f>
        <v>438.37</v>
      </c>
      <c r="G645" s="2" t="str">
        <f aca="false">PROPER(TRIM(Raw_Data!G645))</f>
        <v>647 Main St</v>
      </c>
      <c r="H645" s="2" t="str">
        <f aca="false">PROPER(TRIM(Raw_Data!H645))</f>
        <v>Cash</v>
      </c>
      <c r="I645" s="2" t="str">
        <f aca="false">PROPER(TRIM(Raw_Data!I645))</f>
        <v>Cancelled</v>
      </c>
      <c r="J645" s="2" t="str">
        <f aca="false">TRIM(UPPER(Raw_Data!J645))</f>
        <v>TRK75814880</v>
      </c>
      <c r="K645" s="2" t="n">
        <f aca="false">Raw_Data!K645</f>
        <v>4</v>
      </c>
      <c r="L645" s="2" t="str">
        <f aca="false">IF(TRIM(Raw_Data!L645)="","No Coupon",TRIM(UPPER(Raw_Data!L645)))</f>
        <v>SAVE10</v>
      </c>
      <c r="M645" s="2" t="str">
        <f aca="false">PROPER(TRIM(Raw_Data!M645))</f>
        <v>Referral</v>
      </c>
      <c r="N645" s="4" t="n">
        <f aca="false">ROUND(E645*F645,2)</f>
        <v>438.37</v>
      </c>
      <c r="O645" s="2" t="str">
        <f aca="false">IF(COUNTIF($A$2:$A$1201,A645)&gt;1,"DUPLICATE","Unique")</f>
        <v>Unique</v>
      </c>
      <c r="P645" s="2" t="str">
        <f aca="false">IF(L645="","MISSING","OK")</f>
        <v>OK</v>
      </c>
      <c r="Q645" s="2" t="str">
        <f aca="false">IF(ISNUMBER(B645),"OK","BAD DATE")</f>
        <v>OK</v>
      </c>
      <c r="R645" s="2" t="str">
        <f aca="false">IF(ROUND(F645,2)=F645,"OK","FIX")</f>
        <v>OK</v>
      </c>
    </row>
    <row r="646" customFormat="false" ht="15" hidden="false" customHeight="false" outlineLevel="0" collapsed="false">
      <c r="A646" s="2" t="str">
        <f aca="false">TRIM(UPPER(Raw_Data!A646))</f>
        <v>ORD200644</v>
      </c>
      <c r="B646" s="3" t="n">
        <f aca="false">IF(ISNUMBER(Raw_Data!B646),Raw_Data!B646,DATEVALUE(Raw_Data!B646))</f>
        <v>45245</v>
      </c>
      <c r="C646" s="2" t="str">
        <f aca="false">TRIM(UPPER(Raw_Data!C646))</f>
        <v>C86524</v>
      </c>
      <c r="D646" s="2" t="str">
        <f aca="false">PROPER(TRIM(Raw_Data!D646))</f>
        <v>Chair</v>
      </c>
      <c r="E646" s="2" t="n">
        <f aca="false">Raw_Data!E646</f>
        <v>2</v>
      </c>
      <c r="F646" s="4" t="n">
        <f aca="false">ROUND(Raw_Data!F646,2)</f>
        <v>366.23</v>
      </c>
      <c r="G646" s="2" t="str">
        <f aca="false">PROPER(TRIM(Raw_Data!G646))</f>
        <v>961 Main St</v>
      </c>
      <c r="H646" s="2" t="str">
        <f aca="false">PROPER(TRIM(Raw_Data!H646))</f>
        <v>Cash</v>
      </c>
      <c r="I646" s="2" t="str">
        <f aca="false">PROPER(TRIM(Raw_Data!I646))</f>
        <v>Shipped</v>
      </c>
      <c r="J646" s="2" t="str">
        <f aca="false">TRIM(UPPER(Raw_Data!J646))</f>
        <v>TRK62490506</v>
      </c>
      <c r="K646" s="2" t="n">
        <f aca="false">Raw_Data!K646</f>
        <v>2</v>
      </c>
      <c r="L646" s="2" t="str">
        <f aca="false">IF(TRIM(Raw_Data!L646)="","No Coupon",TRIM(UPPER(Raw_Data!L646)))</f>
        <v>WINTER15</v>
      </c>
      <c r="M646" s="2" t="str">
        <f aca="false">PROPER(TRIM(Raw_Data!M646))</f>
        <v>Email</v>
      </c>
      <c r="N646" s="4" t="n">
        <f aca="false">ROUND(E646*F646,2)</f>
        <v>732.46</v>
      </c>
      <c r="O646" s="2" t="str">
        <f aca="false">IF(COUNTIF($A$2:$A$1201,A646)&gt;1,"DUPLICATE","Unique")</f>
        <v>Unique</v>
      </c>
      <c r="P646" s="2" t="str">
        <f aca="false">IF(L646="","MISSING","OK")</f>
        <v>OK</v>
      </c>
      <c r="Q646" s="2" t="str">
        <f aca="false">IF(ISNUMBER(B646),"OK","BAD DATE")</f>
        <v>OK</v>
      </c>
      <c r="R646" s="2" t="str">
        <f aca="false">IF(ROUND(F646,2)=F646,"OK","FIX")</f>
        <v>OK</v>
      </c>
    </row>
    <row r="647" customFormat="false" ht="15" hidden="false" customHeight="false" outlineLevel="0" collapsed="false">
      <c r="A647" s="2" t="str">
        <f aca="false">TRIM(UPPER(Raw_Data!A647))</f>
        <v>ORD200645</v>
      </c>
      <c r="B647" s="3" t="n">
        <f aca="false">IF(ISNUMBER(Raw_Data!B647),Raw_Data!B647,DATEVALUE(Raw_Data!B647))</f>
        <v>44928</v>
      </c>
      <c r="C647" s="2" t="str">
        <f aca="false">TRIM(UPPER(Raw_Data!C647))</f>
        <v>C82990</v>
      </c>
      <c r="D647" s="2" t="str">
        <f aca="false">PROPER(TRIM(Raw_Data!D647))</f>
        <v>Laptop</v>
      </c>
      <c r="E647" s="2" t="n">
        <f aca="false">Raw_Data!E647</f>
        <v>2</v>
      </c>
      <c r="F647" s="4" t="n">
        <f aca="false">ROUND(Raw_Data!F647,2)</f>
        <v>150.05</v>
      </c>
      <c r="G647" s="2" t="str">
        <f aca="false">PROPER(TRIM(Raw_Data!G647))</f>
        <v>727 Main St</v>
      </c>
      <c r="H647" s="2" t="str">
        <f aca="false">PROPER(TRIM(Raw_Data!H647))</f>
        <v>Credit Card</v>
      </c>
      <c r="I647" s="2" t="str">
        <f aca="false">PROPER(TRIM(Raw_Data!I647))</f>
        <v>Cancelled</v>
      </c>
      <c r="J647" s="2" t="str">
        <f aca="false">TRIM(UPPER(Raw_Data!J647))</f>
        <v>TRK68574801</v>
      </c>
      <c r="K647" s="2" t="n">
        <f aca="false">Raw_Data!K647</f>
        <v>4</v>
      </c>
      <c r="L647" s="2" t="str">
        <f aca="false">IF(TRIM(Raw_Data!L647)="","No Coupon",TRIM(UPPER(Raw_Data!L647)))</f>
        <v>SAVE10</v>
      </c>
      <c r="M647" s="2" t="str">
        <f aca="false">PROPER(TRIM(Raw_Data!M647))</f>
        <v>Facebook</v>
      </c>
      <c r="N647" s="4" t="n">
        <f aca="false">ROUND(E647*F647,2)</f>
        <v>300.1</v>
      </c>
      <c r="O647" s="2" t="str">
        <f aca="false">IF(COUNTIF($A$2:$A$1201,A647)&gt;1,"DUPLICATE","Unique")</f>
        <v>Unique</v>
      </c>
      <c r="P647" s="2" t="str">
        <f aca="false">IF(L647="","MISSING","OK")</f>
        <v>OK</v>
      </c>
      <c r="Q647" s="2" t="str">
        <f aca="false">IF(ISNUMBER(B647),"OK","BAD DATE")</f>
        <v>OK</v>
      </c>
      <c r="R647" s="2" t="str">
        <f aca="false">IF(ROUND(F647,2)=F647,"OK","FIX")</f>
        <v>OK</v>
      </c>
    </row>
    <row r="648" customFormat="false" ht="15" hidden="false" customHeight="false" outlineLevel="0" collapsed="false">
      <c r="A648" s="2" t="str">
        <f aca="false">TRIM(UPPER(Raw_Data!A648))</f>
        <v>ORD200646</v>
      </c>
      <c r="B648" s="3" t="n">
        <f aca="false">IF(ISNUMBER(Raw_Data!B648),Raw_Data!B648,DATEVALUE(Raw_Data!B648))</f>
        <v>45226</v>
      </c>
      <c r="C648" s="2" t="str">
        <f aca="false">TRIM(UPPER(Raw_Data!C648))</f>
        <v>C98761</v>
      </c>
      <c r="D648" s="2" t="str">
        <f aca="false">PROPER(TRIM(Raw_Data!D648))</f>
        <v>Chair</v>
      </c>
      <c r="E648" s="2" t="n">
        <f aca="false">Raw_Data!E648</f>
        <v>4</v>
      </c>
      <c r="F648" s="4" t="n">
        <f aca="false">ROUND(Raw_Data!F648,2)</f>
        <v>498.51</v>
      </c>
      <c r="G648" s="2" t="str">
        <f aca="false">PROPER(TRIM(Raw_Data!G648))</f>
        <v>804 Main St</v>
      </c>
      <c r="H648" s="2" t="str">
        <f aca="false">PROPER(TRIM(Raw_Data!H648))</f>
        <v>Debit Card</v>
      </c>
      <c r="I648" s="2" t="str">
        <f aca="false">PROPER(TRIM(Raw_Data!I648))</f>
        <v>Shipped</v>
      </c>
      <c r="J648" s="2" t="str">
        <f aca="false">TRIM(UPPER(Raw_Data!J648))</f>
        <v>TRK43262630</v>
      </c>
      <c r="K648" s="2" t="n">
        <f aca="false">Raw_Data!K648</f>
        <v>4</v>
      </c>
      <c r="L648" s="2" t="str">
        <f aca="false">IF(TRIM(Raw_Data!L648)="","No Coupon",TRIM(UPPER(Raw_Data!L648)))</f>
        <v>SAVE10</v>
      </c>
      <c r="M648" s="2" t="str">
        <f aca="false">PROPER(TRIM(Raw_Data!M648))</f>
        <v>Google</v>
      </c>
      <c r="N648" s="4" t="n">
        <f aca="false">ROUND(E648*F648,2)</f>
        <v>1994.04</v>
      </c>
      <c r="O648" s="2" t="str">
        <f aca="false">IF(COUNTIF($A$2:$A$1201,A648)&gt;1,"DUPLICATE","Unique")</f>
        <v>Unique</v>
      </c>
      <c r="P648" s="2" t="str">
        <f aca="false">IF(L648="","MISSING","OK")</f>
        <v>OK</v>
      </c>
      <c r="Q648" s="2" t="str">
        <f aca="false">IF(ISNUMBER(B648),"OK","BAD DATE")</f>
        <v>OK</v>
      </c>
      <c r="R648" s="2" t="str">
        <f aca="false">IF(ROUND(F648,2)=F648,"OK","FIX")</f>
        <v>OK</v>
      </c>
    </row>
    <row r="649" customFormat="false" ht="15" hidden="false" customHeight="false" outlineLevel="0" collapsed="false">
      <c r="A649" s="2" t="str">
        <f aca="false">TRIM(UPPER(Raw_Data!A649))</f>
        <v>ORD200647</v>
      </c>
      <c r="B649" s="3" t="n">
        <f aca="false">IF(ISNUMBER(Raw_Data!B649),Raw_Data!B649,DATEVALUE(Raw_Data!B649))</f>
        <v>45771</v>
      </c>
      <c r="C649" s="2" t="str">
        <f aca="false">TRIM(UPPER(Raw_Data!C649))</f>
        <v>C54409</v>
      </c>
      <c r="D649" s="2" t="str">
        <f aca="false">PROPER(TRIM(Raw_Data!D649))</f>
        <v>Desk</v>
      </c>
      <c r="E649" s="2" t="n">
        <f aca="false">Raw_Data!E649</f>
        <v>3</v>
      </c>
      <c r="F649" s="4" t="n">
        <f aca="false">ROUND(Raw_Data!F649,2)</f>
        <v>339.39</v>
      </c>
      <c r="G649" s="2" t="str">
        <f aca="false">PROPER(TRIM(Raw_Data!G649))</f>
        <v>667 Main St</v>
      </c>
      <c r="H649" s="2" t="str">
        <f aca="false">PROPER(TRIM(Raw_Data!H649))</f>
        <v>Cash</v>
      </c>
      <c r="I649" s="2" t="str">
        <f aca="false">PROPER(TRIM(Raw_Data!I649))</f>
        <v>Returned</v>
      </c>
      <c r="J649" s="2" t="str">
        <f aca="false">TRIM(UPPER(Raw_Data!J649))</f>
        <v>TRK67671316</v>
      </c>
      <c r="K649" s="2" t="n">
        <f aca="false">Raw_Data!K649</f>
        <v>7</v>
      </c>
      <c r="L649" s="2" t="str">
        <f aca="false">IF(TRIM(Raw_Data!L649)="","No Coupon",TRIM(UPPER(Raw_Data!L649)))</f>
        <v>FREESHIP</v>
      </c>
      <c r="M649" s="2" t="str">
        <f aca="false">PROPER(TRIM(Raw_Data!M649))</f>
        <v>Google</v>
      </c>
      <c r="N649" s="4" t="n">
        <f aca="false">ROUND(E649*F649,2)</f>
        <v>1018.17</v>
      </c>
      <c r="O649" s="2" t="str">
        <f aca="false">IF(COUNTIF($A$2:$A$1201,A649)&gt;1,"DUPLICATE","Unique")</f>
        <v>Unique</v>
      </c>
      <c r="P649" s="2" t="str">
        <f aca="false">IF(L649="","MISSING","OK")</f>
        <v>OK</v>
      </c>
      <c r="Q649" s="2" t="str">
        <f aca="false">IF(ISNUMBER(B649),"OK","BAD DATE")</f>
        <v>OK</v>
      </c>
      <c r="R649" s="2" t="str">
        <f aca="false">IF(ROUND(F649,2)=F649,"OK","FIX")</f>
        <v>OK</v>
      </c>
    </row>
    <row r="650" customFormat="false" ht="15" hidden="false" customHeight="false" outlineLevel="0" collapsed="false">
      <c r="A650" s="2" t="str">
        <f aca="false">TRIM(UPPER(Raw_Data!A650))</f>
        <v>ORD200648</v>
      </c>
      <c r="B650" s="3" t="n">
        <f aca="false">IF(ISNUMBER(Raw_Data!B650),Raw_Data!B650,DATEVALUE(Raw_Data!B650))</f>
        <v>45675</v>
      </c>
      <c r="C650" s="2" t="str">
        <f aca="false">TRIM(UPPER(Raw_Data!C650))</f>
        <v>C89674</v>
      </c>
      <c r="D650" s="2" t="str">
        <f aca="false">PROPER(TRIM(Raw_Data!D650))</f>
        <v>Monitor</v>
      </c>
      <c r="E650" s="2" t="n">
        <f aca="false">Raw_Data!E650</f>
        <v>2</v>
      </c>
      <c r="F650" s="4" t="n">
        <f aca="false">ROUND(Raw_Data!F650,2)</f>
        <v>575.83</v>
      </c>
      <c r="G650" s="2" t="str">
        <f aca="false">PROPER(TRIM(Raw_Data!G650))</f>
        <v>182 Main St</v>
      </c>
      <c r="H650" s="2" t="str">
        <f aca="false">PROPER(TRIM(Raw_Data!H650))</f>
        <v>Online</v>
      </c>
      <c r="I650" s="2" t="str">
        <f aca="false">PROPER(TRIM(Raw_Data!I650))</f>
        <v>Delivered</v>
      </c>
      <c r="J650" s="2" t="str">
        <f aca="false">TRIM(UPPER(Raw_Data!J650))</f>
        <v>TRK45902512</v>
      </c>
      <c r="K650" s="2" t="n">
        <f aca="false">Raw_Data!K650</f>
        <v>3</v>
      </c>
      <c r="L650" s="2" t="str">
        <f aca="false">IF(TRIM(Raw_Data!L650)="","No Coupon",TRIM(UPPER(Raw_Data!L650)))</f>
        <v>WINTER15</v>
      </c>
      <c r="M650" s="2" t="str">
        <f aca="false">PROPER(TRIM(Raw_Data!M650))</f>
        <v>Referral</v>
      </c>
      <c r="N650" s="4" t="n">
        <f aca="false">ROUND(E650*F650,2)</f>
        <v>1151.66</v>
      </c>
      <c r="O650" s="2" t="str">
        <f aca="false">IF(COUNTIF($A$2:$A$1201,A650)&gt;1,"DUPLICATE","Unique")</f>
        <v>Unique</v>
      </c>
      <c r="P650" s="2" t="str">
        <f aca="false">IF(L650="","MISSING","OK")</f>
        <v>OK</v>
      </c>
      <c r="Q650" s="2" t="str">
        <f aca="false">IF(ISNUMBER(B650),"OK","BAD DATE")</f>
        <v>OK</v>
      </c>
      <c r="R650" s="2" t="str">
        <f aca="false">IF(ROUND(F650,2)=F650,"OK","FIX")</f>
        <v>OK</v>
      </c>
    </row>
    <row r="651" customFormat="false" ht="15" hidden="false" customHeight="false" outlineLevel="0" collapsed="false">
      <c r="A651" s="2" t="str">
        <f aca="false">TRIM(UPPER(Raw_Data!A651))</f>
        <v>ORD200649</v>
      </c>
      <c r="B651" s="3" t="n">
        <f aca="false">IF(ISNUMBER(Raw_Data!B651),Raw_Data!B651,DATEVALUE(Raw_Data!B651))</f>
        <v>45283</v>
      </c>
      <c r="C651" s="2" t="str">
        <f aca="false">TRIM(UPPER(Raw_Data!C651))</f>
        <v>C45899</v>
      </c>
      <c r="D651" s="2" t="str">
        <f aca="false">PROPER(TRIM(Raw_Data!D651))</f>
        <v>Monitor</v>
      </c>
      <c r="E651" s="2" t="n">
        <f aca="false">Raw_Data!E651</f>
        <v>2</v>
      </c>
      <c r="F651" s="4" t="n">
        <f aca="false">ROUND(Raw_Data!F651,2)</f>
        <v>642.98</v>
      </c>
      <c r="G651" s="2" t="str">
        <f aca="false">PROPER(TRIM(Raw_Data!G651))</f>
        <v>153 Main St</v>
      </c>
      <c r="H651" s="2" t="str">
        <f aca="false">PROPER(TRIM(Raw_Data!H651))</f>
        <v>Debit Card</v>
      </c>
      <c r="I651" s="2" t="str">
        <f aca="false">PROPER(TRIM(Raw_Data!I651))</f>
        <v>Returned</v>
      </c>
      <c r="J651" s="2" t="str">
        <f aca="false">TRIM(UPPER(Raw_Data!J651))</f>
        <v>TRK32932093</v>
      </c>
      <c r="K651" s="2" t="n">
        <f aca="false">Raw_Data!K651</f>
        <v>7</v>
      </c>
      <c r="L651" s="2" t="str">
        <f aca="false">IF(TRIM(Raw_Data!L651)="","No Coupon",TRIM(UPPER(Raw_Data!L651)))</f>
        <v>FREESHIP</v>
      </c>
      <c r="M651" s="2" t="str">
        <f aca="false">PROPER(TRIM(Raw_Data!M651))</f>
        <v>Email</v>
      </c>
      <c r="N651" s="4" t="n">
        <f aca="false">ROUND(E651*F651,2)</f>
        <v>1285.96</v>
      </c>
      <c r="O651" s="2" t="str">
        <f aca="false">IF(COUNTIF($A$2:$A$1201,A651)&gt;1,"DUPLICATE","Unique")</f>
        <v>Unique</v>
      </c>
      <c r="P651" s="2" t="str">
        <f aca="false">IF(L651="","MISSING","OK")</f>
        <v>OK</v>
      </c>
      <c r="Q651" s="2" t="str">
        <f aca="false">IF(ISNUMBER(B651),"OK","BAD DATE")</f>
        <v>OK</v>
      </c>
      <c r="R651" s="2" t="str">
        <f aca="false">IF(ROUND(F651,2)=F651,"OK","FIX")</f>
        <v>OK</v>
      </c>
    </row>
    <row r="652" customFormat="false" ht="15" hidden="false" customHeight="false" outlineLevel="0" collapsed="false">
      <c r="A652" s="2" t="str">
        <f aca="false">TRIM(UPPER(Raw_Data!A652))</f>
        <v>ORD200650</v>
      </c>
      <c r="B652" s="3" t="n">
        <f aca="false">IF(ISNUMBER(Raw_Data!B652),Raw_Data!B652,DATEVALUE(Raw_Data!B652))</f>
        <v>45064</v>
      </c>
      <c r="C652" s="2" t="str">
        <f aca="false">TRIM(UPPER(Raw_Data!C652))</f>
        <v>C74499</v>
      </c>
      <c r="D652" s="2" t="str">
        <f aca="false">PROPER(TRIM(Raw_Data!D652))</f>
        <v>Desk</v>
      </c>
      <c r="E652" s="2" t="n">
        <f aca="false">Raw_Data!E652</f>
        <v>2</v>
      </c>
      <c r="F652" s="4" t="n">
        <f aca="false">ROUND(Raw_Data!F652,2)</f>
        <v>372.23</v>
      </c>
      <c r="G652" s="2" t="str">
        <f aca="false">PROPER(TRIM(Raw_Data!G652))</f>
        <v>518 Main St</v>
      </c>
      <c r="H652" s="2" t="str">
        <f aca="false">PROPER(TRIM(Raw_Data!H652))</f>
        <v>Gift Card</v>
      </c>
      <c r="I652" s="2" t="str">
        <f aca="false">PROPER(TRIM(Raw_Data!I652))</f>
        <v>Delivered</v>
      </c>
      <c r="J652" s="2" t="str">
        <f aca="false">TRIM(UPPER(Raw_Data!J652))</f>
        <v>TRK93767278</v>
      </c>
      <c r="K652" s="2" t="n">
        <f aca="false">Raw_Data!K652</f>
        <v>7</v>
      </c>
      <c r="L652" s="2" t="str">
        <f aca="false">IF(TRIM(Raw_Data!L652)="","No Coupon",TRIM(UPPER(Raw_Data!L652)))</f>
        <v>SAVE10</v>
      </c>
      <c r="M652" s="2" t="str">
        <f aca="false">PROPER(TRIM(Raw_Data!M652))</f>
        <v>Email</v>
      </c>
      <c r="N652" s="4" t="n">
        <f aca="false">ROUND(E652*F652,2)</f>
        <v>744.46</v>
      </c>
      <c r="O652" s="2" t="str">
        <f aca="false">IF(COUNTIF($A$2:$A$1201,A652)&gt;1,"DUPLICATE","Unique")</f>
        <v>Unique</v>
      </c>
      <c r="P652" s="2" t="str">
        <f aca="false">IF(L652="","MISSING","OK")</f>
        <v>OK</v>
      </c>
      <c r="Q652" s="2" t="str">
        <f aca="false">IF(ISNUMBER(B652),"OK","BAD DATE")</f>
        <v>OK</v>
      </c>
      <c r="R652" s="2" t="str">
        <f aca="false">IF(ROUND(F652,2)=F652,"OK","FIX")</f>
        <v>OK</v>
      </c>
    </row>
    <row r="653" customFormat="false" ht="15" hidden="false" customHeight="false" outlineLevel="0" collapsed="false">
      <c r="A653" s="2" t="str">
        <f aca="false">TRIM(UPPER(Raw_Data!A653))</f>
        <v>ORD200651</v>
      </c>
      <c r="B653" s="3" t="n">
        <f aca="false">IF(ISNUMBER(Raw_Data!B653),Raw_Data!B653,DATEVALUE(Raw_Data!B653))</f>
        <v>45608</v>
      </c>
      <c r="C653" s="2" t="str">
        <f aca="false">TRIM(UPPER(Raw_Data!C653))</f>
        <v>C81192</v>
      </c>
      <c r="D653" s="2" t="str">
        <f aca="false">PROPER(TRIM(Raw_Data!D653))</f>
        <v>Chair</v>
      </c>
      <c r="E653" s="2" t="n">
        <f aca="false">Raw_Data!E653</f>
        <v>3</v>
      </c>
      <c r="F653" s="4" t="n">
        <f aca="false">ROUND(Raw_Data!F653,2)</f>
        <v>646.34</v>
      </c>
      <c r="G653" s="2" t="str">
        <f aca="false">PROPER(TRIM(Raw_Data!G653))</f>
        <v>429 Main St</v>
      </c>
      <c r="H653" s="2" t="str">
        <f aca="false">PROPER(TRIM(Raw_Data!H653))</f>
        <v>Debit Card</v>
      </c>
      <c r="I653" s="2" t="str">
        <f aca="false">PROPER(TRIM(Raw_Data!I653))</f>
        <v>Pending</v>
      </c>
      <c r="J653" s="2" t="str">
        <f aca="false">TRIM(UPPER(Raw_Data!J653))</f>
        <v>TRK76931118</v>
      </c>
      <c r="K653" s="2" t="n">
        <f aca="false">Raw_Data!K653</f>
        <v>5</v>
      </c>
      <c r="L653" s="2" t="str">
        <f aca="false">IF(TRIM(Raw_Data!L653)="","No Coupon",TRIM(UPPER(Raw_Data!L653)))</f>
        <v>No Coupon</v>
      </c>
      <c r="M653" s="2" t="str">
        <f aca="false">PROPER(TRIM(Raw_Data!M653))</f>
        <v>Google</v>
      </c>
      <c r="N653" s="4" t="n">
        <f aca="false">ROUND(E653*F653,2)</f>
        <v>1939.02</v>
      </c>
      <c r="O653" s="2" t="str">
        <f aca="false">IF(COUNTIF($A$2:$A$1201,A653)&gt;1,"DUPLICATE","Unique")</f>
        <v>Unique</v>
      </c>
      <c r="P653" s="2" t="str">
        <f aca="false">IF(L653="","MISSING","OK")</f>
        <v>OK</v>
      </c>
      <c r="Q653" s="2" t="str">
        <f aca="false">IF(ISNUMBER(B653),"OK","BAD DATE")</f>
        <v>OK</v>
      </c>
      <c r="R653" s="2" t="str">
        <f aca="false">IF(ROUND(F653,2)=F653,"OK","FIX")</f>
        <v>OK</v>
      </c>
    </row>
    <row r="654" customFormat="false" ht="15" hidden="false" customHeight="false" outlineLevel="0" collapsed="false">
      <c r="A654" s="2" t="str">
        <f aca="false">TRIM(UPPER(Raw_Data!A654))</f>
        <v>ORD200652</v>
      </c>
      <c r="B654" s="3" t="n">
        <f aca="false">IF(ISNUMBER(Raw_Data!B654),Raw_Data!B654,DATEVALUE(Raw_Data!B654))</f>
        <v>45448</v>
      </c>
      <c r="C654" s="2" t="str">
        <f aca="false">TRIM(UPPER(Raw_Data!C654))</f>
        <v>C71473</v>
      </c>
      <c r="D654" s="2" t="str">
        <f aca="false">PROPER(TRIM(Raw_Data!D654))</f>
        <v>Chair</v>
      </c>
      <c r="E654" s="2" t="n">
        <f aca="false">Raw_Data!E654</f>
        <v>5</v>
      </c>
      <c r="F654" s="4" t="n">
        <f aca="false">ROUND(Raw_Data!F654,2)</f>
        <v>341.84</v>
      </c>
      <c r="G654" s="2" t="str">
        <f aca="false">PROPER(TRIM(Raw_Data!G654))</f>
        <v>328 Main St</v>
      </c>
      <c r="H654" s="2" t="str">
        <f aca="false">PROPER(TRIM(Raw_Data!H654))</f>
        <v>Online</v>
      </c>
      <c r="I654" s="2" t="str">
        <f aca="false">PROPER(TRIM(Raw_Data!I654))</f>
        <v>Shipped</v>
      </c>
      <c r="J654" s="2" t="str">
        <f aca="false">TRIM(UPPER(Raw_Data!J654))</f>
        <v>TRK94857335</v>
      </c>
      <c r="K654" s="2" t="n">
        <f aca="false">Raw_Data!K654</f>
        <v>8</v>
      </c>
      <c r="L654" s="2" t="str">
        <f aca="false">IF(TRIM(Raw_Data!L654)="","No Coupon",TRIM(UPPER(Raw_Data!L654)))</f>
        <v>FREESHIP</v>
      </c>
      <c r="M654" s="2" t="str">
        <f aca="false">PROPER(TRIM(Raw_Data!M654))</f>
        <v>Instagram</v>
      </c>
      <c r="N654" s="4" t="n">
        <f aca="false">ROUND(E654*F654,2)</f>
        <v>1709.2</v>
      </c>
      <c r="O654" s="2" t="str">
        <f aca="false">IF(COUNTIF($A$2:$A$1201,A654)&gt;1,"DUPLICATE","Unique")</f>
        <v>Unique</v>
      </c>
      <c r="P654" s="2" t="str">
        <f aca="false">IF(L654="","MISSING","OK")</f>
        <v>OK</v>
      </c>
      <c r="Q654" s="2" t="str">
        <f aca="false">IF(ISNUMBER(B654),"OK","BAD DATE")</f>
        <v>OK</v>
      </c>
      <c r="R654" s="2" t="str">
        <f aca="false">IF(ROUND(F654,2)=F654,"OK","FIX")</f>
        <v>OK</v>
      </c>
    </row>
    <row r="655" customFormat="false" ht="15" hidden="false" customHeight="false" outlineLevel="0" collapsed="false">
      <c r="A655" s="2" t="str">
        <f aca="false">TRIM(UPPER(Raw_Data!A655))</f>
        <v>ORD200653</v>
      </c>
      <c r="B655" s="3" t="n">
        <f aca="false">IF(ISNUMBER(Raw_Data!B655),Raw_Data!B655,DATEVALUE(Raw_Data!B655))</f>
        <v>45347</v>
      </c>
      <c r="C655" s="2" t="str">
        <f aca="false">TRIM(UPPER(Raw_Data!C655))</f>
        <v>C59338</v>
      </c>
      <c r="D655" s="2" t="str">
        <f aca="false">PROPER(TRIM(Raw_Data!D655))</f>
        <v>Printer</v>
      </c>
      <c r="E655" s="2" t="n">
        <f aca="false">Raw_Data!E655</f>
        <v>3</v>
      </c>
      <c r="F655" s="4" t="n">
        <f aca="false">ROUND(Raw_Data!F655,2)</f>
        <v>690.3</v>
      </c>
      <c r="G655" s="2" t="str">
        <f aca="false">PROPER(TRIM(Raw_Data!G655))</f>
        <v>747 Main St</v>
      </c>
      <c r="H655" s="2" t="str">
        <f aca="false">PROPER(TRIM(Raw_Data!H655))</f>
        <v>Credit Card</v>
      </c>
      <c r="I655" s="2" t="str">
        <f aca="false">PROPER(TRIM(Raw_Data!I655))</f>
        <v>Shipped</v>
      </c>
      <c r="J655" s="2" t="str">
        <f aca="false">TRIM(UPPER(Raw_Data!J655))</f>
        <v>TRK12902764</v>
      </c>
      <c r="K655" s="2" t="n">
        <f aca="false">Raw_Data!K655</f>
        <v>6</v>
      </c>
      <c r="L655" s="2" t="str">
        <f aca="false">IF(TRIM(Raw_Data!L655)="","No Coupon",TRIM(UPPER(Raw_Data!L655)))</f>
        <v>WINTER15</v>
      </c>
      <c r="M655" s="2" t="str">
        <f aca="false">PROPER(TRIM(Raw_Data!M655))</f>
        <v>Google</v>
      </c>
      <c r="N655" s="4" t="n">
        <f aca="false">ROUND(E655*F655,2)</f>
        <v>2070.9</v>
      </c>
      <c r="O655" s="2" t="str">
        <f aca="false">IF(COUNTIF($A$2:$A$1201,A655)&gt;1,"DUPLICATE","Unique")</f>
        <v>Unique</v>
      </c>
      <c r="P655" s="2" t="str">
        <f aca="false">IF(L655="","MISSING","OK")</f>
        <v>OK</v>
      </c>
      <c r="Q655" s="2" t="str">
        <f aca="false">IF(ISNUMBER(B655),"OK","BAD DATE")</f>
        <v>OK</v>
      </c>
      <c r="R655" s="2" t="str">
        <f aca="false">IF(ROUND(F655,2)=F655,"OK","FIX")</f>
        <v>OK</v>
      </c>
    </row>
    <row r="656" customFormat="false" ht="15" hidden="false" customHeight="false" outlineLevel="0" collapsed="false">
      <c r="A656" s="2" t="str">
        <f aca="false">TRIM(UPPER(Raw_Data!A656))</f>
        <v>ORD200654</v>
      </c>
      <c r="B656" s="3" t="n">
        <f aca="false">IF(ISNUMBER(Raw_Data!B656),Raw_Data!B656,DATEVALUE(Raw_Data!B656))</f>
        <v>45089</v>
      </c>
      <c r="C656" s="2" t="str">
        <f aca="false">TRIM(UPPER(Raw_Data!C656))</f>
        <v>C62661</v>
      </c>
      <c r="D656" s="2" t="str">
        <f aca="false">PROPER(TRIM(Raw_Data!D656))</f>
        <v>Tablet</v>
      </c>
      <c r="E656" s="2" t="n">
        <f aca="false">Raw_Data!E656</f>
        <v>3</v>
      </c>
      <c r="F656" s="4" t="n">
        <f aca="false">ROUND(Raw_Data!F656,2)</f>
        <v>382.37</v>
      </c>
      <c r="G656" s="2" t="str">
        <f aca="false">PROPER(TRIM(Raw_Data!G656))</f>
        <v>863 Main St</v>
      </c>
      <c r="H656" s="2" t="str">
        <f aca="false">PROPER(TRIM(Raw_Data!H656))</f>
        <v>Debit Card</v>
      </c>
      <c r="I656" s="2" t="str">
        <f aca="false">PROPER(TRIM(Raw_Data!I656))</f>
        <v>Returned</v>
      </c>
      <c r="J656" s="2" t="str">
        <f aca="false">TRIM(UPPER(Raw_Data!J656))</f>
        <v>TRK25748100</v>
      </c>
      <c r="K656" s="2" t="n">
        <f aca="false">Raw_Data!K656</f>
        <v>8</v>
      </c>
      <c r="L656" s="2" t="str">
        <f aca="false">IF(TRIM(Raw_Data!L656)="","No Coupon",TRIM(UPPER(Raw_Data!L656)))</f>
        <v>No Coupon</v>
      </c>
      <c r="M656" s="2" t="str">
        <f aca="false">PROPER(TRIM(Raw_Data!M656))</f>
        <v>Instagram</v>
      </c>
      <c r="N656" s="4" t="n">
        <f aca="false">ROUND(E656*F656,2)</f>
        <v>1147.11</v>
      </c>
      <c r="O656" s="2" t="str">
        <f aca="false">IF(COUNTIF($A$2:$A$1201,A656)&gt;1,"DUPLICATE","Unique")</f>
        <v>Unique</v>
      </c>
      <c r="P656" s="2" t="str">
        <f aca="false">IF(L656="","MISSING","OK")</f>
        <v>OK</v>
      </c>
      <c r="Q656" s="2" t="str">
        <f aca="false">IF(ISNUMBER(B656),"OK","BAD DATE")</f>
        <v>OK</v>
      </c>
      <c r="R656" s="2" t="str">
        <f aca="false">IF(ROUND(F656,2)=F656,"OK","FIX")</f>
        <v>OK</v>
      </c>
    </row>
    <row r="657" customFormat="false" ht="15" hidden="false" customHeight="false" outlineLevel="0" collapsed="false">
      <c r="A657" s="2" t="str">
        <f aca="false">TRIM(UPPER(Raw_Data!A657))</f>
        <v>ORD200655</v>
      </c>
      <c r="B657" s="3" t="n">
        <f aca="false">IF(ISNUMBER(Raw_Data!B657),Raw_Data!B657,DATEVALUE(Raw_Data!B657))</f>
        <v>44999</v>
      </c>
      <c r="C657" s="2" t="str">
        <f aca="false">TRIM(UPPER(Raw_Data!C657))</f>
        <v>C22101</v>
      </c>
      <c r="D657" s="2" t="str">
        <f aca="false">PROPER(TRIM(Raw_Data!D657))</f>
        <v>Chair</v>
      </c>
      <c r="E657" s="2" t="n">
        <f aca="false">Raw_Data!E657</f>
        <v>2</v>
      </c>
      <c r="F657" s="4" t="n">
        <f aca="false">ROUND(Raw_Data!F657,2)</f>
        <v>132.6</v>
      </c>
      <c r="G657" s="2" t="str">
        <f aca="false">PROPER(TRIM(Raw_Data!G657))</f>
        <v>262 Main St</v>
      </c>
      <c r="H657" s="2" t="str">
        <f aca="false">PROPER(TRIM(Raw_Data!H657))</f>
        <v>Debit Card</v>
      </c>
      <c r="I657" s="2" t="str">
        <f aca="false">PROPER(TRIM(Raw_Data!I657))</f>
        <v>Cancelled</v>
      </c>
      <c r="J657" s="2" t="str">
        <f aca="false">TRIM(UPPER(Raw_Data!J657))</f>
        <v>TRK70711522</v>
      </c>
      <c r="K657" s="2" t="n">
        <f aca="false">Raw_Data!K657</f>
        <v>4</v>
      </c>
      <c r="L657" s="2" t="str">
        <f aca="false">IF(TRIM(Raw_Data!L657)="","No Coupon",TRIM(UPPER(Raw_Data!L657)))</f>
        <v>WINTER15</v>
      </c>
      <c r="M657" s="2" t="str">
        <f aca="false">PROPER(TRIM(Raw_Data!M657))</f>
        <v>Email</v>
      </c>
      <c r="N657" s="4" t="n">
        <f aca="false">ROUND(E657*F657,2)</f>
        <v>265.2</v>
      </c>
      <c r="O657" s="2" t="str">
        <f aca="false">IF(COUNTIF($A$2:$A$1201,A657)&gt;1,"DUPLICATE","Unique")</f>
        <v>Unique</v>
      </c>
      <c r="P657" s="2" t="str">
        <f aca="false">IF(L657="","MISSING","OK")</f>
        <v>OK</v>
      </c>
      <c r="Q657" s="2" t="str">
        <f aca="false">IF(ISNUMBER(B657),"OK","BAD DATE")</f>
        <v>OK</v>
      </c>
      <c r="R657" s="2" t="str">
        <f aca="false">IF(ROUND(F657,2)=F657,"OK","FIX")</f>
        <v>OK</v>
      </c>
    </row>
    <row r="658" customFormat="false" ht="15" hidden="false" customHeight="false" outlineLevel="0" collapsed="false">
      <c r="A658" s="2" t="str">
        <f aca="false">TRIM(UPPER(Raw_Data!A658))</f>
        <v>ORD200656</v>
      </c>
      <c r="B658" s="3" t="n">
        <f aca="false">IF(ISNUMBER(Raw_Data!B658),Raw_Data!B658,DATEVALUE(Raw_Data!B658))</f>
        <v>45309</v>
      </c>
      <c r="C658" s="2" t="str">
        <f aca="false">TRIM(UPPER(Raw_Data!C658))</f>
        <v>C51404</v>
      </c>
      <c r="D658" s="2" t="str">
        <f aca="false">PROPER(TRIM(Raw_Data!D658))</f>
        <v>Monitor</v>
      </c>
      <c r="E658" s="2" t="n">
        <f aca="false">Raw_Data!E658</f>
        <v>2</v>
      </c>
      <c r="F658" s="4" t="n">
        <f aca="false">ROUND(Raw_Data!F658,2)</f>
        <v>189.06</v>
      </c>
      <c r="G658" s="2" t="str">
        <f aca="false">PROPER(TRIM(Raw_Data!G658))</f>
        <v>835 Main St</v>
      </c>
      <c r="H658" s="2" t="str">
        <f aca="false">PROPER(TRIM(Raw_Data!H658))</f>
        <v>Gift Card</v>
      </c>
      <c r="I658" s="2" t="str">
        <f aca="false">PROPER(TRIM(Raw_Data!I658))</f>
        <v>Shipped</v>
      </c>
      <c r="J658" s="2" t="str">
        <f aca="false">TRIM(UPPER(Raw_Data!J658))</f>
        <v>TRK85682500</v>
      </c>
      <c r="K658" s="2" t="n">
        <f aca="false">Raw_Data!K658</f>
        <v>7</v>
      </c>
      <c r="L658" s="2" t="str">
        <f aca="false">IF(TRIM(Raw_Data!L658)="","No Coupon",TRIM(UPPER(Raw_Data!L658)))</f>
        <v>SAVE10</v>
      </c>
      <c r="M658" s="2" t="str">
        <f aca="false">PROPER(TRIM(Raw_Data!M658))</f>
        <v>Facebook</v>
      </c>
      <c r="N658" s="4" t="n">
        <f aca="false">ROUND(E658*F658,2)</f>
        <v>378.12</v>
      </c>
      <c r="O658" s="2" t="str">
        <f aca="false">IF(COUNTIF($A$2:$A$1201,A658)&gt;1,"DUPLICATE","Unique")</f>
        <v>Unique</v>
      </c>
      <c r="P658" s="2" t="str">
        <f aca="false">IF(L658="","MISSING","OK")</f>
        <v>OK</v>
      </c>
      <c r="Q658" s="2" t="str">
        <f aca="false">IF(ISNUMBER(B658),"OK","BAD DATE")</f>
        <v>OK</v>
      </c>
      <c r="R658" s="2" t="str">
        <f aca="false">IF(ROUND(F658,2)=F658,"OK","FIX")</f>
        <v>OK</v>
      </c>
    </row>
    <row r="659" customFormat="false" ht="15" hidden="false" customHeight="false" outlineLevel="0" collapsed="false">
      <c r="A659" s="2" t="str">
        <f aca="false">TRIM(UPPER(Raw_Data!A659))</f>
        <v>ORD200657</v>
      </c>
      <c r="B659" s="3" t="n">
        <f aca="false">IF(ISNUMBER(Raw_Data!B659),Raw_Data!B659,DATEVALUE(Raw_Data!B659))</f>
        <v>45284</v>
      </c>
      <c r="C659" s="2" t="str">
        <f aca="false">TRIM(UPPER(Raw_Data!C659))</f>
        <v>C19384</v>
      </c>
      <c r="D659" s="2" t="str">
        <f aca="false">PROPER(TRIM(Raw_Data!D659))</f>
        <v>Tablet</v>
      </c>
      <c r="E659" s="2" t="n">
        <f aca="false">Raw_Data!E659</f>
        <v>4</v>
      </c>
      <c r="F659" s="4" t="n">
        <f aca="false">ROUND(Raw_Data!F659,2)</f>
        <v>87.79</v>
      </c>
      <c r="G659" s="2" t="str">
        <f aca="false">PROPER(TRIM(Raw_Data!G659))</f>
        <v>532 Main St</v>
      </c>
      <c r="H659" s="2" t="str">
        <f aca="false">PROPER(TRIM(Raw_Data!H659))</f>
        <v>Cash</v>
      </c>
      <c r="I659" s="2" t="str">
        <f aca="false">PROPER(TRIM(Raw_Data!I659))</f>
        <v>Cancelled</v>
      </c>
      <c r="J659" s="2" t="str">
        <f aca="false">TRIM(UPPER(Raw_Data!J659))</f>
        <v>TRK33207064</v>
      </c>
      <c r="K659" s="2" t="n">
        <f aca="false">Raw_Data!K659</f>
        <v>6</v>
      </c>
      <c r="L659" s="2" t="str">
        <f aca="false">IF(TRIM(Raw_Data!L659)="","No Coupon",TRIM(UPPER(Raw_Data!L659)))</f>
        <v>FREESHIP</v>
      </c>
      <c r="M659" s="2" t="str">
        <f aca="false">PROPER(TRIM(Raw_Data!M659))</f>
        <v>Instagram</v>
      </c>
      <c r="N659" s="4" t="n">
        <f aca="false">ROUND(E659*F659,2)</f>
        <v>351.16</v>
      </c>
      <c r="O659" s="2" t="str">
        <f aca="false">IF(COUNTIF($A$2:$A$1201,A659)&gt;1,"DUPLICATE","Unique")</f>
        <v>Unique</v>
      </c>
      <c r="P659" s="2" t="str">
        <f aca="false">IF(L659="","MISSING","OK")</f>
        <v>OK</v>
      </c>
      <c r="Q659" s="2" t="str">
        <f aca="false">IF(ISNUMBER(B659),"OK","BAD DATE")</f>
        <v>OK</v>
      </c>
      <c r="R659" s="2" t="str">
        <f aca="false">IF(ROUND(F659,2)=F659,"OK","FIX")</f>
        <v>OK</v>
      </c>
    </row>
    <row r="660" customFormat="false" ht="15" hidden="false" customHeight="false" outlineLevel="0" collapsed="false">
      <c r="A660" s="2" t="str">
        <f aca="false">TRIM(UPPER(Raw_Data!A660))</f>
        <v>ORD200658</v>
      </c>
      <c r="B660" s="3" t="n">
        <f aca="false">IF(ISNUMBER(Raw_Data!B660),Raw_Data!B660,DATEVALUE(Raw_Data!B660))</f>
        <v>45765</v>
      </c>
      <c r="C660" s="2" t="str">
        <f aca="false">TRIM(UPPER(Raw_Data!C660))</f>
        <v>C86864</v>
      </c>
      <c r="D660" s="2" t="str">
        <f aca="false">PROPER(TRIM(Raw_Data!D660))</f>
        <v>Printer</v>
      </c>
      <c r="E660" s="2" t="n">
        <f aca="false">Raw_Data!E660</f>
        <v>2</v>
      </c>
      <c r="F660" s="4" t="n">
        <f aca="false">ROUND(Raw_Data!F660,2)</f>
        <v>46.36</v>
      </c>
      <c r="G660" s="2" t="str">
        <f aca="false">PROPER(TRIM(Raw_Data!G660))</f>
        <v>670 Main St</v>
      </c>
      <c r="H660" s="2" t="str">
        <f aca="false">PROPER(TRIM(Raw_Data!H660))</f>
        <v>Gift Card</v>
      </c>
      <c r="I660" s="2" t="str">
        <f aca="false">PROPER(TRIM(Raw_Data!I660))</f>
        <v>Returned</v>
      </c>
      <c r="J660" s="2" t="str">
        <f aca="false">TRIM(UPPER(Raw_Data!J660))</f>
        <v>TRK15323191</v>
      </c>
      <c r="K660" s="2" t="n">
        <f aca="false">Raw_Data!K660</f>
        <v>4</v>
      </c>
      <c r="L660" s="2" t="str">
        <f aca="false">IF(TRIM(Raw_Data!L660)="","No Coupon",TRIM(UPPER(Raw_Data!L660)))</f>
        <v>SAVE10</v>
      </c>
      <c r="M660" s="2" t="str">
        <f aca="false">PROPER(TRIM(Raw_Data!M660))</f>
        <v>Google</v>
      </c>
      <c r="N660" s="4" t="n">
        <f aca="false">ROUND(E660*F660,2)</f>
        <v>92.72</v>
      </c>
      <c r="O660" s="2" t="str">
        <f aca="false">IF(COUNTIF($A$2:$A$1201,A660)&gt;1,"DUPLICATE","Unique")</f>
        <v>Unique</v>
      </c>
      <c r="P660" s="2" t="str">
        <f aca="false">IF(L660="","MISSING","OK")</f>
        <v>OK</v>
      </c>
      <c r="Q660" s="2" t="str">
        <f aca="false">IF(ISNUMBER(B660),"OK","BAD DATE")</f>
        <v>OK</v>
      </c>
      <c r="R660" s="2" t="str">
        <f aca="false">IF(ROUND(F660,2)=F660,"OK","FIX")</f>
        <v>OK</v>
      </c>
    </row>
    <row r="661" customFormat="false" ht="15" hidden="false" customHeight="false" outlineLevel="0" collapsed="false">
      <c r="A661" s="2" t="str">
        <f aca="false">TRIM(UPPER(Raw_Data!A661))</f>
        <v>ORD200659</v>
      </c>
      <c r="B661" s="3" t="n">
        <f aca="false">IF(ISNUMBER(Raw_Data!B661),Raw_Data!B661,DATEVALUE(Raw_Data!B661))</f>
        <v>45591</v>
      </c>
      <c r="C661" s="2" t="str">
        <f aca="false">TRIM(UPPER(Raw_Data!C661))</f>
        <v>C24301</v>
      </c>
      <c r="D661" s="2" t="str">
        <f aca="false">PROPER(TRIM(Raw_Data!D661))</f>
        <v>Phone</v>
      </c>
      <c r="E661" s="2" t="n">
        <f aca="false">Raw_Data!E661</f>
        <v>2</v>
      </c>
      <c r="F661" s="4" t="n">
        <f aca="false">ROUND(Raw_Data!F661,2)</f>
        <v>642.04</v>
      </c>
      <c r="G661" s="2" t="str">
        <f aca="false">PROPER(TRIM(Raw_Data!G661))</f>
        <v>964 Main St</v>
      </c>
      <c r="H661" s="2" t="str">
        <f aca="false">PROPER(TRIM(Raw_Data!H661))</f>
        <v>Gift Card</v>
      </c>
      <c r="I661" s="2" t="str">
        <f aca="false">PROPER(TRIM(Raw_Data!I661))</f>
        <v>Delivered</v>
      </c>
      <c r="J661" s="2" t="str">
        <f aca="false">TRIM(UPPER(Raw_Data!J661))</f>
        <v>TRK55000075</v>
      </c>
      <c r="K661" s="2" t="n">
        <f aca="false">Raw_Data!K661</f>
        <v>4</v>
      </c>
      <c r="L661" s="2" t="str">
        <f aca="false">IF(TRIM(Raw_Data!L661)="","No Coupon",TRIM(UPPER(Raw_Data!L661)))</f>
        <v>WINTER15</v>
      </c>
      <c r="M661" s="2" t="str">
        <f aca="false">PROPER(TRIM(Raw_Data!M661))</f>
        <v>Email</v>
      </c>
      <c r="N661" s="4" t="n">
        <f aca="false">ROUND(E661*F661,2)</f>
        <v>1284.08</v>
      </c>
      <c r="O661" s="2" t="str">
        <f aca="false">IF(COUNTIF($A$2:$A$1201,A661)&gt;1,"DUPLICATE","Unique")</f>
        <v>Unique</v>
      </c>
      <c r="P661" s="2" t="str">
        <f aca="false">IF(L661="","MISSING","OK")</f>
        <v>OK</v>
      </c>
      <c r="Q661" s="2" t="str">
        <f aca="false">IF(ISNUMBER(B661),"OK","BAD DATE")</f>
        <v>OK</v>
      </c>
      <c r="R661" s="2" t="str">
        <f aca="false">IF(ROUND(F661,2)=F661,"OK","FIX")</f>
        <v>OK</v>
      </c>
    </row>
    <row r="662" customFormat="false" ht="15" hidden="false" customHeight="false" outlineLevel="0" collapsed="false">
      <c r="A662" s="2" t="str">
        <f aca="false">TRIM(UPPER(Raw_Data!A662))</f>
        <v>ORD200660</v>
      </c>
      <c r="B662" s="3" t="n">
        <f aca="false">IF(ISNUMBER(Raw_Data!B662),Raw_Data!B662,DATEVALUE(Raw_Data!B662))</f>
        <v>45584</v>
      </c>
      <c r="C662" s="2" t="str">
        <f aca="false">TRIM(UPPER(Raw_Data!C662))</f>
        <v>C43842</v>
      </c>
      <c r="D662" s="2" t="str">
        <f aca="false">PROPER(TRIM(Raw_Data!D662))</f>
        <v>Chair</v>
      </c>
      <c r="E662" s="2" t="n">
        <f aca="false">Raw_Data!E662</f>
        <v>2</v>
      </c>
      <c r="F662" s="4" t="n">
        <f aca="false">ROUND(Raw_Data!F662,2)</f>
        <v>651.57</v>
      </c>
      <c r="G662" s="2" t="str">
        <f aca="false">PROPER(TRIM(Raw_Data!G662))</f>
        <v>933 Main St</v>
      </c>
      <c r="H662" s="2" t="str">
        <f aca="false">PROPER(TRIM(Raw_Data!H662))</f>
        <v>Debit Card</v>
      </c>
      <c r="I662" s="2" t="str">
        <f aca="false">PROPER(TRIM(Raw_Data!I662))</f>
        <v>Shipped</v>
      </c>
      <c r="J662" s="2" t="str">
        <f aca="false">TRIM(UPPER(Raw_Data!J662))</f>
        <v>TRK54084424</v>
      </c>
      <c r="K662" s="2" t="n">
        <f aca="false">Raw_Data!K662</f>
        <v>7</v>
      </c>
      <c r="L662" s="2" t="str">
        <f aca="false">IF(TRIM(Raw_Data!L662)="","No Coupon",TRIM(UPPER(Raw_Data!L662)))</f>
        <v>WINTER15</v>
      </c>
      <c r="M662" s="2" t="str">
        <f aca="false">PROPER(TRIM(Raw_Data!M662))</f>
        <v>Facebook</v>
      </c>
      <c r="N662" s="4" t="n">
        <f aca="false">ROUND(E662*F662,2)</f>
        <v>1303.14</v>
      </c>
      <c r="O662" s="2" t="str">
        <f aca="false">IF(COUNTIF($A$2:$A$1201,A662)&gt;1,"DUPLICATE","Unique")</f>
        <v>Unique</v>
      </c>
      <c r="P662" s="2" t="str">
        <f aca="false">IF(L662="","MISSING","OK")</f>
        <v>OK</v>
      </c>
      <c r="Q662" s="2" t="str">
        <f aca="false">IF(ISNUMBER(B662),"OK","BAD DATE")</f>
        <v>OK</v>
      </c>
      <c r="R662" s="2" t="str">
        <f aca="false">IF(ROUND(F662,2)=F662,"OK","FIX")</f>
        <v>OK</v>
      </c>
    </row>
    <row r="663" customFormat="false" ht="15" hidden="false" customHeight="false" outlineLevel="0" collapsed="false">
      <c r="A663" s="2" t="str">
        <f aca="false">TRIM(UPPER(Raw_Data!A663))</f>
        <v>ORD200661</v>
      </c>
      <c r="B663" s="3" t="n">
        <f aca="false">IF(ISNUMBER(Raw_Data!B663),Raw_Data!B663,DATEVALUE(Raw_Data!B663))</f>
        <v>45716</v>
      </c>
      <c r="C663" s="2" t="str">
        <f aca="false">TRIM(UPPER(Raw_Data!C663))</f>
        <v>C63657</v>
      </c>
      <c r="D663" s="2" t="str">
        <f aca="false">PROPER(TRIM(Raw_Data!D663))</f>
        <v>Tablet</v>
      </c>
      <c r="E663" s="2" t="n">
        <f aca="false">Raw_Data!E663</f>
        <v>3</v>
      </c>
      <c r="F663" s="4" t="n">
        <f aca="false">ROUND(Raw_Data!F663,2)</f>
        <v>424.89</v>
      </c>
      <c r="G663" s="2" t="str">
        <f aca="false">PROPER(TRIM(Raw_Data!G663))</f>
        <v>116 Main St</v>
      </c>
      <c r="H663" s="2" t="str">
        <f aca="false">PROPER(TRIM(Raw_Data!H663))</f>
        <v>Debit Card</v>
      </c>
      <c r="I663" s="2" t="str">
        <f aca="false">PROPER(TRIM(Raw_Data!I663))</f>
        <v>Cancelled</v>
      </c>
      <c r="J663" s="2" t="str">
        <f aca="false">TRIM(UPPER(Raw_Data!J663))</f>
        <v>TRK86378984</v>
      </c>
      <c r="K663" s="2" t="n">
        <f aca="false">Raw_Data!K663</f>
        <v>6</v>
      </c>
      <c r="L663" s="2" t="str">
        <f aca="false">IF(TRIM(Raw_Data!L663)="","No Coupon",TRIM(UPPER(Raw_Data!L663)))</f>
        <v>FREESHIP</v>
      </c>
      <c r="M663" s="2" t="str">
        <f aca="false">PROPER(TRIM(Raw_Data!M663))</f>
        <v>Google</v>
      </c>
      <c r="N663" s="4" t="n">
        <f aca="false">ROUND(E663*F663,2)</f>
        <v>1274.67</v>
      </c>
      <c r="O663" s="2" t="str">
        <f aca="false">IF(COUNTIF($A$2:$A$1201,A663)&gt;1,"DUPLICATE","Unique")</f>
        <v>Unique</v>
      </c>
      <c r="P663" s="2" t="str">
        <f aca="false">IF(L663="","MISSING","OK")</f>
        <v>OK</v>
      </c>
      <c r="Q663" s="2" t="str">
        <f aca="false">IF(ISNUMBER(B663),"OK","BAD DATE")</f>
        <v>OK</v>
      </c>
      <c r="R663" s="2" t="str">
        <f aca="false">IF(ROUND(F663,2)=F663,"OK","FIX")</f>
        <v>OK</v>
      </c>
    </row>
    <row r="664" customFormat="false" ht="15" hidden="false" customHeight="false" outlineLevel="0" collapsed="false">
      <c r="A664" s="2" t="str">
        <f aca="false">TRIM(UPPER(Raw_Data!A664))</f>
        <v>ORD200662</v>
      </c>
      <c r="B664" s="3" t="n">
        <f aca="false">IF(ISNUMBER(Raw_Data!B664),Raw_Data!B664,DATEVALUE(Raw_Data!B664))</f>
        <v>44954</v>
      </c>
      <c r="C664" s="2" t="str">
        <f aca="false">TRIM(UPPER(Raw_Data!C664))</f>
        <v>C98332</v>
      </c>
      <c r="D664" s="2" t="str">
        <f aca="false">PROPER(TRIM(Raw_Data!D664))</f>
        <v>Laptop</v>
      </c>
      <c r="E664" s="2" t="n">
        <f aca="false">Raw_Data!E664</f>
        <v>3</v>
      </c>
      <c r="F664" s="4" t="n">
        <f aca="false">ROUND(Raw_Data!F664,2)</f>
        <v>438.89</v>
      </c>
      <c r="G664" s="2" t="str">
        <f aca="false">PROPER(TRIM(Raw_Data!G664))</f>
        <v>985 Main St</v>
      </c>
      <c r="H664" s="2" t="str">
        <f aca="false">PROPER(TRIM(Raw_Data!H664))</f>
        <v>Cash</v>
      </c>
      <c r="I664" s="2" t="str">
        <f aca="false">PROPER(TRIM(Raw_Data!I664))</f>
        <v>Returned</v>
      </c>
      <c r="J664" s="2" t="str">
        <f aca="false">TRIM(UPPER(Raw_Data!J664))</f>
        <v>TRK85744797</v>
      </c>
      <c r="K664" s="2" t="n">
        <f aca="false">Raw_Data!K664</f>
        <v>3</v>
      </c>
      <c r="L664" s="2" t="str">
        <f aca="false">IF(TRIM(Raw_Data!L664)="","No Coupon",TRIM(UPPER(Raw_Data!L664)))</f>
        <v>No Coupon</v>
      </c>
      <c r="M664" s="2" t="str">
        <f aca="false">PROPER(TRIM(Raw_Data!M664))</f>
        <v>Facebook</v>
      </c>
      <c r="N664" s="4" t="n">
        <f aca="false">ROUND(E664*F664,2)</f>
        <v>1316.67</v>
      </c>
      <c r="O664" s="2" t="str">
        <f aca="false">IF(COUNTIF($A$2:$A$1201,A664)&gt;1,"DUPLICATE","Unique")</f>
        <v>Unique</v>
      </c>
      <c r="P664" s="2" t="str">
        <f aca="false">IF(L664="","MISSING","OK")</f>
        <v>OK</v>
      </c>
      <c r="Q664" s="2" t="str">
        <f aca="false">IF(ISNUMBER(B664),"OK","BAD DATE")</f>
        <v>OK</v>
      </c>
      <c r="R664" s="2" t="str">
        <f aca="false">IF(ROUND(F664,2)=F664,"OK","FIX")</f>
        <v>OK</v>
      </c>
    </row>
    <row r="665" customFormat="false" ht="15" hidden="false" customHeight="false" outlineLevel="0" collapsed="false">
      <c r="A665" s="2" t="str">
        <f aca="false">TRIM(UPPER(Raw_Data!A665))</f>
        <v>ORD200663</v>
      </c>
      <c r="B665" s="3" t="n">
        <f aca="false">IF(ISNUMBER(Raw_Data!B665),Raw_Data!B665,DATEVALUE(Raw_Data!B665))</f>
        <v>45397</v>
      </c>
      <c r="C665" s="2" t="str">
        <f aca="false">TRIM(UPPER(Raw_Data!C665))</f>
        <v>C59774</v>
      </c>
      <c r="D665" s="2" t="str">
        <f aca="false">PROPER(TRIM(Raw_Data!D665))</f>
        <v>Monitor</v>
      </c>
      <c r="E665" s="2" t="n">
        <f aca="false">Raw_Data!E665</f>
        <v>1</v>
      </c>
      <c r="F665" s="4" t="n">
        <f aca="false">ROUND(Raw_Data!F665,2)</f>
        <v>72.6</v>
      </c>
      <c r="G665" s="2" t="str">
        <f aca="false">PROPER(TRIM(Raw_Data!G665))</f>
        <v>941 Main St</v>
      </c>
      <c r="H665" s="2" t="str">
        <f aca="false">PROPER(TRIM(Raw_Data!H665))</f>
        <v>Debit Card</v>
      </c>
      <c r="I665" s="2" t="str">
        <f aca="false">PROPER(TRIM(Raw_Data!I665))</f>
        <v>Cancelled</v>
      </c>
      <c r="J665" s="2" t="str">
        <f aca="false">TRIM(UPPER(Raw_Data!J665))</f>
        <v>TRK87635135</v>
      </c>
      <c r="K665" s="2" t="n">
        <f aca="false">Raw_Data!K665</f>
        <v>6</v>
      </c>
      <c r="L665" s="2" t="str">
        <f aca="false">IF(TRIM(Raw_Data!L665)="","No Coupon",TRIM(UPPER(Raw_Data!L665)))</f>
        <v>FREESHIP</v>
      </c>
      <c r="M665" s="2" t="str">
        <f aca="false">PROPER(TRIM(Raw_Data!M665))</f>
        <v>Instagram</v>
      </c>
      <c r="N665" s="4" t="n">
        <f aca="false">ROUND(E665*F665,2)</f>
        <v>72.6</v>
      </c>
      <c r="O665" s="2" t="str">
        <f aca="false">IF(COUNTIF($A$2:$A$1201,A665)&gt;1,"DUPLICATE","Unique")</f>
        <v>Unique</v>
      </c>
      <c r="P665" s="2" t="str">
        <f aca="false">IF(L665="","MISSING","OK")</f>
        <v>OK</v>
      </c>
      <c r="Q665" s="2" t="str">
        <f aca="false">IF(ISNUMBER(B665),"OK","BAD DATE")</f>
        <v>OK</v>
      </c>
      <c r="R665" s="2" t="str">
        <f aca="false">IF(ROUND(F665,2)=F665,"OK","FIX")</f>
        <v>OK</v>
      </c>
    </row>
    <row r="666" customFormat="false" ht="15" hidden="false" customHeight="false" outlineLevel="0" collapsed="false">
      <c r="A666" s="2" t="str">
        <f aca="false">TRIM(UPPER(Raw_Data!A666))</f>
        <v>ORD200664</v>
      </c>
      <c r="B666" s="3" t="n">
        <f aca="false">IF(ISNUMBER(Raw_Data!B666),Raw_Data!B666,DATEVALUE(Raw_Data!B666))</f>
        <v>45645</v>
      </c>
      <c r="C666" s="2" t="str">
        <f aca="false">TRIM(UPPER(Raw_Data!C666))</f>
        <v>C14847</v>
      </c>
      <c r="D666" s="2" t="str">
        <f aca="false">PROPER(TRIM(Raw_Data!D666))</f>
        <v>Laptop</v>
      </c>
      <c r="E666" s="2" t="n">
        <f aca="false">Raw_Data!E666</f>
        <v>4</v>
      </c>
      <c r="F666" s="4" t="n">
        <f aca="false">ROUND(Raw_Data!F666,2)</f>
        <v>194.75</v>
      </c>
      <c r="G666" s="2" t="str">
        <f aca="false">PROPER(TRIM(Raw_Data!G666))</f>
        <v>188 Main St</v>
      </c>
      <c r="H666" s="2" t="str">
        <f aca="false">PROPER(TRIM(Raw_Data!H666))</f>
        <v>Cash</v>
      </c>
      <c r="I666" s="2" t="str">
        <f aca="false">PROPER(TRIM(Raw_Data!I666))</f>
        <v>Shipped</v>
      </c>
      <c r="J666" s="2" t="str">
        <f aca="false">TRIM(UPPER(Raw_Data!J666))</f>
        <v>TRK46492755</v>
      </c>
      <c r="K666" s="2" t="n">
        <f aca="false">Raw_Data!K666</f>
        <v>5</v>
      </c>
      <c r="L666" s="2" t="str">
        <f aca="false">IF(TRIM(Raw_Data!L666)="","No Coupon",TRIM(UPPER(Raw_Data!L666)))</f>
        <v>No Coupon</v>
      </c>
      <c r="M666" s="2" t="str">
        <f aca="false">PROPER(TRIM(Raw_Data!M666))</f>
        <v>Facebook</v>
      </c>
      <c r="N666" s="4" t="n">
        <f aca="false">ROUND(E666*F666,2)</f>
        <v>779</v>
      </c>
      <c r="O666" s="2" t="str">
        <f aca="false">IF(COUNTIF($A$2:$A$1201,A666)&gt;1,"DUPLICATE","Unique")</f>
        <v>Unique</v>
      </c>
      <c r="P666" s="2" t="str">
        <f aca="false">IF(L666="","MISSING","OK")</f>
        <v>OK</v>
      </c>
      <c r="Q666" s="2" t="str">
        <f aca="false">IF(ISNUMBER(B666),"OK","BAD DATE")</f>
        <v>OK</v>
      </c>
      <c r="R666" s="2" t="str">
        <f aca="false">IF(ROUND(F666,2)=F666,"OK","FIX")</f>
        <v>OK</v>
      </c>
    </row>
    <row r="667" customFormat="false" ht="15" hidden="false" customHeight="false" outlineLevel="0" collapsed="false">
      <c r="A667" s="2" t="str">
        <f aca="false">TRIM(UPPER(Raw_Data!A667))</f>
        <v>ORD200665</v>
      </c>
      <c r="B667" s="3" t="n">
        <f aca="false">IF(ISNUMBER(Raw_Data!B667),Raw_Data!B667,DATEVALUE(Raw_Data!B667))</f>
        <v>45048</v>
      </c>
      <c r="C667" s="2" t="str">
        <f aca="false">TRIM(UPPER(Raw_Data!C667))</f>
        <v>C83653</v>
      </c>
      <c r="D667" s="2" t="str">
        <f aca="false">PROPER(TRIM(Raw_Data!D667))</f>
        <v>Tablet</v>
      </c>
      <c r="E667" s="2" t="n">
        <f aca="false">Raw_Data!E667</f>
        <v>4</v>
      </c>
      <c r="F667" s="4" t="n">
        <f aca="false">ROUND(Raw_Data!F667,2)</f>
        <v>231.26</v>
      </c>
      <c r="G667" s="2" t="str">
        <f aca="false">PROPER(TRIM(Raw_Data!G667))</f>
        <v>253 Main St</v>
      </c>
      <c r="H667" s="2" t="str">
        <f aca="false">PROPER(TRIM(Raw_Data!H667))</f>
        <v>Online</v>
      </c>
      <c r="I667" s="2" t="str">
        <f aca="false">PROPER(TRIM(Raw_Data!I667))</f>
        <v>Shipped</v>
      </c>
      <c r="J667" s="2" t="str">
        <f aca="false">TRIM(UPPER(Raw_Data!J667))</f>
        <v>TRK32619935</v>
      </c>
      <c r="K667" s="2" t="n">
        <f aca="false">Raw_Data!K667</f>
        <v>6</v>
      </c>
      <c r="L667" s="2" t="str">
        <f aca="false">IF(TRIM(Raw_Data!L667)="","No Coupon",TRIM(UPPER(Raw_Data!L667)))</f>
        <v>WINTER15</v>
      </c>
      <c r="M667" s="2" t="str">
        <f aca="false">PROPER(TRIM(Raw_Data!M667))</f>
        <v>Google</v>
      </c>
      <c r="N667" s="4" t="n">
        <f aca="false">ROUND(E667*F667,2)</f>
        <v>925.04</v>
      </c>
      <c r="O667" s="2" t="str">
        <f aca="false">IF(COUNTIF($A$2:$A$1201,A667)&gt;1,"DUPLICATE","Unique")</f>
        <v>Unique</v>
      </c>
      <c r="P667" s="2" t="str">
        <f aca="false">IF(L667="","MISSING","OK")</f>
        <v>OK</v>
      </c>
      <c r="Q667" s="2" t="str">
        <f aca="false">IF(ISNUMBER(B667),"OK","BAD DATE")</f>
        <v>OK</v>
      </c>
      <c r="R667" s="2" t="str">
        <f aca="false">IF(ROUND(F667,2)=F667,"OK","FIX")</f>
        <v>OK</v>
      </c>
    </row>
    <row r="668" customFormat="false" ht="15" hidden="false" customHeight="false" outlineLevel="0" collapsed="false">
      <c r="A668" s="2" t="str">
        <f aca="false">TRIM(UPPER(Raw_Data!A668))</f>
        <v>ORD200666</v>
      </c>
      <c r="B668" s="3" t="n">
        <f aca="false">IF(ISNUMBER(Raw_Data!B668),Raw_Data!B668,DATEVALUE(Raw_Data!B668))</f>
        <v>45535</v>
      </c>
      <c r="C668" s="2" t="str">
        <f aca="false">TRIM(UPPER(Raw_Data!C668))</f>
        <v>C35711</v>
      </c>
      <c r="D668" s="2" t="str">
        <f aca="false">PROPER(TRIM(Raw_Data!D668))</f>
        <v>Monitor</v>
      </c>
      <c r="E668" s="2" t="n">
        <f aca="false">Raw_Data!E668</f>
        <v>4</v>
      </c>
      <c r="F668" s="4" t="n">
        <f aca="false">ROUND(Raw_Data!F668,2)</f>
        <v>327.12</v>
      </c>
      <c r="G668" s="2" t="str">
        <f aca="false">PROPER(TRIM(Raw_Data!G668))</f>
        <v>788 Main St</v>
      </c>
      <c r="H668" s="2" t="str">
        <f aca="false">PROPER(TRIM(Raw_Data!H668))</f>
        <v>Credit Card</v>
      </c>
      <c r="I668" s="2" t="str">
        <f aca="false">PROPER(TRIM(Raw_Data!I668))</f>
        <v>Cancelled</v>
      </c>
      <c r="J668" s="2" t="str">
        <f aca="false">TRIM(UPPER(Raw_Data!J668))</f>
        <v>TRK45281495</v>
      </c>
      <c r="K668" s="2" t="n">
        <f aca="false">Raw_Data!K668</f>
        <v>4</v>
      </c>
      <c r="L668" s="2" t="str">
        <f aca="false">IF(TRIM(Raw_Data!L668)="","No Coupon",TRIM(UPPER(Raw_Data!L668)))</f>
        <v>No Coupon</v>
      </c>
      <c r="M668" s="2" t="str">
        <f aca="false">PROPER(TRIM(Raw_Data!M668))</f>
        <v>Email</v>
      </c>
      <c r="N668" s="4" t="n">
        <f aca="false">ROUND(E668*F668,2)</f>
        <v>1308.48</v>
      </c>
      <c r="O668" s="2" t="str">
        <f aca="false">IF(COUNTIF($A$2:$A$1201,A668)&gt;1,"DUPLICATE","Unique")</f>
        <v>Unique</v>
      </c>
      <c r="P668" s="2" t="str">
        <f aca="false">IF(L668="","MISSING","OK")</f>
        <v>OK</v>
      </c>
      <c r="Q668" s="2" t="str">
        <f aca="false">IF(ISNUMBER(B668),"OK","BAD DATE")</f>
        <v>OK</v>
      </c>
      <c r="R668" s="2" t="str">
        <f aca="false">IF(ROUND(F668,2)=F668,"OK","FIX")</f>
        <v>OK</v>
      </c>
    </row>
    <row r="669" customFormat="false" ht="15" hidden="false" customHeight="false" outlineLevel="0" collapsed="false">
      <c r="A669" s="2" t="str">
        <f aca="false">TRIM(UPPER(Raw_Data!A669))</f>
        <v>ORD200667</v>
      </c>
      <c r="B669" s="3" t="n">
        <f aca="false">IF(ISNUMBER(Raw_Data!B669),Raw_Data!B669,DATEVALUE(Raw_Data!B669))</f>
        <v>45049</v>
      </c>
      <c r="C669" s="2" t="str">
        <f aca="false">TRIM(UPPER(Raw_Data!C669))</f>
        <v>C10477</v>
      </c>
      <c r="D669" s="2" t="str">
        <f aca="false">PROPER(TRIM(Raw_Data!D669))</f>
        <v>Laptop</v>
      </c>
      <c r="E669" s="2" t="n">
        <f aca="false">Raw_Data!E669</f>
        <v>1</v>
      </c>
      <c r="F669" s="4" t="n">
        <f aca="false">ROUND(Raw_Data!F669,2)</f>
        <v>466.42</v>
      </c>
      <c r="G669" s="2" t="str">
        <f aca="false">PROPER(TRIM(Raw_Data!G669))</f>
        <v>172 Main St</v>
      </c>
      <c r="H669" s="2" t="str">
        <f aca="false">PROPER(TRIM(Raw_Data!H669))</f>
        <v>Gift Card</v>
      </c>
      <c r="I669" s="2" t="str">
        <f aca="false">PROPER(TRIM(Raw_Data!I669))</f>
        <v>Pending</v>
      </c>
      <c r="J669" s="2" t="str">
        <f aca="false">TRIM(UPPER(Raw_Data!J669))</f>
        <v>TRK41505339</v>
      </c>
      <c r="K669" s="2" t="n">
        <f aca="false">Raw_Data!K669</f>
        <v>5</v>
      </c>
      <c r="L669" s="2" t="str">
        <f aca="false">IF(TRIM(Raw_Data!L669)="","No Coupon",TRIM(UPPER(Raw_Data!L669)))</f>
        <v>SAVE10</v>
      </c>
      <c r="M669" s="2" t="str">
        <f aca="false">PROPER(TRIM(Raw_Data!M669))</f>
        <v>Email</v>
      </c>
      <c r="N669" s="4" t="n">
        <f aca="false">ROUND(E669*F669,2)</f>
        <v>466.42</v>
      </c>
      <c r="O669" s="2" t="str">
        <f aca="false">IF(COUNTIF($A$2:$A$1201,A669)&gt;1,"DUPLICATE","Unique")</f>
        <v>Unique</v>
      </c>
      <c r="P669" s="2" t="str">
        <f aca="false">IF(L669="","MISSING","OK")</f>
        <v>OK</v>
      </c>
      <c r="Q669" s="2" t="str">
        <f aca="false">IF(ISNUMBER(B669),"OK","BAD DATE")</f>
        <v>OK</v>
      </c>
      <c r="R669" s="2" t="str">
        <f aca="false">IF(ROUND(F669,2)=F669,"OK","FIX")</f>
        <v>OK</v>
      </c>
    </row>
    <row r="670" customFormat="false" ht="15" hidden="false" customHeight="false" outlineLevel="0" collapsed="false">
      <c r="A670" s="2" t="str">
        <f aca="false">TRIM(UPPER(Raw_Data!A670))</f>
        <v>ORD200668</v>
      </c>
      <c r="B670" s="3" t="n">
        <f aca="false">IF(ISNUMBER(Raw_Data!B670),Raw_Data!B670,DATEVALUE(Raw_Data!B670))</f>
        <v>45478</v>
      </c>
      <c r="C670" s="2" t="str">
        <f aca="false">TRIM(UPPER(Raw_Data!C670))</f>
        <v>C61257</v>
      </c>
      <c r="D670" s="2" t="str">
        <f aca="false">PROPER(TRIM(Raw_Data!D670))</f>
        <v>Monitor</v>
      </c>
      <c r="E670" s="2" t="n">
        <f aca="false">Raw_Data!E670</f>
        <v>2</v>
      </c>
      <c r="F670" s="4" t="n">
        <f aca="false">ROUND(Raw_Data!F670,2)</f>
        <v>253.67</v>
      </c>
      <c r="G670" s="2" t="str">
        <f aca="false">PROPER(TRIM(Raw_Data!G670))</f>
        <v>981 Main St</v>
      </c>
      <c r="H670" s="2" t="str">
        <f aca="false">PROPER(TRIM(Raw_Data!H670))</f>
        <v>Cash</v>
      </c>
      <c r="I670" s="2" t="str">
        <f aca="false">PROPER(TRIM(Raw_Data!I670))</f>
        <v>Returned</v>
      </c>
      <c r="J670" s="2" t="str">
        <f aca="false">TRIM(UPPER(Raw_Data!J670))</f>
        <v>TRK25226070</v>
      </c>
      <c r="K670" s="2" t="n">
        <f aca="false">Raw_Data!K670</f>
        <v>3</v>
      </c>
      <c r="L670" s="2" t="str">
        <f aca="false">IF(TRIM(Raw_Data!L670)="","No Coupon",TRIM(UPPER(Raw_Data!L670)))</f>
        <v>WINTER15</v>
      </c>
      <c r="M670" s="2" t="str">
        <f aca="false">PROPER(TRIM(Raw_Data!M670))</f>
        <v>Facebook</v>
      </c>
      <c r="N670" s="4" t="n">
        <f aca="false">ROUND(E670*F670,2)</f>
        <v>507.34</v>
      </c>
      <c r="O670" s="2" t="str">
        <f aca="false">IF(COUNTIF($A$2:$A$1201,A670)&gt;1,"DUPLICATE","Unique")</f>
        <v>Unique</v>
      </c>
      <c r="P670" s="2" t="str">
        <f aca="false">IF(L670="","MISSING","OK")</f>
        <v>OK</v>
      </c>
      <c r="Q670" s="2" t="str">
        <f aca="false">IF(ISNUMBER(B670),"OK","BAD DATE")</f>
        <v>OK</v>
      </c>
      <c r="R670" s="2" t="str">
        <f aca="false">IF(ROUND(F670,2)=F670,"OK","FIX")</f>
        <v>OK</v>
      </c>
    </row>
    <row r="671" customFormat="false" ht="15" hidden="false" customHeight="false" outlineLevel="0" collapsed="false">
      <c r="A671" s="2" t="str">
        <f aca="false">TRIM(UPPER(Raw_Data!A671))</f>
        <v>ORD200669</v>
      </c>
      <c r="B671" s="3" t="n">
        <f aca="false">IF(ISNUMBER(Raw_Data!B671),Raw_Data!B671,DATEVALUE(Raw_Data!B671))</f>
        <v>44962</v>
      </c>
      <c r="C671" s="2" t="str">
        <f aca="false">TRIM(UPPER(Raw_Data!C671))</f>
        <v>C60547</v>
      </c>
      <c r="D671" s="2" t="str">
        <f aca="false">PROPER(TRIM(Raw_Data!D671))</f>
        <v>Desk</v>
      </c>
      <c r="E671" s="2" t="n">
        <f aca="false">Raw_Data!E671</f>
        <v>1</v>
      </c>
      <c r="F671" s="4" t="n">
        <f aca="false">ROUND(Raw_Data!F671,2)</f>
        <v>257</v>
      </c>
      <c r="G671" s="2" t="str">
        <f aca="false">PROPER(TRIM(Raw_Data!G671))</f>
        <v>812 Main St</v>
      </c>
      <c r="H671" s="2" t="str">
        <f aca="false">PROPER(TRIM(Raw_Data!H671))</f>
        <v>Debit Card</v>
      </c>
      <c r="I671" s="2" t="str">
        <f aca="false">PROPER(TRIM(Raw_Data!I671))</f>
        <v>Cancelled</v>
      </c>
      <c r="J671" s="2" t="str">
        <f aca="false">TRIM(UPPER(Raw_Data!J671))</f>
        <v>TRK65694249</v>
      </c>
      <c r="K671" s="2" t="n">
        <f aca="false">Raw_Data!K671</f>
        <v>5</v>
      </c>
      <c r="L671" s="2" t="str">
        <f aca="false">IF(TRIM(Raw_Data!L671)="","No Coupon",TRIM(UPPER(Raw_Data!L671)))</f>
        <v>No Coupon</v>
      </c>
      <c r="M671" s="2" t="str">
        <f aca="false">PROPER(TRIM(Raw_Data!M671))</f>
        <v>Referral</v>
      </c>
      <c r="N671" s="4" t="n">
        <f aca="false">ROUND(E671*F671,2)</f>
        <v>257</v>
      </c>
      <c r="O671" s="2" t="str">
        <f aca="false">IF(COUNTIF($A$2:$A$1201,A671)&gt;1,"DUPLICATE","Unique")</f>
        <v>Unique</v>
      </c>
      <c r="P671" s="2" t="str">
        <f aca="false">IF(L671="","MISSING","OK")</f>
        <v>OK</v>
      </c>
      <c r="Q671" s="2" t="str">
        <f aca="false">IF(ISNUMBER(B671),"OK","BAD DATE")</f>
        <v>OK</v>
      </c>
      <c r="R671" s="2" t="str">
        <f aca="false">IF(ROUND(F671,2)=F671,"OK","FIX")</f>
        <v>OK</v>
      </c>
    </row>
    <row r="672" customFormat="false" ht="15" hidden="false" customHeight="false" outlineLevel="0" collapsed="false">
      <c r="A672" s="2" t="str">
        <f aca="false">TRIM(UPPER(Raw_Data!A672))</f>
        <v>ORD200670</v>
      </c>
      <c r="B672" s="3" t="n">
        <f aca="false">IF(ISNUMBER(Raw_Data!B672),Raw_Data!B672,DATEVALUE(Raw_Data!B672))</f>
        <v>45400</v>
      </c>
      <c r="C672" s="2" t="str">
        <f aca="false">TRIM(UPPER(Raw_Data!C672))</f>
        <v>C14576</v>
      </c>
      <c r="D672" s="2" t="str">
        <f aca="false">PROPER(TRIM(Raw_Data!D672))</f>
        <v>Desk</v>
      </c>
      <c r="E672" s="2" t="n">
        <f aca="false">Raw_Data!E672</f>
        <v>4</v>
      </c>
      <c r="F672" s="4" t="n">
        <f aca="false">ROUND(Raw_Data!F672,2)</f>
        <v>539.2</v>
      </c>
      <c r="G672" s="2" t="str">
        <f aca="false">PROPER(TRIM(Raw_Data!G672))</f>
        <v>747 Main St</v>
      </c>
      <c r="H672" s="2" t="str">
        <f aca="false">PROPER(TRIM(Raw_Data!H672))</f>
        <v>Credit Card</v>
      </c>
      <c r="I672" s="2" t="str">
        <f aca="false">PROPER(TRIM(Raw_Data!I672))</f>
        <v>Pending</v>
      </c>
      <c r="J672" s="2" t="str">
        <f aca="false">TRIM(UPPER(Raw_Data!J672))</f>
        <v>TRK21637540</v>
      </c>
      <c r="K672" s="2" t="n">
        <f aca="false">Raw_Data!K672</f>
        <v>8</v>
      </c>
      <c r="L672" s="2" t="str">
        <f aca="false">IF(TRIM(Raw_Data!L672)="","No Coupon",TRIM(UPPER(Raw_Data!L672)))</f>
        <v>FREESHIP</v>
      </c>
      <c r="M672" s="2" t="str">
        <f aca="false">PROPER(TRIM(Raw_Data!M672))</f>
        <v>Google</v>
      </c>
      <c r="N672" s="4" t="n">
        <f aca="false">ROUND(E672*F672,2)</f>
        <v>2156.8</v>
      </c>
      <c r="O672" s="2" t="str">
        <f aca="false">IF(COUNTIF($A$2:$A$1201,A672)&gt;1,"DUPLICATE","Unique")</f>
        <v>Unique</v>
      </c>
      <c r="P672" s="2" t="str">
        <f aca="false">IF(L672="","MISSING","OK")</f>
        <v>OK</v>
      </c>
      <c r="Q672" s="2" t="str">
        <f aca="false">IF(ISNUMBER(B672),"OK","BAD DATE")</f>
        <v>OK</v>
      </c>
      <c r="R672" s="2" t="str">
        <f aca="false">IF(ROUND(F672,2)=F672,"OK","FIX")</f>
        <v>OK</v>
      </c>
    </row>
    <row r="673" customFormat="false" ht="15" hidden="false" customHeight="false" outlineLevel="0" collapsed="false">
      <c r="A673" s="2" t="str">
        <f aca="false">TRIM(UPPER(Raw_Data!A673))</f>
        <v>ORD200671</v>
      </c>
      <c r="B673" s="3" t="n">
        <f aca="false">IF(ISNUMBER(Raw_Data!B673),Raw_Data!B673,DATEVALUE(Raw_Data!B673))</f>
        <v>45092</v>
      </c>
      <c r="C673" s="2" t="str">
        <f aca="false">TRIM(UPPER(Raw_Data!C673))</f>
        <v>C49282</v>
      </c>
      <c r="D673" s="2" t="str">
        <f aca="false">PROPER(TRIM(Raw_Data!D673))</f>
        <v>Chair</v>
      </c>
      <c r="E673" s="2" t="n">
        <f aca="false">Raw_Data!E673</f>
        <v>5</v>
      </c>
      <c r="F673" s="4" t="n">
        <f aca="false">ROUND(Raw_Data!F673,2)</f>
        <v>50.74</v>
      </c>
      <c r="G673" s="2" t="str">
        <f aca="false">PROPER(TRIM(Raw_Data!G673))</f>
        <v>737 Main St</v>
      </c>
      <c r="H673" s="2" t="str">
        <f aca="false">PROPER(TRIM(Raw_Data!H673))</f>
        <v>Gift Card</v>
      </c>
      <c r="I673" s="2" t="str">
        <f aca="false">PROPER(TRIM(Raw_Data!I673))</f>
        <v>Cancelled</v>
      </c>
      <c r="J673" s="2" t="str">
        <f aca="false">TRIM(UPPER(Raw_Data!J673))</f>
        <v>TRK88653901</v>
      </c>
      <c r="K673" s="2" t="n">
        <f aca="false">Raw_Data!K673</f>
        <v>7</v>
      </c>
      <c r="L673" s="2" t="str">
        <f aca="false">IF(TRIM(Raw_Data!L673)="","No Coupon",TRIM(UPPER(Raw_Data!L673)))</f>
        <v>WINTER15</v>
      </c>
      <c r="M673" s="2" t="str">
        <f aca="false">PROPER(TRIM(Raw_Data!M673))</f>
        <v>Google</v>
      </c>
      <c r="N673" s="4" t="n">
        <f aca="false">ROUND(E673*F673,2)</f>
        <v>253.7</v>
      </c>
      <c r="O673" s="2" t="str">
        <f aca="false">IF(COUNTIF($A$2:$A$1201,A673)&gt;1,"DUPLICATE","Unique")</f>
        <v>Unique</v>
      </c>
      <c r="P673" s="2" t="str">
        <f aca="false">IF(L673="","MISSING","OK")</f>
        <v>OK</v>
      </c>
      <c r="Q673" s="2" t="str">
        <f aca="false">IF(ISNUMBER(B673),"OK","BAD DATE")</f>
        <v>OK</v>
      </c>
      <c r="R673" s="2" t="str">
        <f aca="false">IF(ROUND(F673,2)=F673,"OK","FIX")</f>
        <v>OK</v>
      </c>
    </row>
    <row r="674" customFormat="false" ht="15" hidden="false" customHeight="false" outlineLevel="0" collapsed="false">
      <c r="A674" s="2" t="str">
        <f aca="false">TRIM(UPPER(Raw_Data!A674))</f>
        <v>ORD200672</v>
      </c>
      <c r="B674" s="3" t="n">
        <f aca="false">IF(ISNUMBER(Raw_Data!B674),Raw_Data!B674,DATEVALUE(Raw_Data!B674))</f>
        <v>45055</v>
      </c>
      <c r="C674" s="2" t="str">
        <f aca="false">TRIM(UPPER(Raw_Data!C674))</f>
        <v>C14017</v>
      </c>
      <c r="D674" s="2" t="str">
        <f aca="false">PROPER(TRIM(Raw_Data!D674))</f>
        <v>Phone</v>
      </c>
      <c r="E674" s="2" t="n">
        <f aca="false">Raw_Data!E674</f>
        <v>2</v>
      </c>
      <c r="F674" s="4" t="n">
        <f aca="false">ROUND(Raw_Data!F674,2)</f>
        <v>624.16</v>
      </c>
      <c r="G674" s="2" t="str">
        <f aca="false">PROPER(TRIM(Raw_Data!G674))</f>
        <v>984 Main St</v>
      </c>
      <c r="H674" s="2" t="str">
        <f aca="false">PROPER(TRIM(Raw_Data!H674))</f>
        <v>Debit Card</v>
      </c>
      <c r="I674" s="2" t="str">
        <f aca="false">PROPER(TRIM(Raw_Data!I674))</f>
        <v>Shipped</v>
      </c>
      <c r="J674" s="2" t="str">
        <f aca="false">TRIM(UPPER(Raw_Data!J674))</f>
        <v>TRK71009446</v>
      </c>
      <c r="K674" s="2" t="n">
        <f aca="false">Raw_Data!K674</f>
        <v>2</v>
      </c>
      <c r="L674" s="2" t="str">
        <f aca="false">IF(TRIM(Raw_Data!L674)="","No Coupon",TRIM(UPPER(Raw_Data!L674)))</f>
        <v>SAVE10</v>
      </c>
      <c r="M674" s="2" t="str">
        <f aca="false">PROPER(TRIM(Raw_Data!M674))</f>
        <v>Instagram</v>
      </c>
      <c r="N674" s="4" t="n">
        <f aca="false">ROUND(E674*F674,2)</f>
        <v>1248.32</v>
      </c>
      <c r="O674" s="2" t="str">
        <f aca="false">IF(COUNTIF($A$2:$A$1201,A674)&gt;1,"DUPLICATE","Unique")</f>
        <v>Unique</v>
      </c>
      <c r="P674" s="2" t="str">
        <f aca="false">IF(L674="","MISSING","OK")</f>
        <v>OK</v>
      </c>
      <c r="Q674" s="2" t="str">
        <f aca="false">IF(ISNUMBER(B674),"OK","BAD DATE")</f>
        <v>OK</v>
      </c>
      <c r="R674" s="2" t="str">
        <f aca="false">IF(ROUND(F674,2)=F674,"OK","FIX")</f>
        <v>OK</v>
      </c>
    </row>
    <row r="675" customFormat="false" ht="15" hidden="false" customHeight="false" outlineLevel="0" collapsed="false">
      <c r="A675" s="2" t="str">
        <f aca="false">TRIM(UPPER(Raw_Data!A675))</f>
        <v>ORD200673</v>
      </c>
      <c r="B675" s="3" t="n">
        <f aca="false">IF(ISNUMBER(Raw_Data!B675),Raw_Data!B675,DATEVALUE(Raw_Data!B675))</f>
        <v>44978</v>
      </c>
      <c r="C675" s="2" t="str">
        <f aca="false">TRIM(UPPER(Raw_Data!C675))</f>
        <v>C46504</v>
      </c>
      <c r="D675" s="2" t="str">
        <f aca="false">PROPER(TRIM(Raw_Data!D675))</f>
        <v>Tablet</v>
      </c>
      <c r="E675" s="2" t="n">
        <f aca="false">Raw_Data!E675</f>
        <v>2</v>
      </c>
      <c r="F675" s="4" t="n">
        <f aca="false">ROUND(Raw_Data!F675,2)</f>
        <v>372.92</v>
      </c>
      <c r="G675" s="2" t="str">
        <f aca="false">PROPER(TRIM(Raw_Data!G675))</f>
        <v>131 Main St</v>
      </c>
      <c r="H675" s="2" t="str">
        <f aca="false">PROPER(TRIM(Raw_Data!H675))</f>
        <v>Credit Card</v>
      </c>
      <c r="I675" s="2" t="str">
        <f aca="false">PROPER(TRIM(Raw_Data!I675))</f>
        <v>Delivered</v>
      </c>
      <c r="J675" s="2" t="str">
        <f aca="false">TRIM(UPPER(Raw_Data!J675))</f>
        <v>TRK95024356</v>
      </c>
      <c r="K675" s="2" t="n">
        <f aca="false">Raw_Data!K675</f>
        <v>7</v>
      </c>
      <c r="L675" s="2" t="str">
        <f aca="false">IF(TRIM(Raw_Data!L675)="","No Coupon",TRIM(UPPER(Raw_Data!L675)))</f>
        <v>SAVE10</v>
      </c>
      <c r="M675" s="2" t="str">
        <f aca="false">PROPER(TRIM(Raw_Data!M675))</f>
        <v>Email</v>
      </c>
      <c r="N675" s="4" t="n">
        <f aca="false">ROUND(E675*F675,2)</f>
        <v>745.84</v>
      </c>
      <c r="O675" s="2" t="str">
        <f aca="false">IF(COUNTIF($A$2:$A$1201,A675)&gt;1,"DUPLICATE","Unique")</f>
        <v>Unique</v>
      </c>
      <c r="P675" s="2" t="str">
        <f aca="false">IF(L675="","MISSING","OK")</f>
        <v>OK</v>
      </c>
      <c r="Q675" s="2" t="str">
        <f aca="false">IF(ISNUMBER(B675),"OK","BAD DATE")</f>
        <v>OK</v>
      </c>
      <c r="R675" s="2" t="str">
        <f aca="false">IF(ROUND(F675,2)=F675,"OK","FIX")</f>
        <v>OK</v>
      </c>
    </row>
    <row r="676" customFormat="false" ht="15" hidden="false" customHeight="false" outlineLevel="0" collapsed="false">
      <c r="A676" s="2" t="str">
        <f aca="false">TRIM(UPPER(Raw_Data!A676))</f>
        <v>ORD200674</v>
      </c>
      <c r="B676" s="3" t="n">
        <f aca="false">IF(ISNUMBER(Raw_Data!B676),Raw_Data!B676,DATEVALUE(Raw_Data!B676))</f>
        <v>45300</v>
      </c>
      <c r="C676" s="2" t="str">
        <f aca="false">TRIM(UPPER(Raw_Data!C676))</f>
        <v>C56928</v>
      </c>
      <c r="D676" s="2" t="str">
        <f aca="false">PROPER(TRIM(Raw_Data!D676))</f>
        <v>Laptop</v>
      </c>
      <c r="E676" s="2" t="n">
        <f aca="false">Raw_Data!E676</f>
        <v>4</v>
      </c>
      <c r="F676" s="4" t="n">
        <f aca="false">ROUND(Raw_Data!F676,2)</f>
        <v>358.75</v>
      </c>
      <c r="G676" s="2" t="str">
        <f aca="false">PROPER(TRIM(Raw_Data!G676))</f>
        <v>860 Main St</v>
      </c>
      <c r="H676" s="2" t="str">
        <f aca="false">PROPER(TRIM(Raw_Data!H676))</f>
        <v>Gift Card</v>
      </c>
      <c r="I676" s="2" t="str">
        <f aca="false">PROPER(TRIM(Raw_Data!I676))</f>
        <v>Delivered</v>
      </c>
      <c r="J676" s="2" t="str">
        <f aca="false">TRIM(UPPER(Raw_Data!J676))</f>
        <v>TRK57792939</v>
      </c>
      <c r="K676" s="2" t="n">
        <f aca="false">Raw_Data!K676</f>
        <v>9</v>
      </c>
      <c r="L676" s="2" t="str">
        <f aca="false">IF(TRIM(Raw_Data!L676)="","No Coupon",TRIM(UPPER(Raw_Data!L676)))</f>
        <v>SAVE10</v>
      </c>
      <c r="M676" s="2" t="str">
        <f aca="false">PROPER(TRIM(Raw_Data!M676))</f>
        <v>Facebook</v>
      </c>
      <c r="N676" s="4" t="n">
        <f aca="false">ROUND(E676*F676,2)</f>
        <v>1435</v>
      </c>
      <c r="O676" s="2" t="str">
        <f aca="false">IF(COUNTIF($A$2:$A$1201,A676)&gt;1,"DUPLICATE","Unique")</f>
        <v>Unique</v>
      </c>
      <c r="P676" s="2" t="str">
        <f aca="false">IF(L676="","MISSING","OK")</f>
        <v>OK</v>
      </c>
      <c r="Q676" s="2" t="str">
        <f aca="false">IF(ISNUMBER(B676),"OK","BAD DATE")</f>
        <v>OK</v>
      </c>
      <c r="R676" s="2" t="str">
        <f aca="false">IF(ROUND(F676,2)=F676,"OK","FIX")</f>
        <v>OK</v>
      </c>
    </row>
    <row r="677" customFormat="false" ht="15" hidden="false" customHeight="false" outlineLevel="0" collapsed="false">
      <c r="A677" s="2" t="str">
        <f aca="false">TRIM(UPPER(Raw_Data!A677))</f>
        <v>ORD200675</v>
      </c>
      <c r="B677" s="3" t="n">
        <f aca="false">IF(ISNUMBER(Raw_Data!B677),Raw_Data!B677,DATEVALUE(Raw_Data!B677))</f>
        <v>45510</v>
      </c>
      <c r="C677" s="2" t="str">
        <f aca="false">TRIM(UPPER(Raw_Data!C677))</f>
        <v>C97749</v>
      </c>
      <c r="D677" s="2" t="str">
        <f aca="false">PROPER(TRIM(Raw_Data!D677))</f>
        <v>Desk</v>
      </c>
      <c r="E677" s="2" t="n">
        <f aca="false">Raw_Data!E677</f>
        <v>3</v>
      </c>
      <c r="F677" s="4" t="n">
        <f aca="false">ROUND(Raw_Data!F677,2)</f>
        <v>342.02</v>
      </c>
      <c r="G677" s="2" t="str">
        <f aca="false">PROPER(TRIM(Raw_Data!G677))</f>
        <v>906 Main St</v>
      </c>
      <c r="H677" s="2" t="str">
        <f aca="false">PROPER(TRIM(Raw_Data!H677))</f>
        <v>Debit Card</v>
      </c>
      <c r="I677" s="2" t="str">
        <f aca="false">PROPER(TRIM(Raw_Data!I677))</f>
        <v>Pending</v>
      </c>
      <c r="J677" s="2" t="str">
        <f aca="false">TRIM(UPPER(Raw_Data!J677))</f>
        <v>TRK90233116</v>
      </c>
      <c r="K677" s="2" t="n">
        <f aca="false">Raw_Data!K677</f>
        <v>5</v>
      </c>
      <c r="L677" s="2" t="str">
        <f aca="false">IF(TRIM(Raw_Data!L677)="","No Coupon",TRIM(UPPER(Raw_Data!L677)))</f>
        <v>No Coupon</v>
      </c>
      <c r="M677" s="2" t="str">
        <f aca="false">PROPER(TRIM(Raw_Data!M677))</f>
        <v>Email</v>
      </c>
      <c r="N677" s="4" t="n">
        <f aca="false">ROUND(E677*F677,2)</f>
        <v>1026.06</v>
      </c>
      <c r="O677" s="2" t="str">
        <f aca="false">IF(COUNTIF($A$2:$A$1201,A677)&gt;1,"DUPLICATE","Unique")</f>
        <v>Unique</v>
      </c>
      <c r="P677" s="2" t="str">
        <f aca="false">IF(L677="","MISSING","OK")</f>
        <v>OK</v>
      </c>
      <c r="Q677" s="2" t="str">
        <f aca="false">IF(ISNUMBER(B677),"OK","BAD DATE")</f>
        <v>OK</v>
      </c>
      <c r="R677" s="2" t="str">
        <f aca="false">IF(ROUND(F677,2)=F677,"OK","FIX")</f>
        <v>OK</v>
      </c>
    </row>
    <row r="678" customFormat="false" ht="15" hidden="false" customHeight="false" outlineLevel="0" collapsed="false">
      <c r="A678" s="2" t="str">
        <f aca="false">TRIM(UPPER(Raw_Data!A678))</f>
        <v>ORD200676</v>
      </c>
      <c r="B678" s="3" t="n">
        <f aca="false">IF(ISNUMBER(Raw_Data!B678),Raw_Data!B678,DATEVALUE(Raw_Data!B678))</f>
        <v>45831</v>
      </c>
      <c r="C678" s="2" t="str">
        <f aca="false">TRIM(UPPER(Raw_Data!C678))</f>
        <v>C90431</v>
      </c>
      <c r="D678" s="2" t="str">
        <f aca="false">PROPER(TRIM(Raw_Data!D678))</f>
        <v>Laptop</v>
      </c>
      <c r="E678" s="2" t="n">
        <f aca="false">Raw_Data!E678</f>
        <v>2</v>
      </c>
      <c r="F678" s="4" t="n">
        <f aca="false">ROUND(Raw_Data!F678,2)</f>
        <v>422.34</v>
      </c>
      <c r="G678" s="2" t="str">
        <f aca="false">PROPER(TRIM(Raw_Data!G678))</f>
        <v>985 Main St</v>
      </c>
      <c r="H678" s="2" t="str">
        <f aca="false">PROPER(TRIM(Raw_Data!H678))</f>
        <v>Credit Card</v>
      </c>
      <c r="I678" s="2" t="str">
        <f aca="false">PROPER(TRIM(Raw_Data!I678))</f>
        <v>Cancelled</v>
      </c>
      <c r="J678" s="2" t="str">
        <f aca="false">TRIM(UPPER(Raw_Data!J678))</f>
        <v>TRK44151723</v>
      </c>
      <c r="K678" s="2" t="n">
        <f aca="false">Raw_Data!K678</f>
        <v>4</v>
      </c>
      <c r="L678" s="2" t="str">
        <f aca="false">IF(TRIM(Raw_Data!L678)="","No Coupon",TRIM(UPPER(Raw_Data!L678)))</f>
        <v>FREESHIP</v>
      </c>
      <c r="M678" s="2" t="str">
        <f aca="false">PROPER(TRIM(Raw_Data!M678))</f>
        <v>Instagram</v>
      </c>
      <c r="N678" s="4" t="n">
        <f aca="false">ROUND(E678*F678,2)</f>
        <v>844.68</v>
      </c>
      <c r="O678" s="2" t="str">
        <f aca="false">IF(COUNTIF($A$2:$A$1201,A678)&gt;1,"DUPLICATE","Unique")</f>
        <v>Unique</v>
      </c>
      <c r="P678" s="2" t="str">
        <f aca="false">IF(L678="","MISSING","OK")</f>
        <v>OK</v>
      </c>
      <c r="Q678" s="2" t="str">
        <f aca="false">IF(ISNUMBER(B678),"OK","BAD DATE")</f>
        <v>OK</v>
      </c>
      <c r="R678" s="2" t="str">
        <f aca="false">IF(ROUND(F678,2)=F678,"OK","FIX")</f>
        <v>OK</v>
      </c>
    </row>
    <row r="679" customFormat="false" ht="15" hidden="false" customHeight="false" outlineLevel="0" collapsed="false">
      <c r="A679" s="2" t="str">
        <f aca="false">TRIM(UPPER(Raw_Data!A679))</f>
        <v>ORD200677</v>
      </c>
      <c r="B679" s="3" t="n">
        <f aca="false">IF(ISNUMBER(Raw_Data!B679),Raw_Data!B679,DATEVALUE(Raw_Data!B679))</f>
        <v>45750</v>
      </c>
      <c r="C679" s="2" t="str">
        <f aca="false">TRIM(UPPER(Raw_Data!C679))</f>
        <v>C56722</v>
      </c>
      <c r="D679" s="2" t="str">
        <f aca="false">PROPER(TRIM(Raw_Data!D679))</f>
        <v>Tablet</v>
      </c>
      <c r="E679" s="2" t="n">
        <f aca="false">Raw_Data!E679</f>
        <v>5</v>
      </c>
      <c r="F679" s="4" t="n">
        <f aca="false">ROUND(Raw_Data!F679,2)</f>
        <v>22.07</v>
      </c>
      <c r="G679" s="2" t="str">
        <f aca="false">PROPER(TRIM(Raw_Data!G679))</f>
        <v>179 Main St</v>
      </c>
      <c r="H679" s="2" t="str">
        <f aca="false">PROPER(TRIM(Raw_Data!H679))</f>
        <v>Online</v>
      </c>
      <c r="I679" s="2" t="str">
        <f aca="false">PROPER(TRIM(Raw_Data!I679))</f>
        <v>Cancelled</v>
      </c>
      <c r="J679" s="2" t="str">
        <f aca="false">TRIM(UPPER(Raw_Data!J679))</f>
        <v>TRK78778569</v>
      </c>
      <c r="K679" s="2" t="n">
        <f aca="false">Raw_Data!K679</f>
        <v>7</v>
      </c>
      <c r="L679" s="2" t="str">
        <f aca="false">IF(TRIM(Raw_Data!L679)="","No Coupon",TRIM(UPPER(Raw_Data!L679)))</f>
        <v>FREESHIP</v>
      </c>
      <c r="M679" s="2" t="str">
        <f aca="false">PROPER(TRIM(Raw_Data!M679))</f>
        <v>Instagram</v>
      </c>
      <c r="N679" s="4" t="n">
        <f aca="false">ROUND(E679*F679,2)</f>
        <v>110.35</v>
      </c>
      <c r="O679" s="2" t="str">
        <f aca="false">IF(COUNTIF($A$2:$A$1201,A679)&gt;1,"DUPLICATE","Unique")</f>
        <v>Unique</v>
      </c>
      <c r="P679" s="2" t="str">
        <f aca="false">IF(L679="","MISSING","OK")</f>
        <v>OK</v>
      </c>
      <c r="Q679" s="2" t="str">
        <f aca="false">IF(ISNUMBER(B679),"OK","BAD DATE")</f>
        <v>OK</v>
      </c>
      <c r="R679" s="2" t="str">
        <f aca="false">IF(ROUND(F679,2)=F679,"OK","FIX")</f>
        <v>OK</v>
      </c>
    </row>
    <row r="680" customFormat="false" ht="15" hidden="false" customHeight="false" outlineLevel="0" collapsed="false">
      <c r="A680" s="2" t="str">
        <f aca="false">TRIM(UPPER(Raw_Data!A680))</f>
        <v>ORD200678</v>
      </c>
      <c r="B680" s="3" t="n">
        <f aca="false">IF(ISNUMBER(Raw_Data!B680),Raw_Data!B680,DATEVALUE(Raw_Data!B680))</f>
        <v>45620</v>
      </c>
      <c r="C680" s="2" t="str">
        <f aca="false">TRIM(UPPER(Raw_Data!C680))</f>
        <v>C40863</v>
      </c>
      <c r="D680" s="2" t="str">
        <f aca="false">PROPER(TRIM(Raw_Data!D680))</f>
        <v>Chair</v>
      </c>
      <c r="E680" s="2" t="n">
        <f aca="false">Raw_Data!E680</f>
        <v>3</v>
      </c>
      <c r="F680" s="4" t="n">
        <f aca="false">ROUND(Raw_Data!F680,2)</f>
        <v>163.13</v>
      </c>
      <c r="G680" s="2" t="str">
        <f aca="false">PROPER(TRIM(Raw_Data!G680))</f>
        <v>457 Main St</v>
      </c>
      <c r="H680" s="2" t="str">
        <f aca="false">PROPER(TRIM(Raw_Data!H680))</f>
        <v>Gift Card</v>
      </c>
      <c r="I680" s="2" t="str">
        <f aca="false">PROPER(TRIM(Raw_Data!I680))</f>
        <v>Shipped</v>
      </c>
      <c r="J680" s="2" t="str">
        <f aca="false">TRIM(UPPER(Raw_Data!J680))</f>
        <v>TRK20553345</v>
      </c>
      <c r="K680" s="2" t="n">
        <f aca="false">Raw_Data!K680</f>
        <v>5</v>
      </c>
      <c r="L680" s="2" t="str">
        <f aca="false">IF(TRIM(Raw_Data!L680)="","No Coupon",TRIM(UPPER(Raw_Data!L680)))</f>
        <v>WINTER15</v>
      </c>
      <c r="M680" s="2" t="str">
        <f aca="false">PROPER(TRIM(Raw_Data!M680))</f>
        <v>Facebook</v>
      </c>
      <c r="N680" s="4" t="n">
        <f aca="false">ROUND(E680*F680,2)</f>
        <v>489.39</v>
      </c>
      <c r="O680" s="2" t="str">
        <f aca="false">IF(COUNTIF($A$2:$A$1201,A680)&gt;1,"DUPLICATE","Unique")</f>
        <v>Unique</v>
      </c>
      <c r="P680" s="2" t="str">
        <f aca="false">IF(L680="","MISSING","OK")</f>
        <v>OK</v>
      </c>
      <c r="Q680" s="2" t="str">
        <f aca="false">IF(ISNUMBER(B680),"OK","BAD DATE")</f>
        <v>OK</v>
      </c>
      <c r="R680" s="2" t="str">
        <f aca="false">IF(ROUND(F680,2)=F680,"OK","FIX")</f>
        <v>OK</v>
      </c>
    </row>
    <row r="681" customFormat="false" ht="15" hidden="false" customHeight="false" outlineLevel="0" collapsed="false">
      <c r="A681" s="2" t="str">
        <f aca="false">TRIM(UPPER(Raw_Data!A681))</f>
        <v>ORD200679</v>
      </c>
      <c r="B681" s="3" t="n">
        <f aca="false">IF(ISNUMBER(Raw_Data!B681),Raw_Data!B681,DATEVALUE(Raw_Data!B681))</f>
        <v>44959</v>
      </c>
      <c r="C681" s="2" t="str">
        <f aca="false">TRIM(UPPER(Raw_Data!C681))</f>
        <v>C40798</v>
      </c>
      <c r="D681" s="2" t="str">
        <f aca="false">PROPER(TRIM(Raw_Data!D681))</f>
        <v>Tablet</v>
      </c>
      <c r="E681" s="2" t="n">
        <f aca="false">Raw_Data!E681</f>
        <v>3</v>
      </c>
      <c r="F681" s="4" t="n">
        <f aca="false">ROUND(Raw_Data!F681,2)</f>
        <v>360.66</v>
      </c>
      <c r="G681" s="2" t="str">
        <f aca="false">PROPER(TRIM(Raw_Data!G681))</f>
        <v>304 Main St</v>
      </c>
      <c r="H681" s="2" t="str">
        <f aca="false">PROPER(TRIM(Raw_Data!H681))</f>
        <v>Online</v>
      </c>
      <c r="I681" s="2" t="str">
        <f aca="false">PROPER(TRIM(Raw_Data!I681))</f>
        <v>Returned</v>
      </c>
      <c r="J681" s="2" t="str">
        <f aca="false">TRIM(UPPER(Raw_Data!J681))</f>
        <v>TRK66106697</v>
      </c>
      <c r="K681" s="2" t="n">
        <f aca="false">Raw_Data!K681</f>
        <v>5</v>
      </c>
      <c r="L681" s="2" t="str">
        <f aca="false">IF(TRIM(Raw_Data!L681)="","No Coupon",TRIM(UPPER(Raw_Data!L681)))</f>
        <v>FREESHIP</v>
      </c>
      <c r="M681" s="2" t="str">
        <f aca="false">PROPER(TRIM(Raw_Data!M681))</f>
        <v>Instagram</v>
      </c>
      <c r="N681" s="4" t="n">
        <f aca="false">ROUND(E681*F681,2)</f>
        <v>1081.98</v>
      </c>
      <c r="O681" s="2" t="str">
        <f aca="false">IF(COUNTIF($A$2:$A$1201,A681)&gt;1,"DUPLICATE","Unique")</f>
        <v>Unique</v>
      </c>
      <c r="P681" s="2" t="str">
        <f aca="false">IF(L681="","MISSING","OK")</f>
        <v>OK</v>
      </c>
      <c r="Q681" s="2" t="str">
        <f aca="false">IF(ISNUMBER(B681),"OK","BAD DATE")</f>
        <v>OK</v>
      </c>
      <c r="R681" s="2" t="str">
        <f aca="false">IF(ROUND(F681,2)=F681,"OK","FIX")</f>
        <v>OK</v>
      </c>
    </row>
    <row r="682" customFormat="false" ht="15" hidden="false" customHeight="false" outlineLevel="0" collapsed="false">
      <c r="A682" s="2" t="str">
        <f aca="false">TRIM(UPPER(Raw_Data!A682))</f>
        <v>ORD200680</v>
      </c>
      <c r="B682" s="3" t="n">
        <f aca="false">IF(ISNUMBER(Raw_Data!B682),Raw_Data!B682,DATEVALUE(Raw_Data!B682))</f>
        <v>45165</v>
      </c>
      <c r="C682" s="2" t="str">
        <f aca="false">TRIM(UPPER(Raw_Data!C682))</f>
        <v>C16702</v>
      </c>
      <c r="D682" s="2" t="str">
        <f aca="false">PROPER(TRIM(Raw_Data!D682))</f>
        <v>Monitor</v>
      </c>
      <c r="E682" s="2" t="n">
        <f aca="false">Raw_Data!E682</f>
        <v>3</v>
      </c>
      <c r="F682" s="4" t="n">
        <f aca="false">ROUND(Raw_Data!F682,2)</f>
        <v>463.39</v>
      </c>
      <c r="G682" s="2" t="str">
        <f aca="false">PROPER(TRIM(Raw_Data!G682))</f>
        <v>694 Main St</v>
      </c>
      <c r="H682" s="2" t="str">
        <f aca="false">PROPER(TRIM(Raw_Data!H682))</f>
        <v>Credit Card</v>
      </c>
      <c r="I682" s="2" t="str">
        <f aca="false">PROPER(TRIM(Raw_Data!I682))</f>
        <v>Returned</v>
      </c>
      <c r="J682" s="2" t="str">
        <f aca="false">TRIM(UPPER(Raw_Data!J682))</f>
        <v>TRK16953491</v>
      </c>
      <c r="K682" s="2" t="n">
        <f aca="false">Raw_Data!K682</f>
        <v>3</v>
      </c>
      <c r="L682" s="2" t="str">
        <f aca="false">IF(TRIM(Raw_Data!L682)="","No Coupon",TRIM(UPPER(Raw_Data!L682)))</f>
        <v>No Coupon</v>
      </c>
      <c r="M682" s="2" t="str">
        <f aca="false">PROPER(TRIM(Raw_Data!M682))</f>
        <v>Facebook</v>
      </c>
      <c r="N682" s="4" t="n">
        <f aca="false">ROUND(E682*F682,2)</f>
        <v>1390.17</v>
      </c>
      <c r="O682" s="2" t="str">
        <f aca="false">IF(COUNTIF($A$2:$A$1201,A682)&gt;1,"DUPLICATE","Unique")</f>
        <v>Unique</v>
      </c>
      <c r="P682" s="2" t="str">
        <f aca="false">IF(L682="","MISSING","OK")</f>
        <v>OK</v>
      </c>
      <c r="Q682" s="2" t="str">
        <f aca="false">IF(ISNUMBER(B682),"OK","BAD DATE")</f>
        <v>OK</v>
      </c>
      <c r="R682" s="2" t="str">
        <f aca="false">IF(ROUND(F682,2)=F682,"OK","FIX")</f>
        <v>OK</v>
      </c>
    </row>
    <row r="683" customFormat="false" ht="15" hidden="false" customHeight="false" outlineLevel="0" collapsed="false">
      <c r="A683" s="2" t="str">
        <f aca="false">TRIM(UPPER(Raw_Data!A683))</f>
        <v>ORD200681</v>
      </c>
      <c r="B683" s="3" t="n">
        <f aca="false">IF(ISNUMBER(Raw_Data!B683),Raw_Data!B683,DATEVALUE(Raw_Data!B683))</f>
        <v>45321</v>
      </c>
      <c r="C683" s="2" t="str">
        <f aca="false">TRIM(UPPER(Raw_Data!C683))</f>
        <v>C38262</v>
      </c>
      <c r="D683" s="2" t="str">
        <f aca="false">PROPER(TRIM(Raw_Data!D683))</f>
        <v>Tablet</v>
      </c>
      <c r="E683" s="2" t="n">
        <f aca="false">Raw_Data!E683</f>
        <v>1</v>
      </c>
      <c r="F683" s="4" t="n">
        <f aca="false">ROUND(Raw_Data!F683,2)</f>
        <v>155.27</v>
      </c>
      <c r="G683" s="2" t="str">
        <f aca="false">PROPER(TRIM(Raw_Data!G683))</f>
        <v>548 Main St</v>
      </c>
      <c r="H683" s="2" t="str">
        <f aca="false">PROPER(TRIM(Raw_Data!H683))</f>
        <v>Debit Card</v>
      </c>
      <c r="I683" s="2" t="str">
        <f aca="false">PROPER(TRIM(Raw_Data!I683))</f>
        <v>Shipped</v>
      </c>
      <c r="J683" s="2" t="str">
        <f aca="false">TRIM(UPPER(Raw_Data!J683))</f>
        <v>TRK47300502</v>
      </c>
      <c r="K683" s="2" t="n">
        <f aca="false">Raw_Data!K683</f>
        <v>6</v>
      </c>
      <c r="L683" s="2" t="str">
        <f aca="false">IF(TRIM(Raw_Data!L683)="","No Coupon",TRIM(UPPER(Raw_Data!L683)))</f>
        <v>No Coupon</v>
      </c>
      <c r="M683" s="2" t="str">
        <f aca="false">PROPER(TRIM(Raw_Data!M683))</f>
        <v>Email</v>
      </c>
      <c r="N683" s="4" t="n">
        <f aca="false">ROUND(E683*F683,2)</f>
        <v>155.27</v>
      </c>
      <c r="O683" s="2" t="str">
        <f aca="false">IF(COUNTIF($A$2:$A$1201,A683)&gt;1,"DUPLICATE","Unique")</f>
        <v>Unique</v>
      </c>
      <c r="P683" s="2" t="str">
        <f aca="false">IF(L683="","MISSING","OK")</f>
        <v>OK</v>
      </c>
      <c r="Q683" s="2" t="str">
        <f aca="false">IF(ISNUMBER(B683),"OK","BAD DATE")</f>
        <v>OK</v>
      </c>
      <c r="R683" s="2" t="str">
        <f aca="false">IF(ROUND(F683,2)=F683,"OK","FIX")</f>
        <v>OK</v>
      </c>
    </row>
    <row r="684" customFormat="false" ht="15" hidden="false" customHeight="false" outlineLevel="0" collapsed="false">
      <c r="A684" s="2" t="str">
        <f aca="false">TRIM(UPPER(Raw_Data!A684))</f>
        <v>ORD200682</v>
      </c>
      <c r="B684" s="3" t="n">
        <f aca="false">IF(ISNUMBER(Raw_Data!B684),Raw_Data!B684,DATEVALUE(Raw_Data!B684))</f>
        <v>45130</v>
      </c>
      <c r="C684" s="2" t="str">
        <f aca="false">TRIM(UPPER(Raw_Data!C684))</f>
        <v>C50274</v>
      </c>
      <c r="D684" s="2" t="str">
        <f aca="false">PROPER(TRIM(Raw_Data!D684))</f>
        <v>Monitor</v>
      </c>
      <c r="E684" s="2" t="n">
        <f aca="false">Raw_Data!E684</f>
        <v>3</v>
      </c>
      <c r="F684" s="4" t="n">
        <f aca="false">ROUND(Raw_Data!F684,2)</f>
        <v>509.42</v>
      </c>
      <c r="G684" s="2" t="str">
        <f aca="false">PROPER(TRIM(Raw_Data!G684))</f>
        <v>449 Main St</v>
      </c>
      <c r="H684" s="2" t="str">
        <f aca="false">PROPER(TRIM(Raw_Data!H684))</f>
        <v>Credit Card</v>
      </c>
      <c r="I684" s="2" t="str">
        <f aca="false">PROPER(TRIM(Raw_Data!I684))</f>
        <v>Cancelled</v>
      </c>
      <c r="J684" s="2" t="str">
        <f aca="false">TRIM(UPPER(Raw_Data!J684))</f>
        <v>TRK91729086</v>
      </c>
      <c r="K684" s="2" t="n">
        <f aca="false">Raw_Data!K684</f>
        <v>5</v>
      </c>
      <c r="L684" s="2" t="str">
        <f aca="false">IF(TRIM(Raw_Data!L684)="","No Coupon",TRIM(UPPER(Raw_Data!L684)))</f>
        <v>FREESHIP</v>
      </c>
      <c r="M684" s="2" t="str">
        <f aca="false">PROPER(TRIM(Raw_Data!M684))</f>
        <v>Google</v>
      </c>
      <c r="N684" s="4" t="n">
        <f aca="false">ROUND(E684*F684,2)</f>
        <v>1528.26</v>
      </c>
      <c r="O684" s="2" t="str">
        <f aca="false">IF(COUNTIF($A$2:$A$1201,A684)&gt;1,"DUPLICATE","Unique")</f>
        <v>Unique</v>
      </c>
      <c r="P684" s="2" t="str">
        <f aca="false">IF(L684="","MISSING","OK")</f>
        <v>OK</v>
      </c>
      <c r="Q684" s="2" t="str">
        <f aca="false">IF(ISNUMBER(B684),"OK","BAD DATE")</f>
        <v>OK</v>
      </c>
      <c r="R684" s="2" t="str">
        <f aca="false">IF(ROUND(F684,2)=F684,"OK","FIX")</f>
        <v>OK</v>
      </c>
    </row>
    <row r="685" customFormat="false" ht="15" hidden="false" customHeight="false" outlineLevel="0" collapsed="false">
      <c r="A685" s="2" t="str">
        <f aca="false">TRIM(UPPER(Raw_Data!A685))</f>
        <v>ORD200683</v>
      </c>
      <c r="B685" s="3" t="n">
        <f aca="false">IF(ISNUMBER(Raw_Data!B685),Raw_Data!B685,DATEVALUE(Raw_Data!B685))</f>
        <v>45795</v>
      </c>
      <c r="C685" s="2" t="str">
        <f aca="false">TRIM(UPPER(Raw_Data!C685))</f>
        <v>C91591</v>
      </c>
      <c r="D685" s="2" t="str">
        <f aca="false">PROPER(TRIM(Raw_Data!D685))</f>
        <v>Desk</v>
      </c>
      <c r="E685" s="2" t="n">
        <f aca="false">Raw_Data!E685</f>
        <v>4</v>
      </c>
      <c r="F685" s="4" t="n">
        <f aca="false">ROUND(Raw_Data!F685,2)</f>
        <v>652.48</v>
      </c>
      <c r="G685" s="2" t="str">
        <f aca="false">PROPER(TRIM(Raw_Data!G685))</f>
        <v>887 Main St</v>
      </c>
      <c r="H685" s="2" t="str">
        <f aca="false">PROPER(TRIM(Raw_Data!H685))</f>
        <v>Cash</v>
      </c>
      <c r="I685" s="2" t="str">
        <f aca="false">PROPER(TRIM(Raw_Data!I685))</f>
        <v>Pending</v>
      </c>
      <c r="J685" s="2" t="str">
        <f aca="false">TRIM(UPPER(Raw_Data!J685))</f>
        <v>TRK23554043</v>
      </c>
      <c r="K685" s="2" t="n">
        <f aca="false">Raw_Data!K685</f>
        <v>5</v>
      </c>
      <c r="L685" s="2" t="str">
        <f aca="false">IF(TRIM(Raw_Data!L685)="","No Coupon",TRIM(UPPER(Raw_Data!L685)))</f>
        <v>FREESHIP</v>
      </c>
      <c r="M685" s="2" t="str">
        <f aca="false">PROPER(TRIM(Raw_Data!M685))</f>
        <v>Instagram</v>
      </c>
      <c r="N685" s="4" t="n">
        <f aca="false">ROUND(E685*F685,2)</f>
        <v>2609.92</v>
      </c>
      <c r="O685" s="2" t="str">
        <f aca="false">IF(COUNTIF($A$2:$A$1201,A685)&gt;1,"DUPLICATE","Unique")</f>
        <v>Unique</v>
      </c>
      <c r="P685" s="2" t="str">
        <f aca="false">IF(L685="","MISSING","OK")</f>
        <v>OK</v>
      </c>
      <c r="Q685" s="2" t="str">
        <f aca="false">IF(ISNUMBER(B685),"OK","BAD DATE")</f>
        <v>OK</v>
      </c>
      <c r="R685" s="2" t="str">
        <f aca="false">IF(ROUND(F685,2)=F685,"OK","FIX")</f>
        <v>OK</v>
      </c>
    </row>
    <row r="686" customFormat="false" ht="15" hidden="false" customHeight="false" outlineLevel="0" collapsed="false">
      <c r="A686" s="2" t="str">
        <f aca="false">TRIM(UPPER(Raw_Data!A686))</f>
        <v>ORD200684</v>
      </c>
      <c r="B686" s="3" t="n">
        <f aca="false">IF(ISNUMBER(Raw_Data!B686),Raw_Data!B686,DATEVALUE(Raw_Data!B686))</f>
        <v>45557</v>
      </c>
      <c r="C686" s="2" t="str">
        <f aca="false">TRIM(UPPER(Raw_Data!C686))</f>
        <v>C96583</v>
      </c>
      <c r="D686" s="2" t="str">
        <f aca="false">PROPER(TRIM(Raw_Data!D686))</f>
        <v>Printer</v>
      </c>
      <c r="E686" s="2" t="n">
        <f aca="false">Raw_Data!E686</f>
        <v>4</v>
      </c>
      <c r="F686" s="4" t="n">
        <f aca="false">ROUND(Raw_Data!F686,2)</f>
        <v>34.84</v>
      </c>
      <c r="G686" s="2" t="str">
        <f aca="false">PROPER(TRIM(Raw_Data!G686))</f>
        <v>288 Main St</v>
      </c>
      <c r="H686" s="2" t="str">
        <f aca="false">PROPER(TRIM(Raw_Data!H686))</f>
        <v>Credit Card</v>
      </c>
      <c r="I686" s="2" t="str">
        <f aca="false">PROPER(TRIM(Raw_Data!I686))</f>
        <v>Shipped</v>
      </c>
      <c r="J686" s="2" t="str">
        <f aca="false">TRIM(UPPER(Raw_Data!J686))</f>
        <v>TRK64353241</v>
      </c>
      <c r="K686" s="2" t="n">
        <f aca="false">Raw_Data!K686</f>
        <v>8</v>
      </c>
      <c r="L686" s="2" t="str">
        <f aca="false">IF(TRIM(Raw_Data!L686)="","No Coupon",TRIM(UPPER(Raw_Data!L686)))</f>
        <v>No Coupon</v>
      </c>
      <c r="M686" s="2" t="str">
        <f aca="false">PROPER(TRIM(Raw_Data!M686))</f>
        <v>Email</v>
      </c>
      <c r="N686" s="4" t="n">
        <f aca="false">ROUND(E686*F686,2)</f>
        <v>139.36</v>
      </c>
      <c r="O686" s="2" t="str">
        <f aca="false">IF(COUNTIF($A$2:$A$1201,A686)&gt;1,"DUPLICATE","Unique")</f>
        <v>Unique</v>
      </c>
      <c r="P686" s="2" t="str">
        <f aca="false">IF(L686="","MISSING","OK")</f>
        <v>OK</v>
      </c>
      <c r="Q686" s="2" t="str">
        <f aca="false">IF(ISNUMBER(B686),"OK","BAD DATE")</f>
        <v>OK</v>
      </c>
      <c r="R686" s="2" t="str">
        <f aca="false">IF(ROUND(F686,2)=F686,"OK","FIX")</f>
        <v>OK</v>
      </c>
    </row>
    <row r="687" customFormat="false" ht="15" hidden="false" customHeight="false" outlineLevel="0" collapsed="false">
      <c r="A687" s="2" t="str">
        <f aca="false">TRIM(UPPER(Raw_Data!A687))</f>
        <v>ORD200685</v>
      </c>
      <c r="B687" s="3" t="n">
        <f aca="false">IF(ISNUMBER(Raw_Data!B687),Raw_Data!B687,DATEVALUE(Raw_Data!B687))</f>
        <v>45695</v>
      </c>
      <c r="C687" s="2" t="str">
        <f aca="false">TRIM(UPPER(Raw_Data!C687))</f>
        <v>C64579</v>
      </c>
      <c r="D687" s="2" t="str">
        <f aca="false">PROPER(TRIM(Raw_Data!D687))</f>
        <v>Desk</v>
      </c>
      <c r="E687" s="2" t="n">
        <f aca="false">Raw_Data!E687</f>
        <v>1</v>
      </c>
      <c r="F687" s="4" t="n">
        <f aca="false">ROUND(Raw_Data!F687,2)</f>
        <v>234.37</v>
      </c>
      <c r="G687" s="2" t="str">
        <f aca="false">PROPER(TRIM(Raw_Data!G687))</f>
        <v>638 Main St</v>
      </c>
      <c r="H687" s="2" t="str">
        <f aca="false">PROPER(TRIM(Raw_Data!H687))</f>
        <v>Debit Card</v>
      </c>
      <c r="I687" s="2" t="str">
        <f aca="false">PROPER(TRIM(Raw_Data!I687))</f>
        <v>Shipped</v>
      </c>
      <c r="J687" s="2" t="str">
        <f aca="false">TRIM(UPPER(Raw_Data!J687))</f>
        <v>TRK10276565</v>
      </c>
      <c r="K687" s="2" t="n">
        <f aca="false">Raw_Data!K687</f>
        <v>5</v>
      </c>
      <c r="L687" s="2" t="str">
        <f aca="false">IF(TRIM(Raw_Data!L687)="","No Coupon",TRIM(UPPER(Raw_Data!L687)))</f>
        <v>FREESHIP</v>
      </c>
      <c r="M687" s="2" t="str">
        <f aca="false">PROPER(TRIM(Raw_Data!M687))</f>
        <v>Email</v>
      </c>
      <c r="N687" s="4" t="n">
        <f aca="false">ROUND(E687*F687,2)</f>
        <v>234.37</v>
      </c>
      <c r="O687" s="2" t="str">
        <f aca="false">IF(COUNTIF($A$2:$A$1201,A687)&gt;1,"DUPLICATE","Unique")</f>
        <v>Unique</v>
      </c>
      <c r="P687" s="2" t="str">
        <f aca="false">IF(L687="","MISSING","OK")</f>
        <v>OK</v>
      </c>
      <c r="Q687" s="2" t="str">
        <f aca="false">IF(ISNUMBER(B687),"OK","BAD DATE")</f>
        <v>OK</v>
      </c>
      <c r="R687" s="2" t="str">
        <f aca="false">IF(ROUND(F687,2)=F687,"OK","FIX")</f>
        <v>OK</v>
      </c>
    </row>
    <row r="688" customFormat="false" ht="15" hidden="false" customHeight="false" outlineLevel="0" collapsed="false">
      <c r="A688" s="2" t="str">
        <f aca="false">TRIM(UPPER(Raw_Data!A688))</f>
        <v>ORD200686</v>
      </c>
      <c r="B688" s="3" t="n">
        <f aca="false">IF(ISNUMBER(Raw_Data!B688),Raw_Data!B688,DATEVALUE(Raw_Data!B688))</f>
        <v>45208</v>
      </c>
      <c r="C688" s="2" t="str">
        <f aca="false">TRIM(UPPER(Raw_Data!C688))</f>
        <v>C41903</v>
      </c>
      <c r="D688" s="2" t="str">
        <f aca="false">PROPER(TRIM(Raw_Data!D688))</f>
        <v>Desk</v>
      </c>
      <c r="E688" s="2" t="n">
        <f aca="false">Raw_Data!E688</f>
        <v>3</v>
      </c>
      <c r="F688" s="4" t="n">
        <f aca="false">ROUND(Raw_Data!F688,2)</f>
        <v>53.6</v>
      </c>
      <c r="G688" s="2" t="str">
        <f aca="false">PROPER(TRIM(Raw_Data!G688))</f>
        <v>525 Main St</v>
      </c>
      <c r="H688" s="2" t="str">
        <f aca="false">PROPER(TRIM(Raw_Data!H688))</f>
        <v>Cash</v>
      </c>
      <c r="I688" s="2" t="str">
        <f aca="false">PROPER(TRIM(Raw_Data!I688))</f>
        <v>Pending</v>
      </c>
      <c r="J688" s="2" t="str">
        <f aca="false">TRIM(UPPER(Raw_Data!J688))</f>
        <v>TRK59112382</v>
      </c>
      <c r="K688" s="2" t="n">
        <f aca="false">Raw_Data!K688</f>
        <v>4</v>
      </c>
      <c r="L688" s="2" t="str">
        <f aca="false">IF(TRIM(Raw_Data!L688)="","No Coupon",TRIM(UPPER(Raw_Data!L688)))</f>
        <v>WINTER15</v>
      </c>
      <c r="M688" s="2" t="str">
        <f aca="false">PROPER(TRIM(Raw_Data!M688))</f>
        <v>Facebook</v>
      </c>
      <c r="N688" s="4" t="n">
        <f aca="false">ROUND(E688*F688,2)</f>
        <v>160.8</v>
      </c>
      <c r="O688" s="2" t="str">
        <f aca="false">IF(COUNTIF($A$2:$A$1201,A688)&gt;1,"DUPLICATE","Unique")</f>
        <v>Unique</v>
      </c>
      <c r="P688" s="2" t="str">
        <f aca="false">IF(L688="","MISSING","OK")</f>
        <v>OK</v>
      </c>
      <c r="Q688" s="2" t="str">
        <f aca="false">IF(ISNUMBER(B688),"OK","BAD DATE")</f>
        <v>OK</v>
      </c>
      <c r="R688" s="2" t="str">
        <f aca="false">IF(ROUND(F688,2)=F688,"OK","FIX")</f>
        <v>OK</v>
      </c>
    </row>
    <row r="689" customFormat="false" ht="15" hidden="false" customHeight="false" outlineLevel="0" collapsed="false">
      <c r="A689" s="2" t="str">
        <f aca="false">TRIM(UPPER(Raw_Data!A689))</f>
        <v>ORD200687</v>
      </c>
      <c r="B689" s="3" t="n">
        <f aca="false">IF(ISNUMBER(Raw_Data!B689),Raw_Data!B689,DATEVALUE(Raw_Data!B689))</f>
        <v>45182</v>
      </c>
      <c r="C689" s="2" t="str">
        <f aca="false">TRIM(UPPER(Raw_Data!C689))</f>
        <v>C19742</v>
      </c>
      <c r="D689" s="2" t="str">
        <f aca="false">PROPER(TRIM(Raw_Data!D689))</f>
        <v>Tablet</v>
      </c>
      <c r="E689" s="2" t="n">
        <f aca="false">Raw_Data!E689</f>
        <v>1</v>
      </c>
      <c r="F689" s="4" t="n">
        <f aca="false">ROUND(Raw_Data!F689,2)</f>
        <v>332.09</v>
      </c>
      <c r="G689" s="2" t="str">
        <f aca="false">PROPER(TRIM(Raw_Data!G689))</f>
        <v>408 Main St</v>
      </c>
      <c r="H689" s="2" t="str">
        <f aca="false">PROPER(TRIM(Raw_Data!H689))</f>
        <v>Gift Card</v>
      </c>
      <c r="I689" s="2" t="str">
        <f aca="false">PROPER(TRIM(Raw_Data!I689))</f>
        <v>Returned</v>
      </c>
      <c r="J689" s="2" t="str">
        <f aca="false">TRIM(UPPER(Raw_Data!J689))</f>
        <v>TRK68845230</v>
      </c>
      <c r="K689" s="2" t="n">
        <f aca="false">Raw_Data!K689</f>
        <v>5</v>
      </c>
      <c r="L689" s="2" t="str">
        <f aca="false">IF(TRIM(Raw_Data!L689)="","No Coupon",TRIM(UPPER(Raw_Data!L689)))</f>
        <v>FREESHIP</v>
      </c>
      <c r="M689" s="2" t="str">
        <f aca="false">PROPER(TRIM(Raw_Data!M689))</f>
        <v>Instagram</v>
      </c>
      <c r="N689" s="4" t="n">
        <f aca="false">ROUND(E689*F689,2)</f>
        <v>332.09</v>
      </c>
      <c r="O689" s="2" t="str">
        <f aca="false">IF(COUNTIF($A$2:$A$1201,A689)&gt;1,"DUPLICATE","Unique")</f>
        <v>Unique</v>
      </c>
      <c r="P689" s="2" t="str">
        <f aca="false">IF(L689="","MISSING","OK")</f>
        <v>OK</v>
      </c>
      <c r="Q689" s="2" t="str">
        <f aca="false">IF(ISNUMBER(B689),"OK","BAD DATE")</f>
        <v>OK</v>
      </c>
      <c r="R689" s="2" t="str">
        <f aca="false">IF(ROUND(F689,2)=F689,"OK","FIX")</f>
        <v>OK</v>
      </c>
    </row>
    <row r="690" customFormat="false" ht="15" hidden="false" customHeight="false" outlineLevel="0" collapsed="false">
      <c r="A690" s="2" t="str">
        <f aca="false">TRIM(UPPER(Raw_Data!A690))</f>
        <v>ORD200688</v>
      </c>
      <c r="B690" s="3" t="n">
        <f aca="false">IF(ISNUMBER(Raw_Data!B690),Raw_Data!B690,DATEVALUE(Raw_Data!B690))</f>
        <v>45357</v>
      </c>
      <c r="C690" s="2" t="str">
        <f aca="false">TRIM(UPPER(Raw_Data!C690))</f>
        <v>C20077</v>
      </c>
      <c r="D690" s="2" t="str">
        <f aca="false">PROPER(TRIM(Raw_Data!D690))</f>
        <v>Monitor</v>
      </c>
      <c r="E690" s="2" t="n">
        <f aca="false">Raw_Data!E690</f>
        <v>4</v>
      </c>
      <c r="F690" s="4" t="n">
        <f aca="false">ROUND(Raw_Data!F690,2)</f>
        <v>593.22</v>
      </c>
      <c r="G690" s="2" t="str">
        <f aca="false">PROPER(TRIM(Raw_Data!G690))</f>
        <v>154 Main St</v>
      </c>
      <c r="H690" s="2" t="str">
        <f aca="false">PROPER(TRIM(Raw_Data!H690))</f>
        <v>Credit Card</v>
      </c>
      <c r="I690" s="2" t="str">
        <f aca="false">PROPER(TRIM(Raw_Data!I690))</f>
        <v>Cancelled</v>
      </c>
      <c r="J690" s="2" t="str">
        <f aca="false">TRIM(UPPER(Raw_Data!J690))</f>
        <v>TRK36415742</v>
      </c>
      <c r="K690" s="2" t="n">
        <f aca="false">Raw_Data!K690</f>
        <v>8</v>
      </c>
      <c r="L690" s="2" t="str">
        <f aca="false">IF(TRIM(Raw_Data!L690)="","No Coupon",TRIM(UPPER(Raw_Data!L690)))</f>
        <v>WINTER15</v>
      </c>
      <c r="M690" s="2" t="str">
        <f aca="false">PROPER(TRIM(Raw_Data!M690))</f>
        <v>Facebook</v>
      </c>
      <c r="N690" s="4" t="n">
        <f aca="false">ROUND(E690*F690,2)</f>
        <v>2372.88</v>
      </c>
      <c r="O690" s="2" t="str">
        <f aca="false">IF(COUNTIF($A$2:$A$1201,A690)&gt;1,"DUPLICATE","Unique")</f>
        <v>Unique</v>
      </c>
      <c r="P690" s="2" t="str">
        <f aca="false">IF(L690="","MISSING","OK")</f>
        <v>OK</v>
      </c>
      <c r="Q690" s="2" t="str">
        <f aca="false">IF(ISNUMBER(B690),"OK","BAD DATE")</f>
        <v>OK</v>
      </c>
      <c r="R690" s="2" t="str">
        <f aca="false">IF(ROUND(F690,2)=F690,"OK","FIX")</f>
        <v>OK</v>
      </c>
    </row>
    <row r="691" customFormat="false" ht="15" hidden="false" customHeight="false" outlineLevel="0" collapsed="false">
      <c r="A691" s="2" t="str">
        <f aca="false">TRIM(UPPER(Raw_Data!A691))</f>
        <v>ORD200689</v>
      </c>
      <c r="B691" s="3" t="n">
        <f aca="false">IF(ISNUMBER(Raw_Data!B691),Raw_Data!B691,DATEVALUE(Raw_Data!B691))</f>
        <v>45167</v>
      </c>
      <c r="C691" s="2" t="str">
        <f aca="false">TRIM(UPPER(Raw_Data!C691))</f>
        <v>C13186</v>
      </c>
      <c r="D691" s="2" t="str">
        <f aca="false">PROPER(TRIM(Raw_Data!D691))</f>
        <v>Tablet</v>
      </c>
      <c r="E691" s="2" t="n">
        <f aca="false">Raw_Data!E691</f>
        <v>2</v>
      </c>
      <c r="F691" s="4" t="n">
        <f aca="false">ROUND(Raw_Data!F691,2)</f>
        <v>444.84</v>
      </c>
      <c r="G691" s="2" t="str">
        <f aca="false">PROPER(TRIM(Raw_Data!G691))</f>
        <v>787 Main St</v>
      </c>
      <c r="H691" s="2" t="str">
        <f aca="false">PROPER(TRIM(Raw_Data!H691))</f>
        <v>Online</v>
      </c>
      <c r="I691" s="2" t="str">
        <f aca="false">PROPER(TRIM(Raw_Data!I691))</f>
        <v>Shipped</v>
      </c>
      <c r="J691" s="2" t="str">
        <f aca="false">TRIM(UPPER(Raw_Data!J691))</f>
        <v>TRK56967415</v>
      </c>
      <c r="K691" s="2" t="n">
        <f aca="false">Raw_Data!K691</f>
        <v>7</v>
      </c>
      <c r="L691" s="2" t="str">
        <f aca="false">IF(TRIM(Raw_Data!L691)="","No Coupon",TRIM(UPPER(Raw_Data!L691)))</f>
        <v>No Coupon</v>
      </c>
      <c r="M691" s="2" t="str">
        <f aca="false">PROPER(TRIM(Raw_Data!M691))</f>
        <v>Facebook</v>
      </c>
      <c r="N691" s="4" t="n">
        <f aca="false">ROUND(E691*F691,2)</f>
        <v>889.68</v>
      </c>
      <c r="O691" s="2" t="str">
        <f aca="false">IF(COUNTIF($A$2:$A$1201,A691)&gt;1,"DUPLICATE","Unique")</f>
        <v>Unique</v>
      </c>
      <c r="P691" s="2" t="str">
        <f aca="false">IF(L691="","MISSING","OK")</f>
        <v>OK</v>
      </c>
      <c r="Q691" s="2" t="str">
        <f aca="false">IF(ISNUMBER(B691),"OK","BAD DATE")</f>
        <v>OK</v>
      </c>
      <c r="R691" s="2" t="str">
        <f aca="false">IF(ROUND(F691,2)=F691,"OK","FIX")</f>
        <v>OK</v>
      </c>
    </row>
    <row r="692" customFormat="false" ht="15" hidden="false" customHeight="false" outlineLevel="0" collapsed="false">
      <c r="A692" s="2" t="str">
        <f aca="false">TRIM(UPPER(Raw_Data!A692))</f>
        <v>ORD200690</v>
      </c>
      <c r="B692" s="3" t="n">
        <f aca="false">IF(ISNUMBER(Raw_Data!B692),Raw_Data!B692,DATEVALUE(Raw_Data!B692))</f>
        <v>45485</v>
      </c>
      <c r="C692" s="2" t="str">
        <f aca="false">TRIM(UPPER(Raw_Data!C692))</f>
        <v>C29318</v>
      </c>
      <c r="D692" s="2" t="str">
        <f aca="false">PROPER(TRIM(Raw_Data!D692))</f>
        <v>Monitor</v>
      </c>
      <c r="E692" s="2" t="n">
        <f aca="false">Raw_Data!E692</f>
        <v>1</v>
      </c>
      <c r="F692" s="4" t="n">
        <f aca="false">ROUND(Raw_Data!F692,2)</f>
        <v>24.48</v>
      </c>
      <c r="G692" s="2" t="str">
        <f aca="false">PROPER(TRIM(Raw_Data!G692))</f>
        <v>128 Main St</v>
      </c>
      <c r="H692" s="2" t="str">
        <f aca="false">PROPER(TRIM(Raw_Data!H692))</f>
        <v>Gift Card</v>
      </c>
      <c r="I692" s="2" t="str">
        <f aca="false">PROPER(TRIM(Raw_Data!I692))</f>
        <v>Returned</v>
      </c>
      <c r="J692" s="2" t="str">
        <f aca="false">TRIM(UPPER(Raw_Data!J692))</f>
        <v>TRK88666721</v>
      </c>
      <c r="K692" s="2" t="n">
        <f aca="false">Raw_Data!K692</f>
        <v>1</v>
      </c>
      <c r="L692" s="2" t="str">
        <f aca="false">IF(TRIM(Raw_Data!L692)="","No Coupon",TRIM(UPPER(Raw_Data!L692)))</f>
        <v>No Coupon</v>
      </c>
      <c r="M692" s="2" t="str">
        <f aca="false">PROPER(TRIM(Raw_Data!M692))</f>
        <v>Instagram</v>
      </c>
      <c r="N692" s="4" t="n">
        <f aca="false">ROUND(E692*F692,2)</f>
        <v>24.48</v>
      </c>
      <c r="O692" s="2" t="str">
        <f aca="false">IF(COUNTIF($A$2:$A$1201,A692)&gt;1,"DUPLICATE","Unique")</f>
        <v>Unique</v>
      </c>
      <c r="P692" s="2" t="str">
        <f aca="false">IF(L692="","MISSING","OK")</f>
        <v>OK</v>
      </c>
      <c r="Q692" s="2" t="str">
        <f aca="false">IF(ISNUMBER(B692),"OK","BAD DATE")</f>
        <v>OK</v>
      </c>
      <c r="R692" s="2" t="str">
        <f aca="false">IF(ROUND(F692,2)=F692,"OK","FIX")</f>
        <v>OK</v>
      </c>
    </row>
    <row r="693" customFormat="false" ht="15" hidden="false" customHeight="false" outlineLevel="0" collapsed="false">
      <c r="A693" s="2" t="str">
        <f aca="false">TRIM(UPPER(Raw_Data!A693))</f>
        <v>ORD200691</v>
      </c>
      <c r="B693" s="3" t="n">
        <f aca="false">IF(ISNUMBER(Raw_Data!B693),Raw_Data!B693,DATEVALUE(Raw_Data!B693))</f>
        <v>45620</v>
      </c>
      <c r="C693" s="2" t="str">
        <f aca="false">TRIM(UPPER(Raw_Data!C693))</f>
        <v>C36137</v>
      </c>
      <c r="D693" s="2" t="str">
        <f aca="false">PROPER(TRIM(Raw_Data!D693))</f>
        <v>Laptop</v>
      </c>
      <c r="E693" s="2" t="n">
        <f aca="false">Raw_Data!E693</f>
        <v>3</v>
      </c>
      <c r="F693" s="4" t="n">
        <f aca="false">ROUND(Raw_Data!F693,2)</f>
        <v>239.08</v>
      </c>
      <c r="G693" s="2" t="str">
        <f aca="false">PROPER(TRIM(Raw_Data!G693))</f>
        <v>396 Main St</v>
      </c>
      <c r="H693" s="2" t="str">
        <f aca="false">PROPER(TRIM(Raw_Data!H693))</f>
        <v>Cash</v>
      </c>
      <c r="I693" s="2" t="str">
        <f aca="false">PROPER(TRIM(Raw_Data!I693))</f>
        <v>Shipped</v>
      </c>
      <c r="J693" s="2" t="str">
        <f aca="false">TRIM(UPPER(Raw_Data!J693))</f>
        <v>TRK57376416</v>
      </c>
      <c r="K693" s="2" t="n">
        <f aca="false">Raw_Data!K693</f>
        <v>8</v>
      </c>
      <c r="L693" s="2" t="str">
        <f aca="false">IF(TRIM(Raw_Data!L693)="","No Coupon",TRIM(UPPER(Raw_Data!L693)))</f>
        <v>No Coupon</v>
      </c>
      <c r="M693" s="2" t="str">
        <f aca="false">PROPER(TRIM(Raw_Data!M693))</f>
        <v>Google</v>
      </c>
      <c r="N693" s="4" t="n">
        <f aca="false">ROUND(E693*F693,2)</f>
        <v>717.24</v>
      </c>
      <c r="O693" s="2" t="str">
        <f aca="false">IF(COUNTIF($A$2:$A$1201,A693)&gt;1,"DUPLICATE","Unique")</f>
        <v>Unique</v>
      </c>
      <c r="P693" s="2" t="str">
        <f aca="false">IF(L693="","MISSING","OK")</f>
        <v>OK</v>
      </c>
      <c r="Q693" s="2" t="str">
        <f aca="false">IF(ISNUMBER(B693),"OK","BAD DATE")</f>
        <v>OK</v>
      </c>
      <c r="R693" s="2" t="str">
        <f aca="false">IF(ROUND(F693,2)=F693,"OK","FIX")</f>
        <v>OK</v>
      </c>
    </row>
    <row r="694" customFormat="false" ht="15" hidden="false" customHeight="false" outlineLevel="0" collapsed="false">
      <c r="A694" s="2" t="str">
        <f aca="false">TRIM(UPPER(Raw_Data!A694))</f>
        <v>ORD200692</v>
      </c>
      <c r="B694" s="3" t="n">
        <f aca="false">IF(ISNUMBER(Raw_Data!B694),Raw_Data!B694,DATEVALUE(Raw_Data!B694))</f>
        <v>44949</v>
      </c>
      <c r="C694" s="2" t="str">
        <f aca="false">TRIM(UPPER(Raw_Data!C694))</f>
        <v>C25534</v>
      </c>
      <c r="D694" s="2" t="str">
        <f aca="false">PROPER(TRIM(Raw_Data!D694))</f>
        <v>Desk</v>
      </c>
      <c r="E694" s="2" t="n">
        <f aca="false">Raw_Data!E694</f>
        <v>5</v>
      </c>
      <c r="F694" s="4" t="n">
        <f aca="false">ROUND(Raw_Data!F694,2)</f>
        <v>196.84</v>
      </c>
      <c r="G694" s="2" t="str">
        <f aca="false">PROPER(TRIM(Raw_Data!G694))</f>
        <v>319 Main St</v>
      </c>
      <c r="H694" s="2" t="str">
        <f aca="false">PROPER(TRIM(Raw_Data!H694))</f>
        <v>Credit Card</v>
      </c>
      <c r="I694" s="2" t="str">
        <f aca="false">PROPER(TRIM(Raw_Data!I694))</f>
        <v>Delivered</v>
      </c>
      <c r="J694" s="2" t="str">
        <f aca="false">TRIM(UPPER(Raw_Data!J694))</f>
        <v>TRK68347402</v>
      </c>
      <c r="K694" s="2" t="n">
        <f aca="false">Raw_Data!K694</f>
        <v>5</v>
      </c>
      <c r="L694" s="2" t="str">
        <f aca="false">IF(TRIM(Raw_Data!L694)="","No Coupon",TRIM(UPPER(Raw_Data!L694)))</f>
        <v>WINTER15</v>
      </c>
      <c r="M694" s="2" t="str">
        <f aca="false">PROPER(TRIM(Raw_Data!M694))</f>
        <v>Instagram</v>
      </c>
      <c r="N694" s="4" t="n">
        <f aca="false">ROUND(E694*F694,2)</f>
        <v>984.2</v>
      </c>
      <c r="O694" s="2" t="str">
        <f aca="false">IF(COUNTIF($A$2:$A$1201,A694)&gt;1,"DUPLICATE","Unique")</f>
        <v>Unique</v>
      </c>
      <c r="P694" s="2" t="str">
        <f aca="false">IF(L694="","MISSING","OK")</f>
        <v>OK</v>
      </c>
      <c r="Q694" s="2" t="str">
        <f aca="false">IF(ISNUMBER(B694),"OK","BAD DATE")</f>
        <v>OK</v>
      </c>
      <c r="R694" s="2" t="str">
        <f aca="false">IF(ROUND(F694,2)=F694,"OK","FIX")</f>
        <v>OK</v>
      </c>
    </row>
    <row r="695" customFormat="false" ht="15" hidden="false" customHeight="false" outlineLevel="0" collapsed="false">
      <c r="A695" s="2" t="str">
        <f aca="false">TRIM(UPPER(Raw_Data!A695))</f>
        <v>ORD200693</v>
      </c>
      <c r="B695" s="3" t="n">
        <f aca="false">IF(ISNUMBER(Raw_Data!B695),Raw_Data!B695,DATEVALUE(Raw_Data!B695))</f>
        <v>45728</v>
      </c>
      <c r="C695" s="2" t="str">
        <f aca="false">TRIM(UPPER(Raw_Data!C695))</f>
        <v>C62070</v>
      </c>
      <c r="D695" s="2" t="str">
        <f aca="false">PROPER(TRIM(Raw_Data!D695))</f>
        <v>Monitor</v>
      </c>
      <c r="E695" s="2" t="n">
        <f aca="false">Raw_Data!E695</f>
        <v>1</v>
      </c>
      <c r="F695" s="4" t="n">
        <f aca="false">ROUND(Raw_Data!F695,2)</f>
        <v>176.58</v>
      </c>
      <c r="G695" s="2" t="str">
        <f aca="false">PROPER(TRIM(Raw_Data!G695))</f>
        <v>674 Main St</v>
      </c>
      <c r="H695" s="2" t="str">
        <f aca="false">PROPER(TRIM(Raw_Data!H695))</f>
        <v>Debit Card</v>
      </c>
      <c r="I695" s="2" t="str">
        <f aca="false">PROPER(TRIM(Raw_Data!I695))</f>
        <v>Returned</v>
      </c>
      <c r="J695" s="2" t="str">
        <f aca="false">TRIM(UPPER(Raw_Data!J695))</f>
        <v>TRK10267127</v>
      </c>
      <c r="K695" s="2" t="n">
        <f aca="false">Raw_Data!K695</f>
        <v>4</v>
      </c>
      <c r="L695" s="2" t="str">
        <f aca="false">IF(TRIM(Raw_Data!L695)="","No Coupon",TRIM(UPPER(Raw_Data!L695)))</f>
        <v>No Coupon</v>
      </c>
      <c r="M695" s="2" t="str">
        <f aca="false">PROPER(TRIM(Raw_Data!M695))</f>
        <v>Referral</v>
      </c>
      <c r="N695" s="4" t="n">
        <f aca="false">ROUND(E695*F695,2)</f>
        <v>176.58</v>
      </c>
      <c r="O695" s="2" t="str">
        <f aca="false">IF(COUNTIF($A$2:$A$1201,A695)&gt;1,"DUPLICATE","Unique")</f>
        <v>Unique</v>
      </c>
      <c r="P695" s="2" t="str">
        <f aca="false">IF(L695="","MISSING","OK")</f>
        <v>OK</v>
      </c>
      <c r="Q695" s="2" t="str">
        <f aca="false">IF(ISNUMBER(B695),"OK","BAD DATE")</f>
        <v>OK</v>
      </c>
      <c r="R695" s="2" t="str">
        <f aca="false">IF(ROUND(F695,2)=F695,"OK","FIX")</f>
        <v>OK</v>
      </c>
    </row>
    <row r="696" customFormat="false" ht="15" hidden="false" customHeight="false" outlineLevel="0" collapsed="false">
      <c r="A696" s="2" t="str">
        <f aca="false">TRIM(UPPER(Raw_Data!A696))</f>
        <v>ORD200694</v>
      </c>
      <c r="B696" s="3" t="n">
        <f aca="false">IF(ISNUMBER(Raw_Data!B696),Raw_Data!B696,DATEVALUE(Raw_Data!B696))</f>
        <v>45201</v>
      </c>
      <c r="C696" s="2" t="str">
        <f aca="false">TRIM(UPPER(Raw_Data!C696))</f>
        <v>C92049</v>
      </c>
      <c r="D696" s="2" t="str">
        <f aca="false">PROPER(TRIM(Raw_Data!D696))</f>
        <v>Printer</v>
      </c>
      <c r="E696" s="2" t="n">
        <f aca="false">Raw_Data!E696</f>
        <v>4</v>
      </c>
      <c r="F696" s="4" t="n">
        <f aca="false">ROUND(Raw_Data!F696,2)</f>
        <v>666.52</v>
      </c>
      <c r="G696" s="2" t="str">
        <f aca="false">PROPER(TRIM(Raw_Data!G696))</f>
        <v>619 Main St</v>
      </c>
      <c r="H696" s="2" t="str">
        <f aca="false">PROPER(TRIM(Raw_Data!H696))</f>
        <v>Cash</v>
      </c>
      <c r="I696" s="2" t="str">
        <f aca="false">PROPER(TRIM(Raw_Data!I696))</f>
        <v>Shipped</v>
      </c>
      <c r="J696" s="2" t="str">
        <f aca="false">TRIM(UPPER(Raw_Data!J696))</f>
        <v>TRK32287092</v>
      </c>
      <c r="K696" s="2" t="n">
        <f aca="false">Raw_Data!K696</f>
        <v>8</v>
      </c>
      <c r="L696" s="2" t="str">
        <f aca="false">IF(TRIM(Raw_Data!L696)="","No Coupon",TRIM(UPPER(Raw_Data!L696)))</f>
        <v>FREESHIP</v>
      </c>
      <c r="M696" s="2" t="str">
        <f aca="false">PROPER(TRIM(Raw_Data!M696))</f>
        <v>Email</v>
      </c>
      <c r="N696" s="4" t="n">
        <f aca="false">ROUND(E696*F696,2)</f>
        <v>2666.08</v>
      </c>
      <c r="O696" s="2" t="str">
        <f aca="false">IF(COUNTIF($A$2:$A$1201,A696)&gt;1,"DUPLICATE","Unique")</f>
        <v>Unique</v>
      </c>
      <c r="P696" s="2" t="str">
        <f aca="false">IF(L696="","MISSING","OK")</f>
        <v>OK</v>
      </c>
      <c r="Q696" s="2" t="str">
        <f aca="false">IF(ISNUMBER(B696),"OK","BAD DATE")</f>
        <v>OK</v>
      </c>
      <c r="R696" s="2" t="str">
        <f aca="false">IF(ROUND(F696,2)=F696,"OK","FIX")</f>
        <v>OK</v>
      </c>
    </row>
    <row r="697" customFormat="false" ht="15" hidden="false" customHeight="false" outlineLevel="0" collapsed="false">
      <c r="A697" s="2" t="str">
        <f aca="false">TRIM(UPPER(Raw_Data!A697))</f>
        <v>ORD200695</v>
      </c>
      <c r="B697" s="3" t="n">
        <f aca="false">IF(ISNUMBER(Raw_Data!B697),Raw_Data!B697,DATEVALUE(Raw_Data!B697))</f>
        <v>45619</v>
      </c>
      <c r="C697" s="2" t="str">
        <f aca="false">TRIM(UPPER(Raw_Data!C697))</f>
        <v>C52604</v>
      </c>
      <c r="D697" s="2" t="str">
        <f aca="false">PROPER(TRIM(Raw_Data!D697))</f>
        <v>Printer</v>
      </c>
      <c r="E697" s="2" t="n">
        <f aca="false">Raw_Data!E697</f>
        <v>5</v>
      </c>
      <c r="F697" s="4" t="n">
        <f aca="false">ROUND(Raw_Data!F697,2)</f>
        <v>101.3</v>
      </c>
      <c r="G697" s="2" t="str">
        <f aca="false">PROPER(TRIM(Raw_Data!G697))</f>
        <v>553 Main St</v>
      </c>
      <c r="H697" s="2" t="str">
        <f aca="false">PROPER(TRIM(Raw_Data!H697))</f>
        <v>Online</v>
      </c>
      <c r="I697" s="2" t="str">
        <f aca="false">PROPER(TRIM(Raw_Data!I697))</f>
        <v>Shipped</v>
      </c>
      <c r="J697" s="2" t="str">
        <f aca="false">TRIM(UPPER(Raw_Data!J697))</f>
        <v>TRK48839788</v>
      </c>
      <c r="K697" s="2" t="n">
        <f aca="false">Raw_Data!K697</f>
        <v>7</v>
      </c>
      <c r="L697" s="2" t="str">
        <f aca="false">IF(TRIM(Raw_Data!L697)="","No Coupon",TRIM(UPPER(Raw_Data!L697)))</f>
        <v>FREESHIP</v>
      </c>
      <c r="M697" s="2" t="str">
        <f aca="false">PROPER(TRIM(Raw_Data!M697))</f>
        <v>Email</v>
      </c>
      <c r="N697" s="4" t="n">
        <f aca="false">ROUND(E697*F697,2)</f>
        <v>506.5</v>
      </c>
      <c r="O697" s="2" t="str">
        <f aca="false">IF(COUNTIF($A$2:$A$1201,A697)&gt;1,"DUPLICATE","Unique")</f>
        <v>Unique</v>
      </c>
      <c r="P697" s="2" t="str">
        <f aca="false">IF(L697="","MISSING","OK")</f>
        <v>OK</v>
      </c>
      <c r="Q697" s="2" t="str">
        <f aca="false">IF(ISNUMBER(B697),"OK","BAD DATE")</f>
        <v>OK</v>
      </c>
      <c r="R697" s="2" t="str">
        <f aca="false">IF(ROUND(F697,2)=F697,"OK","FIX")</f>
        <v>OK</v>
      </c>
    </row>
    <row r="698" customFormat="false" ht="15" hidden="false" customHeight="false" outlineLevel="0" collapsed="false">
      <c r="A698" s="2" t="str">
        <f aca="false">TRIM(UPPER(Raw_Data!A698))</f>
        <v>ORD200696</v>
      </c>
      <c r="B698" s="3" t="n">
        <f aca="false">IF(ISNUMBER(Raw_Data!B698),Raw_Data!B698,DATEVALUE(Raw_Data!B698))</f>
        <v>45109</v>
      </c>
      <c r="C698" s="2" t="str">
        <f aca="false">TRIM(UPPER(Raw_Data!C698))</f>
        <v>C22429</v>
      </c>
      <c r="D698" s="2" t="str">
        <f aca="false">PROPER(TRIM(Raw_Data!D698))</f>
        <v>Chair</v>
      </c>
      <c r="E698" s="2" t="n">
        <f aca="false">Raw_Data!E698</f>
        <v>4</v>
      </c>
      <c r="F698" s="4" t="n">
        <f aca="false">ROUND(Raw_Data!F698,2)</f>
        <v>151.2</v>
      </c>
      <c r="G698" s="2" t="str">
        <f aca="false">PROPER(TRIM(Raw_Data!G698))</f>
        <v>965 Main St</v>
      </c>
      <c r="H698" s="2" t="str">
        <f aca="false">PROPER(TRIM(Raw_Data!H698))</f>
        <v>Gift Card</v>
      </c>
      <c r="I698" s="2" t="str">
        <f aca="false">PROPER(TRIM(Raw_Data!I698))</f>
        <v>Pending</v>
      </c>
      <c r="J698" s="2" t="str">
        <f aca="false">TRIM(UPPER(Raw_Data!J698))</f>
        <v>TRK38572927</v>
      </c>
      <c r="K698" s="2" t="n">
        <f aca="false">Raw_Data!K698</f>
        <v>9</v>
      </c>
      <c r="L698" s="2" t="str">
        <f aca="false">IF(TRIM(Raw_Data!L698)="","No Coupon",TRIM(UPPER(Raw_Data!L698)))</f>
        <v>WINTER15</v>
      </c>
      <c r="M698" s="2" t="str">
        <f aca="false">PROPER(TRIM(Raw_Data!M698))</f>
        <v>Facebook</v>
      </c>
      <c r="N698" s="4" t="n">
        <f aca="false">ROUND(E698*F698,2)</f>
        <v>604.8</v>
      </c>
      <c r="O698" s="2" t="str">
        <f aca="false">IF(COUNTIF($A$2:$A$1201,A698)&gt;1,"DUPLICATE","Unique")</f>
        <v>Unique</v>
      </c>
      <c r="P698" s="2" t="str">
        <f aca="false">IF(L698="","MISSING","OK")</f>
        <v>OK</v>
      </c>
      <c r="Q698" s="2" t="str">
        <f aca="false">IF(ISNUMBER(B698),"OK","BAD DATE")</f>
        <v>OK</v>
      </c>
      <c r="R698" s="2" t="str">
        <f aca="false">IF(ROUND(F698,2)=F698,"OK","FIX")</f>
        <v>OK</v>
      </c>
    </row>
    <row r="699" customFormat="false" ht="15" hidden="false" customHeight="false" outlineLevel="0" collapsed="false">
      <c r="A699" s="2" t="str">
        <f aca="false">TRIM(UPPER(Raw_Data!A699))</f>
        <v>ORD200697</v>
      </c>
      <c r="B699" s="3" t="n">
        <f aca="false">IF(ISNUMBER(Raw_Data!B699),Raw_Data!B699,DATEVALUE(Raw_Data!B699))</f>
        <v>45692</v>
      </c>
      <c r="C699" s="2" t="str">
        <f aca="false">TRIM(UPPER(Raw_Data!C699))</f>
        <v>C27430</v>
      </c>
      <c r="D699" s="2" t="str">
        <f aca="false">PROPER(TRIM(Raw_Data!D699))</f>
        <v>Printer</v>
      </c>
      <c r="E699" s="2" t="n">
        <f aca="false">Raw_Data!E699</f>
        <v>5</v>
      </c>
      <c r="F699" s="4" t="n">
        <f aca="false">ROUND(Raw_Data!F699,2)</f>
        <v>94.85</v>
      </c>
      <c r="G699" s="2" t="str">
        <f aca="false">PROPER(TRIM(Raw_Data!G699))</f>
        <v>788 Main St</v>
      </c>
      <c r="H699" s="2" t="str">
        <f aca="false">PROPER(TRIM(Raw_Data!H699))</f>
        <v>Cash</v>
      </c>
      <c r="I699" s="2" t="str">
        <f aca="false">PROPER(TRIM(Raw_Data!I699))</f>
        <v>Shipped</v>
      </c>
      <c r="J699" s="2" t="str">
        <f aca="false">TRIM(UPPER(Raw_Data!J699))</f>
        <v>TRK45025840</v>
      </c>
      <c r="K699" s="2" t="n">
        <f aca="false">Raw_Data!K699</f>
        <v>6</v>
      </c>
      <c r="L699" s="2" t="str">
        <f aca="false">IF(TRIM(Raw_Data!L699)="","No Coupon",TRIM(UPPER(Raw_Data!L699)))</f>
        <v>WINTER15</v>
      </c>
      <c r="M699" s="2" t="str">
        <f aca="false">PROPER(TRIM(Raw_Data!M699))</f>
        <v>Email</v>
      </c>
      <c r="N699" s="4" t="n">
        <f aca="false">ROUND(E699*F699,2)</f>
        <v>474.25</v>
      </c>
      <c r="O699" s="2" t="str">
        <f aca="false">IF(COUNTIF($A$2:$A$1201,A699)&gt;1,"DUPLICATE","Unique")</f>
        <v>Unique</v>
      </c>
      <c r="P699" s="2" t="str">
        <f aca="false">IF(L699="","MISSING","OK")</f>
        <v>OK</v>
      </c>
      <c r="Q699" s="2" t="str">
        <f aca="false">IF(ISNUMBER(B699),"OK","BAD DATE")</f>
        <v>OK</v>
      </c>
      <c r="R699" s="2" t="str">
        <f aca="false">IF(ROUND(F699,2)=F699,"OK","FIX")</f>
        <v>OK</v>
      </c>
    </row>
    <row r="700" customFormat="false" ht="15" hidden="false" customHeight="false" outlineLevel="0" collapsed="false">
      <c r="A700" s="2" t="str">
        <f aca="false">TRIM(UPPER(Raw_Data!A700))</f>
        <v>ORD200698</v>
      </c>
      <c r="B700" s="3" t="n">
        <f aca="false">IF(ISNUMBER(Raw_Data!B700),Raw_Data!B700,DATEVALUE(Raw_Data!B700))</f>
        <v>44930</v>
      </c>
      <c r="C700" s="2" t="str">
        <f aca="false">TRIM(UPPER(Raw_Data!C700))</f>
        <v>C44366</v>
      </c>
      <c r="D700" s="2" t="str">
        <f aca="false">PROPER(TRIM(Raw_Data!D700))</f>
        <v>Laptop</v>
      </c>
      <c r="E700" s="2" t="n">
        <f aca="false">Raw_Data!E700</f>
        <v>2</v>
      </c>
      <c r="F700" s="4" t="n">
        <f aca="false">ROUND(Raw_Data!F700,2)</f>
        <v>388.22</v>
      </c>
      <c r="G700" s="2" t="str">
        <f aca="false">PROPER(TRIM(Raw_Data!G700))</f>
        <v>169 Main St</v>
      </c>
      <c r="H700" s="2" t="str">
        <f aca="false">PROPER(TRIM(Raw_Data!H700))</f>
        <v>Cash</v>
      </c>
      <c r="I700" s="2" t="str">
        <f aca="false">PROPER(TRIM(Raw_Data!I700))</f>
        <v>Delivered</v>
      </c>
      <c r="J700" s="2" t="str">
        <f aca="false">TRIM(UPPER(Raw_Data!J700))</f>
        <v>TRK48658394</v>
      </c>
      <c r="K700" s="2" t="n">
        <f aca="false">Raw_Data!K700</f>
        <v>2</v>
      </c>
      <c r="L700" s="2" t="str">
        <f aca="false">IF(TRIM(Raw_Data!L700)="","No Coupon",TRIM(UPPER(Raw_Data!L700)))</f>
        <v>WINTER15</v>
      </c>
      <c r="M700" s="2" t="str">
        <f aca="false">PROPER(TRIM(Raw_Data!M700))</f>
        <v>Instagram</v>
      </c>
      <c r="N700" s="4" t="n">
        <f aca="false">ROUND(E700*F700,2)</f>
        <v>776.44</v>
      </c>
      <c r="O700" s="2" t="str">
        <f aca="false">IF(COUNTIF($A$2:$A$1201,A700)&gt;1,"DUPLICATE","Unique")</f>
        <v>Unique</v>
      </c>
      <c r="P700" s="2" t="str">
        <f aca="false">IF(L700="","MISSING","OK")</f>
        <v>OK</v>
      </c>
      <c r="Q700" s="2" t="str">
        <f aca="false">IF(ISNUMBER(B700),"OK","BAD DATE")</f>
        <v>OK</v>
      </c>
      <c r="R700" s="2" t="str">
        <f aca="false">IF(ROUND(F700,2)=F700,"OK","FIX")</f>
        <v>OK</v>
      </c>
    </row>
    <row r="701" customFormat="false" ht="15" hidden="false" customHeight="false" outlineLevel="0" collapsed="false">
      <c r="A701" s="2" t="str">
        <f aca="false">TRIM(UPPER(Raw_Data!A701))</f>
        <v>ORD200699</v>
      </c>
      <c r="B701" s="3" t="n">
        <f aca="false">IF(ISNUMBER(Raw_Data!B701),Raw_Data!B701,DATEVALUE(Raw_Data!B701))</f>
        <v>45243</v>
      </c>
      <c r="C701" s="2" t="str">
        <f aca="false">TRIM(UPPER(Raw_Data!C701))</f>
        <v>C36813</v>
      </c>
      <c r="D701" s="2" t="str">
        <f aca="false">PROPER(TRIM(Raw_Data!D701))</f>
        <v>Laptop</v>
      </c>
      <c r="E701" s="2" t="n">
        <f aca="false">Raw_Data!E701</f>
        <v>3</v>
      </c>
      <c r="F701" s="4" t="n">
        <f aca="false">ROUND(Raw_Data!F701,2)</f>
        <v>614.15</v>
      </c>
      <c r="G701" s="2" t="str">
        <f aca="false">PROPER(TRIM(Raw_Data!G701))</f>
        <v>897 Main St</v>
      </c>
      <c r="H701" s="2" t="str">
        <f aca="false">PROPER(TRIM(Raw_Data!H701))</f>
        <v>Gift Card</v>
      </c>
      <c r="I701" s="2" t="str">
        <f aca="false">PROPER(TRIM(Raw_Data!I701))</f>
        <v>Cancelled</v>
      </c>
      <c r="J701" s="2" t="str">
        <f aca="false">TRIM(UPPER(Raw_Data!J701))</f>
        <v>TRK84088900</v>
      </c>
      <c r="K701" s="2" t="n">
        <f aca="false">Raw_Data!K701</f>
        <v>3</v>
      </c>
      <c r="L701" s="2" t="str">
        <f aca="false">IF(TRIM(Raw_Data!L701)="","No Coupon",TRIM(UPPER(Raw_Data!L701)))</f>
        <v>No Coupon</v>
      </c>
      <c r="M701" s="2" t="str">
        <f aca="false">PROPER(TRIM(Raw_Data!M701))</f>
        <v>Facebook</v>
      </c>
      <c r="N701" s="4" t="n">
        <f aca="false">ROUND(E701*F701,2)</f>
        <v>1842.45</v>
      </c>
      <c r="O701" s="2" t="str">
        <f aca="false">IF(COUNTIF($A$2:$A$1201,A701)&gt;1,"DUPLICATE","Unique")</f>
        <v>Unique</v>
      </c>
      <c r="P701" s="2" t="str">
        <f aca="false">IF(L701="","MISSING","OK")</f>
        <v>OK</v>
      </c>
      <c r="Q701" s="2" t="str">
        <f aca="false">IF(ISNUMBER(B701),"OK","BAD DATE")</f>
        <v>OK</v>
      </c>
      <c r="R701" s="2" t="str">
        <f aca="false">IF(ROUND(F701,2)=F701,"OK","FIX")</f>
        <v>OK</v>
      </c>
    </row>
    <row r="702" customFormat="false" ht="15" hidden="false" customHeight="false" outlineLevel="0" collapsed="false">
      <c r="A702" s="2" t="str">
        <f aca="false">TRIM(UPPER(Raw_Data!A702))</f>
        <v>ORD200700</v>
      </c>
      <c r="B702" s="3" t="n">
        <f aca="false">IF(ISNUMBER(Raw_Data!B702),Raw_Data!B702,DATEVALUE(Raw_Data!B702))</f>
        <v>45560</v>
      </c>
      <c r="C702" s="2" t="str">
        <f aca="false">TRIM(UPPER(Raw_Data!C702))</f>
        <v>C40201</v>
      </c>
      <c r="D702" s="2" t="str">
        <f aca="false">PROPER(TRIM(Raw_Data!D702))</f>
        <v>Laptop</v>
      </c>
      <c r="E702" s="2" t="n">
        <f aca="false">Raw_Data!E702</f>
        <v>2</v>
      </c>
      <c r="F702" s="4" t="n">
        <f aca="false">ROUND(Raw_Data!F702,2)</f>
        <v>92.91</v>
      </c>
      <c r="G702" s="2" t="str">
        <f aca="false">PROPER(TRIM(Raw_Data!G702))</f>
        <v>555 Main St</v>
      </c>
      <c r="H702" s="2" t="str">
        <f aca="false">PROPER(TRIM(Raw_Data!H702))</f>
        <v>Cash</v>
      </c>
      <c r="I702" s="2" t="str">
        <f aca="false">PROPER(TRIM(Raw_Data!I702))</f>
        <v>Returned</v>
      </c>
      <c r="J702" s="2" t="str">
        <f aca="false">TRIM(UPPER(Raw_Data!J702))</f>
        <v>TRK30198779</v>
      </c>
      <c r="K702" s="2" t="n">
        <f aca="false">Raw_Data!K702</f>
        <v>3</v>
      </c>
      <c r="L702" s="2" t="str">
        <f aca="false">IF(TRIM(Raw_Data!L702)="","No Coupon",TRIM(UPPER(Raw_Data!L702)))</f>
        <v>WINTER15</v>
      </c>
      <c r="M702" s="2" t="str">
        <f aca="false">PROPER(TRIM(Raw_Data!M702))</f>
        <v>Instagram</v>
      </c>
      <c r="N702" s="4" t="n">
        <f aca="false">ROUND(E702*F702,2)</f>
        <v>185.82</v>
      </c>
      <c r="O702" s="2" t="str">
        <f aca="false">IF(COUNTIF($A$2:$A$1201,A702)&gt;1,"DUPLICATE","Unique")</f>
        <v>Unique</v>
      </c>
      <c r="P702" s="2" t="str">
        <f aca="false">IF(L702="","MISSING","OK")</f>
        <v>OK</v>
      </c>
      <c r="Q702" s="2" t="str">
        <f aca="false">IF(ISNUMBER(B702),"OK","BAD DATE")</f>
        <v>OK</v>
      </c>
      <c r="R702" s="2" t="str">
        <f aca="false">IF(ROUND(F702,2)=F702,"OK","FIX")</f>
        <v>OK</v>
      </c>
    </row>
    <row r="703" customFormat="false" ht="15" hidden="false" customHeight="false" outlineLevel="0" collapsed="false">
      <c r="A703" s="2" t="str">
        <f aca="false">TRIM(UPPER(Raw_Data!A703))</f>
        <v>ORD200701</v>
      </c>
      <c r="B703" s="3" t="n">
        <f aca="false">IF(ISNUMBER(Raw_Data!B703),Raw_Data!B703,DATEVALUE(Raw_Data!B703))</f>
        <v>45466</v>
      </c>
      <c r="C703" s="2" t="str">
        <f aca="false">TRIM(UPPER(Raw_Data!C703))</f>
        <v>C75456</v>
      </c>
      <c r="D703" s="2" t="str">
        <f aca="false">PROPER(TRIM(Raw_Data!D703))</f>
        <v>Monitor</v>
      </c>
      <c r="E703" s="2" t="n">
        <f aca="false">Raw_Data!E703</f>
        <v>3</v>
      </c>
      <c r="F703" s="4" t="n">
        <f aca="false">ROUND(Raw_Data!F703,2)</f>
        <v>92.22</v>
      </c>
      <c r="G703" s="2" t="str">
        <f aca="false">PROPER(TRIM(Raw_Data!G703))</f>
        <v>115 Main St</v>
      </c>
      <c r="H703" s="2" t="str">
        <f aca="false">PROPER(TRIM(Raw_Data!H703))</f>
        <v>Credit Card</v>
      </c>
      <c r="I703" s="2" t="str">
        <f aca="false">PROPER(TRIM(Raw_Data!I703))</f>
        <v>Delivered</v>
      </c>
      <c r="J703" s="2" t="str">
        <f aca="false">TRIM(UPPER(Raw_Data!J703))</f>
        <v>TRK90519490</v>
      </c>
      <c r="K703" s="2" t="n">
        <f aca="false">Raw_Data!K703</f>
        <v>5</v>
      </c>
      <c r="L703" s="2" t="str">
        <f aca="false">IF(TRIM(Raw_Data!L703)="","No Coupon",TRIM(UPPER(Raw_Data!L703)))</f>
        <v>FREESHIP</v>
      </c>
      <c r="M703" s="2" t="str">
        <f aca="false">PROPER(TRIM(Raw_Data!M703))</f>
        <v>Email</v>
      </c>
      <c r="N703" s="4" t="n">
        <f aca="false">ROUND(E703*F703,2)</f>
        <v>276.66</v>
      </c>
      <c r="O703" s="2" t="str">
        <f aca="false">IF(COUNTIF($A$2:$A$1201,A703)&gt;1,"DUPLICATE","Unique")</f>
        <v>Unique</v>
      </c>
      <c r="P703" s="2" t="str">
        <f aca="false">IF(L703="","MISSING","OK")</f>
        <v>OK</v>
      </c>
      <c r="Q703" s="2" t="str">
        <f aca="false">IF(ISNUMBER(B703),"OK","BAD DATE")</f>
        <v>OK</v>
      </c>
      <c r="R703" s="2" t="str">
        <f aca="false">IF(ROUND(F703,2)=F703,"OK","FIX")</f>
        <v>OK</v>
      </c>
    </row>
    <row r="704" customFormat="false" ht="15" hidden="false" customHeight="false" outlineLevel="0" collapsed="false">
      <c r="A704" s="2" t="str">
        <f aca="false">TRIM(UPPER(Raw_Data!A704))</f>
        <v>ORD200702</v>
      </c>
      <c r="B704" s="3" t="n">
        <f aca="false">IF(ISNUMBER(Raw_Data!B704),Raw_Data!B704,DATEVALUE(Raw_Data!B704))</f>
        <v>45452</v>
      </c>
      <c r="C704" s="2" t="str">
        <f aca="false">TRIM(UPPER(Raw_Data!C704))</f>
        <v>C33315</v>
      </c>
      <c r="D704" s="2" t="str">
        <f aca="false">PROPER(TRIM(Raw_Data!D704))</f>
        <v>Printer</v>
      </c>
      <c r="E704" s="2" t="n">
        <f aca="false">Raw_Data!E704</f>
        <v>3</v>
      </c>
      <c r="F704" s="4" t="n">
        <f aca="false">ROUND(Raw_Data!F704,2)</f>
        <v>562.55</v>
      </c>
      <c r="G704" s="2" t="str">
        <f aca="false">PROPER(TRIM(Raw_Data!G704))</f>
        <v>154 Main St</v>
      </c>
      <c r="H704" s="2" t="str">
        <f aca="false">PROPER(TRIM(Raw_Data!H704))</f>
        <v>Debit Card</v>
      </c>
      <c r="I704" s="2" t="str">
        <f aca="false">PROPER(TRIM(Raw_Data!I704))</f>
        <v>Returned</v>
      </c>
      <c r="J704" s="2" t="str">
        <f aca="false">TRIM(UPPER(Raw_Data!J704))</f>
        <v>TRK43589369</v>
      </c>
      <c r="K704" s="2" t="n">
        <f aca="false">Raw_Data!K704</f>
        <v>6</v>
      </c>
      <c r="L704" s="2" t="str">
        <f aca="false">IF(TRIM(Raw_Data!L704)="","No Coupon",TRIM(UPPER(Raw_Data!L704)))</f>
        <v>No Coupon</v>
      </c>
      <c r="M704" s="2" t="str">
        <f aca="false">PROPER(TRIM(Raw_Data!M704))</f>
        <v>Email</v>
      </c>
      <c r="N704" s="4" t="n">
        <f aca="false">ROUND(E704*F704,2)</f>
        <v>1687.65</v>
      </c>
      <c r="O704" s="2" t="str">
        <f aca="false">IF(COUNTIF($A$2:$A$1201,A704)&gt;1,"DUPLICATE","Unique")</f>
        <v>Unique</v>
      </c>
      <c r="P704" s="2" t="str">
        <f aca="false">IF(L704="","MISSING","OK")</f>
        <v>OK</v>
      </c>
      <c r="Q704" s="2" t="str">
        <f aca="false">IF(ISNUMBER(B704),"OK","BAD DATE")</f>
        <v>OK</v>
      </c>
      <c r="R704" s="2" t="str">
        <f aca="false">IF(ROUND(F704,2)=F704,"OK","FIX")</f>
        <v>OK</v>
      </c>
    </row>
    <row r="705" customFormat="false" ht="15" hidden="false" customHeight="false" outlineLevel="0" collapsed="false">
      <c r="A705" s="2" t="str">
        <f aca="false">TRIM(UPPER(Raw_Data!A705))</f>
        <v>ORD200703</v>
      </c>
      <c r="B705" s="3" t="n">
        <f aca="false">IF(ISNUMBER(Raw_Data!B705),Raw_Data!B705,DATEVALUE(Raw_Data!B705))</f>
        <v>45007</v>
      </c>
      <c r="C705" s="2" t="str">
        <f aca="false">TRIM(UPPER(Raw_Data!C705))</f>
        <v>C89336</v>
      </c>
      <c r="D705" s="2" t="str">
        <f aca="false">PROPER(TRIM(Raw_Data!D705))</f>
        <v>Desk</v>
      </c>
      <c r="E705" s="2" t="n">
        <f aca="false">Raw_Data!E705</f>
        <v>1</v>
      </c>
      <c r="F705" s="4" t="n">
        <f aca="false">ROUND(Raw_Data!F705,2)</f>
        <v>92.79</v>
      </c>
      <c r="G705" s="2" t="str">
        <f aca="false">PROPER(TRIM(Raw_Data!G705))</f>
        <v>799 Main St</v>
      </c>
      <c r="H705" s="2" t="str">
        <f aca="false">PROPER(TRIM(Raw_Data!H705))</f>
        <v>Cash</v>
      </c>
      <c r="I705" s="2" t="str">
        <f aca="false">PROPER(TRIM(Raw_Data!I705))</f>
        <v>Pending</v>
      </c>
      <c r="J705" s="2" t="str">
        <f aca="false">TRIM(UPPER(Raw_Data!J705))</f>
        <v>TRK47665103</v>
      </c>
      <c r="K705" s="2" t="n">
        <f aca="false">Raw_Data!K705</f>
        <v>3</v>
      </c>
      <c r="L705" s="2" t="str">
        <f aca="false">IF(TRIM(Raw_Data!L705)="","No Coupon",TRIM(UPPER(Raw_Data!L705)))</f>
        <v>WINTER15</v>
      </c>
      <c r="M705" s="2" t="str">
        <f aca="false">PROPER(TRIM(Raw_Data!M705))</f>
        <v>Email</v>
      </c>
      <c r="N705" s="4" t="n">
        <f aca="false">ROUND(E705*F705,2)</f>
        <v>92.79</v>
      </c>
      <c r="O705" s="2" t="str">
        <f aca="false">IF(COUNTIF($A$2:$A$1201,A705)&gt;1,"DUPLICATE","Unique")</f>
        <v>Unique</v>
      </c>
      <c r="P705" s="2" t="str">
        <f aca="false">IF(L705="","MISSING","OK")</f>
        <v>OK</v>
      </c>
      <c r="Q705" s="2" t="str">
        <f aca="false">IF(ISNUMBER(B705),"OK","BAD DATE")</f>
        <v>OK</v>
      </c>
      <c r="R705" s="2" t="str">
        <f aca="false">IF(ROUND(F705,2)=F705,"OK","FIX")</f>
        <v>OK</v>
      </c>
    </row>
    <row r="706" customFormat="false" ht="15" hidden="false" customHeight="false" outlineLevel="0" collapsed="false">
      <c r="A706" s="2" t="str">
        <f aca="false">TRIM(UPPER(Raw_Data!A706))</f>
        <v>ORD200704</v>
      </c>
      <c r="B706" s="3" t="n">
        <f aca="false">IF(ISNUMBER(Raw_Data!B706),Raw_Data!B706,DATEVALUE(Raw_Data!B706))</f>
        <v>45080</v>
      </c>
      <c r="C706" s="2" t="str">
        <f aca="false">TRIM(UPPER(Raw_Data!C706))</f>
        <v>C96034</v>
      </c>
      <c r="D706" s="2" t="str">
        <f aca="false">PROPER(TRIM(Raw_Data!D706))</f>
        <v>Desk</v>
      </c>
      <c r="E706" s="2" t="n">
        <f aca="false">Raw_Data!E706</f>
        <v>4</v>
      </c>
      <c r="F706" s="4" t="n">
        <f aca="false">ROUND(Raw_Data!F706,2)</f>
        <v>30.27</v>
      </c>
      <c r="G706" s="2" t="str">
        <f aca="false">PROPER(TRIM(Raw_Data!G706))</f>
        <v>819 Main St</v>
      </c>
      <c r="H706" s="2" t="str">
        <f aca="false">PROPER(TRIM(Raw_Data!H706))</f>
        <v>Online</v>
      </c>
      <c r="I706" s="2" t="str">
        <f aca="false">PROPER(TRIM(Raw_Data!I706))</f>
        <v>Delivered</v>
      </c>
      <c r="J706" s="2" t="str">
        <f aca="false">TRIM(UPPER(Raw_Data!J706))</f>
        <v>TRK87261034</v>
      </c>
      <c r="K706" s="2" t="n">
        <f aca="false">Raw_Data!K706</f>
        <v>9</v>
      </c>
      <c r="L706" s="2" t="str">
        <f aca="false">IF(TRIM(Raw_Data!L706)="","No Coupon",TRIM(UPPER(Raw_Data!L706)))</f>
        <v>FREESHIP</v>
      </c>
      <c r="M706" s="2" t="str">
        <f aca="false">PROPER(TRIM(Raw_Data!M706))</f>
        <v>Google</v>
      </c>
      <c r="N706" s="4" t="n">
        <f aca="false">ROUND(E706*F706,2)</f>
        <v>121.08</v>
      </c>
      <c r="O706" s="2" t="str">
        <f aca="false">IF(COUNTIF($A$2:$A$1201,A706)&gt;1,"DUPLICATE","Unique")</f>
        <v>Unique</v>
      </c>
      <c r="P706" s="2" t="str">
        <f aca="false">IF(L706="","MISSING","OK")</f>
        <v>OK</v>
      </c>
      <c r="Q706" s="2" t="str">
        <f aca="false">IF(ISNUMBER(B706),"OK","BAD DATE")</f>
        <v>OK</v>
      </c>
      <c r="R706" s="2" t="str">
        <f aca="false">IF(ROUND(F706,2)=F706,"OK","FIX")</f>
        <v>OK</v>
      </c>
    </row>
    <row r="707" customFormat="false" ht="15" hidden="false" customHeight="false" outlineLevel="0" collapsed="false">
      <c r="A707" s="2" t="str">
        <f aca="false">TRIM(UPPER(Raw_Data!A707))</f>
        <v>ORD200705</v>
      </c>
      <c r="B707" s="3" t="n">
        <f aca="false">IF(ISNUMBER(Raw_Data!B707),Raw_Data!B707,DATEVALUE(Raw_Data!B707))</f>
        <v>45746</v>
      </c>
      <c r="C707" s="2" t="str">
        <f aca="false">TRIM(UPPER(Raw_Data!C707))</f>
        <v>C50114</v>
      </c>
      <c r="D707" s="2" t="str">
        <f aca="false">PROPER(TRIM(Raw_Data!D707))</f>
        <v>Monitor</v>
      </c>
      <c r="E707" s="2" t="n">
        <f aca="false">Raw_Data!E707</f>
        <v>2</v>
      </c>
      <c r="F707" s="4" t="n">
        <f aca="false">ROUND(Raw_Data!F707,2)</f>
        <v>49.08</v>
      </c>
      <c r="G707" s="2" t="str">
        <f aca="false">PROPER(TRIM(Raw_Data!G707))</f>
        <v>420 Main St</v>
      </c>
      <c r="H707" s="2" t="str">
        <f aca="false">PROPER(TRIM(Raw_Data!H707))</f>
        <v>Debit Card</v>
      </c>
      <c r="I707" s="2" t="str">
        <f aca="false">PROPER(TRIM(Raw_Data!I707))</f>
        <v>Returned</v>
      </c>
      <c r="J707" s="2" t="str">
        <f aca="false">TRIM(UPPER(Raw_Data!J707))</f>
        <v>TRK20214786</v>
      </c>
      <c r="K707" s="2" t="n">
        <f aca="false">Raw_Data!K707</f>
        <v>7</v>
      </c>
      <c r="L707" s="2" t="str">
        <f aca="false">IF(TRIM(Raw_Data!L707)="","No Coupon",TRIM(UPPER(Raw_Data!L707)))</f>
        <v>FREESHIP</v>
      </c>
      <c r="M707" s="2" t="str">
        <f aca="false">PROPER(TRIM(Raw_Data!M707))</f>
        <v>Instagram</v>
      </c>
      <c r="N707" s="4" t="n">
        <f aca="false">ROUND(E707*F707,2)</f>
        <v>98.16</v>
      </c>
      <c r="O707" s="2" t="str">
        <f aca="false">IF(COUNTIF($A$2:$A$1201,A707)&gt;1,"DUPLICATE","Unique")</f>
        <v>Unique</v>
      </c>
      <c r="P707" s="2" t="str">
        <f aca="false">IF(L707="","MISSING","OK")</f>
        <v>OK</v>
      </c>
      <c r="Q707" s="2" t="str">
        <f aca="false">IF(ISNUMBER(B707),"OK","BAD DATE")</f>
        <v>OK</v>
      </c>
      <c r="R707" s="2" t="str">
        <f aca="false">IF(ROUND(F707,2)=F707,"OK","FIX")</f>
        <v>OK</v>
      </c>
    </row>
    <row r="708" customFormat="false" ht="15" hidden="false" customHeight="false" outlineLevel="0" collapsed="false">
      <c r="A708" s="2" t="str">
        <f aca="false">TRIM(UPPER(Raw_Data!A708))</f>
        <v>ORD200706</v>
      </c>
      <c r="B708" s="3" t="n">
        <f aca="false">IF(ISNUMBER(Raw_Data!B708),Raw_Data!B708,DATEVALUE(Raw_Data!B708))</f>
        <v>45718</v>
      </c>
      <c r="C708" s="2" t="str">
        <f aca="false">TRIM(UPPER(Raw_Data!C708))</f>
        <v>C85330</v>
      </c>
      <c r="D708" s="2" t="str">
        <f aca="false">PROPER(TRIM(Raw_Data!D708))</f>
        <v>Desk</v>
      </c>
      <c r="E708" s="2" t="n">
        <f aca="false">Raw_Data!E708</f>
        <v>5</v>
      </c>
      <c r="F708" s="4" t="n">
        <f aca="false">ROUND(Raw_Data!F708,2)</f>
        <v>228.09</v>
      </c>
      <c r="G708" s="2" t="str">
        <f aca="false">PROPER(TRIM(Raw_Data!G708))</f>
        <v>969 Main St</v>
      </c>
      <c r="H708" s="2" t="str">
        <f aca="false">PROPER(TRIM(Raw_Data!H708))</f>
        <v>Gift Card</v>
      </c>
      <c r="I708" s="2" t="str">
        <f aca="false">PROPER(TRIM(Raw_Data!I708))</f>
        <v>Returned</v>
      </c>
      <c r="J708" s="2" t="str">
        <f aca="false">TRIM(UPPER(Raw_Data!J708))</f>
        <v>TRK97693301</v>
      </c>
      <c r="K708" s="2" t="n">
        <f aca="false">Raw_Data!K708</f>
        <v>9</v>
      </c>
      <c r="L708" s="2" t="str">
        <f aca="false">IF(TRIM(Raw_Data!L708)="","No Coupon",TRIM(UPPER(Raw_Data!L708)))</f>
        <v>FREESHIP</v>
      </c>
      <c r="M708" s="2" t="str">
        <f aca="false">PROPER(TRIM(Raw_Data!M708))</f>
        <v>Facebook</v>
      </c>
      <c r="N708" s="4" t="n">
        <f aca="false">ROUND(E708*F708,2)</f>
        <v>1140.45</v>
      </c>
      <c r="O708" s="2" t="str">
        <f aca="false">IF(COUNTIF($A$2:$A$1201,A708)&gt;1,"DUPLICATE","Unique")</f>
        <v>Unique</v>
      </c>
      <c r="P708" s="2" t="str">
        <f aca="false">IF(L708="","MISSING","OK")</f>
        <v>OK</v>
      </c>
      <c r="Q708" s="2" t="str">
        <f aca="false">IF(ISNUMBER(B708),"OK","BAD DATE")</f>
        <v>OK</v>
      </c>
      <c r="R708" s="2" t="str">
        <f aca="false">IF(ROUND(F708,2)=F708,"OK","FIX")</f>
        <v>OK</v>
      </c>
    </row>
    <row r="709" customFormat="false" ht="15" hidden="false" customHeight="false" outlineLevel="0" collapsed="false">
      <c r="A709" s="2" t="str">
        <f aca="false">TRIM(UPPER(Raw_Data!A709))</f>
        <v>ORD200707</v>
      </c>
      <c r="B709" s="3" t="n">
        <f aca="false">IF(ISNUMBER(Raw_Data!B709),Raw_Data!B709,DATEVALUE(Raw_Data!B709))</f>
        <v>45597</v>
      </c>
      <c r="C709" s="2" t="str">
        <f aca="false">TRIM(UPPER(Raw_Data!C709))</f>
        <v>C31761</v>
      </c>
      <c r="D709" s="2" t="str">
        <f aca="false">PROPER(TRIM(Raw_Data!D709))</f>
        <v>Chair</v>
      </c>
      <c r="E709" s="2" t="n">
        <f aca="false">Raw_Data!E709</f>
        <v>4</v>
      </c>
      <c r="F709" s="4" t="n">
        <f aca="false">ROUND(Raw_Data!F709,2)</f>
        <v>650.04</v>
      </c>
      <c r="G709" s="2" t="str">
        <f aca="false">PROPER(TRIM(Raw_Data!G709))</f>
        <v>989 Main St</v>
      </c>
      <c r="H709" s="2" t="str">
        <f aca="false">PROPER(TRIM(Raw_Data!H709))</f>
        <v>Gift Card</v>
      </c>
      <c r="I709" s="2" t="str">
        <f aca="false">PROPER(TRIM(Raw_Data!I709))</f>
        <v>Cancelled</v>
      </c>
      <c r="J709" s="2" t="str">
        <f aca="false">TRIM(UPPER(Raw_Data!J709))</f>
        <v>TRK17628852</v>
      </c>
      <c r="K709" s="2" t="n">
        <f aca="false">Raw_Data!K709</f>
        <v>6</v>
      </c>
      <c r="L709" s="2" t="str">
        <f aca="false">IF(TRIM(Raw_Data!L709)="","No Coupon",TRIM(UPPER(Raw_Data!L709)))</f>
        <v>SAVE10</v>
      </c>
      <c r="M709" s="2" t="str">
        <f aca="false">PROPER(TRIM(Raw_Data!M709))</f>
        <v>Facebook</v>
      </c>
      <c r="N709" s="4" t="n">
        <f aca="false">ROUND(E709*F709,2)</f>
        <v>2600.16</v>
      </c>
      <c r="O709" s="2" t="str">
        <f aca="false">IF(COUNTIF($A$2:$A$1201,A709)&gt;1,"DUPLICATE","Unique")</f>
        <v>Unique</v>
      </c>
      <c r="P709" s="2" t="str">
        <f aca="false">IF(L709="","MISSING","OK")</f>
        <v>OK</v>
      </c>
      <c r="Q709" s="2" t="str">
        <f aca="false">IF(ISNUMBER(B709),"OK","BAD DATE")</f>
        <v>OK</v>
      </c>
      <c r="R709" s="2" t="str">
        <f aca="false">IF(ROUND(F709,2)=F709,"OK","FIX")</f>
        <v>OK</v>
      </c>
    </row>
    <row r="710" customFormat="false" ht="15" hidden="false" customHeight="false" outlineLevel="0" collapsed="false">
      <c r="A710" s="2" t="str">
        <f aca="false">TRIM(UPPER(Raw_Data!A710))</f>
        <v>ORD200708</v>
      </c>
      <c r="B710" s="3" t="n">
        <f aca="false">IF(ISNUMBER(Raw_Data!B710),Raw_Data!B710,DATEVALUE(Raw_Data!B710))</f>
        <v>45720</v>
      </c>
      <c r="C710" s="2" t="str">
        <f aca="false">TRIM(UPPER(Raw_Data!C710))</f>
        <v>C25268</v>
      </c>
      <c r="D710" s="2" t="str">
        <f aca="false">PROPER(TRIM(Raw_Data!D710))</f>
        <v>Printer</v>
      </c>
      <c r="E710" s="2" t="n">
        <f aca="false">Raw_Data!E710</f>
        <v>1</v>
      </c>
      <c r="F710" s="4" t="n">
        <f aca="false">ROUND(Raw_Data!F710,2)</f>
        <v>665.11</v>
      </c>
      <c r="G710" s="2" t="str">
        <f aca="false">PROPER(TRIM(Raw_Data!G710))</f>
        <v>788 Main St</v>
      </c>
      <c r="H710" s="2" t="str">
        <f aca="false">PROPER(TRIM(Raw_Data!H710))</f>
        <v>Cash</v>
      </c>
      <c r="I710" s="2" t="str">
        <f aca="false">PROPER(TRIM(Raw_Data!I710))</f>
        <v>Pending</v>
      </c>
      <c r="J710" s="2" t="str">
        <f aca="false">TRIM(UPPER(Raw_Data!J710))</f>
        <v>TRK20481215</v>
      </c>
      <c r="K710" s="2" t="n">
        <f aca="false">Raw_Data!K710</f>
        <v>3</v>
      </c>
      <c r="L710" s="2" t="str">
        <f aca="false">IF(TRIM(Raw_Data!L710)="","No Coupon",TRIM(UPPER(Raw_Data!L710)))</f>
        <v>FREESHIP</v>
      </c>
      <c r="M710" s="2" t="str">
        <f aca="false">PROPER(TRIM(Raw_Data!M710))</f>
        <v>Instagram</v>
      </c>
      <c r="N710" s="4" t="n">
        <f aca="false">ROUND(E710*F710,2)</f>
        <v>665.11</v>
      </c>
      <c r="O710" s="2" t="str">
        <f aca="false">IF(COUNTIF($A$2:$A$1201,A710)&gt;1,"DUPLICATE","Unique")</f>
        <v>Unique</v>
      </c>
      <c r="P710" s="2" t="str">
        <f aca="false">IF(L710="","MISSING","OK")</f>
        <v>OK</v>
      </c>
      <c r="Q710" s="2" t="str">
        <f aca="false">IF(ISNUMBER(B710),"OK","BAD DATE")</f>
        <v>OK</v>
      </c>
      <c r="R710" s="2" t="str">
        <f aca="false">IF(ROUND(F710,2)=F710,"OK","FIX")</f>
        <v>OK</v>
      </c>
    </row>
    <row r="711" customFormat="false" ht="15" hidden="false" customHeight="false" outlineLevel="0" collapsed="false">
      <c r="A711" s="2" t="str">
        <f aca="false">TRIM(UPPER(Raw_Data!A711))</f>
        <v>ORD200709</v>
      </c>
      <c r="B711" s="3" t="n">
        <f aca="false">IF(ISNUMBER(Raw_Data!B711),Raw_Data!B711,DATEVALUE(Raw_Data!B711))</f>
        <v>45633</v>
      </c>
      <c r="C711" s="2" t="str">
        <f aca="false">TRIM(UPPER(Raw_Data!C711))</f>
        <v>C17132</v>
      </c>
      <c r="D711" s="2" t="str">
        <f aca="false">PROPER(TRIM(Raw_Data!D711))</f>
        <v>Desk</v>
      </c>
      <c r="E711" s="2" t="n">
        <f aca="false">Raw_Data!E711</f>
        <v>1</v>
      </c>
      <c r="F711" s="4" t="n">
        <f aca="false">ROUND(Raw_Data!F711,2)</f>
        <v>386.03</v>
      </c>
      <c r="G711" s="2" t="str">
        <f aca="false">PROPER(TRIM(Raw_Data!G711))</f>
        <v>855 Main St</v>
      </c>
      <c r="H711" s="2" t="str">
        <f aca="false">PROPER(TRIM(Raw_Data!H711))</f>
        <v>Online</v>
      </c>
      <c r="I711" s="2" t="str">
        <f aca="false">PROPER(TRIM(Raw_Data!I711))</f>
        <v>Pending</v>
      </c>
      <c r="J711" s="2" t="str">
        <f aca="false">TRIM(UPPER(Raw_Data!J711))</f>
        <v>TRK37504692</v>
      </c>
      <c r="K711" s="2" t="n">
        <f aca="false">Raw_Data!K711</f>
        <v>4</v>
      </c>
      <c r="L711" s="2" t="str">
        <f aca="false">IF(TRIM(Raw_Data!L711)="","No Coupon",TRIM(UPPER(Raw_Data!L711)))</f>
        <v>FREESHIP</v>
      </c>
      <c r="M711" s="2" t="str">
        <f aca="false">PROPER(TRIM(Raw_Data!M711))</f>
        <v>Google</v>
      </c>
      <c r="N711" s="4" t="n">
        <f aca="false">ROUND(E711*F711,2)</f>
        <v>386.03</v>
      </c>
      <c r="O711" s="2" t="str">
        <f aca="false">IF(COUNTIF($A$2:$A$1201,A711)&gt;1,"DUPLICATE","Unique")</f>
        <v>Unique</v>
      </c>
      <c r="P711" s="2" t="str">
        <f aca="false">IF(L711="","MISSING","OK")</f>
        <v>OK</v>
      </c>
      <c r="Q711" s="2" t="str">
        <f aca="false">IF(ISNUMBER(B711),"OK","BAD DATE")</f>
        <v>OK</v>
      </c>
      <c r="R711" s="2" t="str">
        <f aca="false">IF(ROUND(F711,2)=F711,"OK","FIX")</f>
        <v>OK</v>
      </c>
    </row>
    <row r="712" customFormat="false" ht="15" hidden="false" customHeight="false" outlineLevel="0" collapsed="false">
      <c r="A712" s="2" t="str">
        <f aca="false">TRIM(UPPER(Raw_Data!A712))</f>
        <v>ORD200710</v>
      </c>
      <c r="B712" s="3" t="n">
        <f aca="false">IF(ISNUMBER(Raw_Data!B712),Raw_Data!B712,DATEVALUE(Raw_Data!B712))</f>
        <v>45495</v>
      </c>
      <c r="C712" s="2" t="str">
        <f aca="false">TRIM(UPPER(Raw_Data!C712))</f>
        <v>C48790</v>
      </c>
      <c r="D712" s="2" t="str">
        <f aca="false">PROPER(TRIM(Raw_Data!D712))</f>
        <v>Laptop</v>
      </c>
      <c r="E712" s="2" t="n">
        <f aca="false">Raw_Data!E712</f>
        <v>5</v>
      </c>
      <c r="F712" s="4" t="n">
        <f aca="false">ROUND(Raw_Data!F712,2)</f>
        <v>21.54</v>
      </c>
      <c r="G712" s="2" t="str">
        <f aca="false">PROPER(TRIM(Raw_Data!G712))</f>
        <v>113 Main St</v>
      </c>
      <c r="H712" s="2" t="str">
        <f aca="false">PROPER(TRIM(Raw_Data!H712))</f>
        <v>Gift Card</v>
      </c>
      <c r="I712" s="2" t="str">
        <f aca="false">PROPER(TRIM(Raw_Data!I712))</f>
        <v>Returned</v>
      </c>
      <c r="J712" s="2" t="str">
        <f aca="false">TRIM(UPPER(Raw_Data!J712))</f>
        <v>TRK19086608</v>
      </c>
      <c r="K712" s="2" t="n">
        <f aca="false">Raw_Data!K712</f>
        <v>10</v>
      </c>
      <c r="L712" s="2" t="str">
        <f aca="false">IF(TRIM(Raw_Data!L712)="","No Coupon",TRIM(UPPER(Raw_Data!L712)))</f>
        <v>No Coupon</v>
      </c>
      <c r="M712" s="2" t="str">
        <f aca="false">PROPER(TRIM(Raw_Data!M712))</f>
        <v>Google</v>
      </c>
      <c r="N712" s="4" t="n">
        <f aca="false">ROUND(E712*F712,2)</f>
        <v>107.7</v>
      </c>
      <c r="O712" s="2" t="str">
        <f aca="false">IF(COUNTIF($A$2:$A$1201,A712)&gt;1,"DUPLICATE","Unique")</f>
        <v>Unique</v>
      </c>
      <c r="P712" s="2" t="str">
        <f aca="false">IF(L712="","MISSING","OK")</f>
        <v>OK</v>
      </c>
      <c r="Q712" s="2" t="str">
        <f aca="false">IF(ISNUMBER(B712),"OK","BAD DATE")</f>
        <v>OK</v>
      </c>
      <c r="R712" s="2" t="str">
        <f aca="false">IF(ROUND(F712,2)=F712,"OK","FIX")</f>
        <v>OK</v>
      </c>
    </row>
    <row r="713" customFormat="false" ht="15" hidden="false" customHeight="false" outlineLevel="0" collapsed="false">
      <c r="A713" s="2" t="str">
        <f aca="false">TRIM(UPPER(Raw_Data!A713))</f>
        <v>ORD200711</v>
      </c>
      <c r="B713" s="3" t="n">
        <f aca="false">IF(ISNUMBER(Raw_Data!B713),Raw_Data!B713,DATEVALUE(Raw_Data!B713))</f>
        <v>45477</v>
      </c>
      <c r="C713" s="2" t="str">
        <f aca="false">TRIM(UPPER(Raw_Data!C713))</f>
        <v>C61070</v>
      </c>
      <c r="D713" s="2" t="str">
        <f aca="false">PROPER(TRIM(Raw_Data!D713))</f>
        <v>Tablet</v>
      </c>
      <c r="E713" s="2" t="n">
        <f aca="false">Raw_Data!E713</f>
        <v>2</v>
      </c>
      <c r="F713" s="4" t="n">
        <f aca="false">ROUND(Raw_Data!F713,2)</f>
        <v>475.78</v>
      </c>
      <c r="G713" s="2" t="str">
        <f aca="false">PROPER(TRIM(Raw_Data!G713))</f>
        <v>632 Main St</v>
      </c>
      <c r="H713" s="2" t="str">
        <f aca="false">PROPER(TRIM(Raw_Data!H713))</f>
        <v>Online</v>
      </c>
      <c r="I713" s="2" t="str">
        <f aca="false">PROPER(TRIM(Raw_Data!I713))</f>
        <v>Shipped</v>
      </c>
      <c r="J713" s="2" t="str">
        <f aca="false">TRIM(UPPER(Raw_Data!J713))</f>
        <v>TRK90764894</v>
      </c>
      <c r="K713" s="2" t="n">
        <f aca="false">Raw_Data!K713</f>
        <v>2</v>
      </c>
      <c r="L713" s="2" t="str">
        <f aca="false">IF(TRIM(Raw_Data!L713)="","No Coupon",TRIM(UPPER(Raw_Data!L713)))</f>
        <v>WINTER15</v>
      </c>
      <c r="M713" s="2" t="str">
        <f aca="false">PROPER(TRIM(Raw_Data!M713))</f>
        <v>Google</v>
      </c>
      <c r="N713" s="4" t="n">
        <f aca="false">ROUND(E713*F713,2)</f>
        <v>951.56</v>
      </c>
      <c r="O713" s="2" t="str">
        <f aca="false">IF(COUNTIF($A$2:$A$1201,A713)&gt;1,"DUPLICATE","Unique")</f>
        <v>Unique</v>
      </c>
      <c r="P713" s="2" t="str">
        <f aca="false">IF(L713="","MISSING","OK")</f>
        <v>OK</v>
      </c>
      <c r="Q713" s="2" t="str">
        <f aca="false">IF(ISNUMBER(B713),"OK","BAD DATE")</f>
        <v>OK</v>
      </c>
      <c r="R713" s="2" t="str">
        <f aca="false">IF(ROUND(F713,2)=F713,"OK","FIX")</f>
        <v>OK</v>
      </c>
    </row>
    <row r="714" customFormat="false" ht="15" hidden="false" customHeight="false" outlineLevel="0" collapsed="false">
      <c r="A714" s="2" t="str">
        <f aca="false">TRIM(UPPER(Raw_Data!A714))</f>
        <v>ORD200712</v>
      </c>
      <c r="B714" s="3" t="n">
        <f aca="false">IF(ISNUMBER(Raw_Data!B714),Raw_Data!B714,DATEVALUE(Raw_Data!B714))</f>
        <v>45300</v>
      </c>
      <c r="C714" s="2" t="str">
        <f aca="false">TRIM(UPPER(Raw_Data!C714))</f>
        <v>C56969</v>
      </c>
      <c r="D714" s="2" t="str">
        <f aca="false">PROPER(TRIM(Raw_Data!D714))</f>
        <v>Tablet</v>
      </c>
      <c r="E714" s="2" t="n">
        <f aca="false">Raw_Data!E714</f>
        <v>2</v>
      </c>
      <c r="F714" s="4" t="n">
        <f aca="false">ROUND(Raw_Data!F714,2)</f>
        <v>68.4</v>
      </c>
      <c r="G714" s="2" t="str">
        <f aca="false">PROPER(TRIM(Raw_Data!G714))</f>
        <v>993 Main St</v>
      </c>
      <c r="H714" s="2" t="str">
        <f aca="false">PROPER(TRIM(Raw_Data!H714))</f>
        <v>Gift Card</v>
      </c>
      <c r="I714" s="2" t="str">
        <f aca="false">PROPER(TRIM(Raw_Data!I714))</f>
        <v>Pending</v>
      </c>
      <c r="J714" s="2" t="str">
        <f aca="false">TRIM(UPPER(Raw_Data!J714))</f>
        <v>TRK10513339</v>
      </c>
      <c r="K714" s="2" t="n">
        <f aca="false">Raw_Data!K714</f>
        <v>7</v>
      </c>
      <c r="L714" s="2" t="str">
        <f aca="false">IF(TRIM(Raw_Data!L714)="","No Coupon",TRIM(UPPER(Raw_Data!L714)))</f>
        <v>FREESHIP</v>
      </c>
      <c r="M714" s="2" t="str">
        <f aca="false">PROPER(TRIM(Raw_Data!M714))</f>
        <v>Email</v>
      </c>
      <c r="N714" s="4" t="n">
        <f aca="false">ROUND(E714*F714,2)</f>
        <v>136.8</v>
      </c>
      <c r="O714" s="2" t="str">
        <f aca="false">IF(COUNTIF($A$2:$A$1201,A714)&gt;1,"DUPLICATE","Unique")</f>
        <v>Unique</v>
      </c>
      <c r="P714" s="2" t="str">
        <f aca="false">IF(L714="","MISSING","OK")</f>
        <v>OK</v>
      </c>
      <c r="Q714" s="2" t="str">
        <f aca="false">IF(ISNUMBER(B714),"OK","BAD DATE")</f>
        <v>OK</v>
      </c>
      <c r="R714" s="2" t="str">
        <f aca="false">IF(ROUND(F714,2)=F714,"OK","FIX")</f>
        <v>OK</v>
      </c>
    </row>
    <row r="715" customFormat="false" ht="15" hidden="false" customHeight="false" outlineLevel="0" collapsed="false">
      <c r="A715" s="2" t="str">
        <f aca="false">TRIM(UPPER(Raw_Data!A715))</f>
        <v>ORD200713</v>
      </c>
      <c r="B715" s="3" t="n">
        <f aca="false">IF(ISNUMBER(Raw_Data!B715),Raw_Data!B715,DATEVALUE(Raw_Data!B715))</f>
        <v>45829</v>
      </c>
      <c r="C715" s="2" t="str">
        <f aca="false">TRIM(UPPER(Raw_Data!C715))</f>
        <v>C65056</v>
      </c>
      <c r="D715" s="2" t="str">
        <f aca="false">PROPER(TRIM(Raw_Data!D715))</f>
        <v>Tablet</v>
      </c>
      <c r="E715" s="2" t="n">
        <f aca="false">Raw_Data!E715</f>
        <v>4</v>
      </c>
      <c r="F715" s="4" t="n">
        <f aca="false">ROUND(Raw_Data!F715,2)</f>
        <v>532.49</v>
      </c>
      <c r="G715" s="2" t="str">
        <f aca="false">PROPER(TRIM(Raw_Data!G715))</f>
        <v>638 Main St</v>
      </c>
      <c r="H715" s="2" t="str">
        <f aca="false">PROPER(TRIM(Raw_Data!H715))</f>
        <v>Online</v>
      </c>
      <c r="I715" s="2" t="str">
        <f aca="false">PROPER(TRIM(Raw_Data!I715))</f>
        <v>Cancelled</v>
      </c>
      <c r="J715" s="2" t="str">
        <f aca="false">TRIM(UPPER(Raw_Data!J715))</f>
        <v>TRK31705278</v>
      </c>
      <c r="K715" s="2" t="n">
        <f aca="false">Raw_Data!K715</f>
        <v>6</v>
      </c>
      <c r="L715" s="2" t="str">
        <f aca="false">IF(TRIM(Raw_Data!L715)="","No Coupon",TRIM(UPPER(Raw_Data!L715)))</f>
        <v>SAVE10</v>
      </c>
      <c r="M715" s="2" t="str">
        <f aca="false">PROPER(TRIM(Raw_Data!M715))</f>
        <v>Facebook</v>
      </c>
      <c r="N715" s="4" t="n">
        <f aca="false">ROUND(E715*F715,2)</f>
        <v>2129.96</v>
      </c>
      <c r="O715" s="2" t="str">
        <f aca="false">IF(COUNTIF($A$2:$A$1201,A715)&gt;1,"DUPLICATE","Unique")</f>
        <v>Unique</v>
      </c>
      <c r="P715" s="2" t="str">
        <f aca="false">IF(L715="","MISSING","OK")</f>
        <v>OK</v>
      </c>
      <c r="Q715" s="2" t="str">
        <f aca="false">IF(ISNUMBER(B715),"OK","BAD DATE")</f>
        <v>OK</v>
      </c>
      <c r="R715" s="2" t="str">
        <f aca="false">IF(ROUND(F715,2)=F715,"OK","FIX")</f>
        <v>OK</v>
      </c>
    </row>
    <row r="716" customFormat="false" ht="15" hidden="false" customHeight="false" outlineLevel="0" collapsed="false">
      <c r="A716" s="2" t="str">
        <f aca="false">TRIM(UPPER(Raw_Data!A716))</f>
        <v>ORD200714</v>
      </c>
      <c r="B716" s="3" t="n">
        <f aca="false">IF(ISNUMBER(Raw_Data!B716),Raw_Data!B716,DATEVALUE(Raw_Data!B716))</f>
        <v>45037</v>
      </c>
      <c r="C716" s="2" t="str">
        <f aca="false">TRIM(UPPER(Raw_Data!C716))</f>
        <v>C84888</v>
      </c>
      <c r="D716" s="2" t="str">
        <f aca="false">PROPER(TRIM(Raw_Data!D716))</f>
        <v>Laptop</v>
      </c>
      <c r="E716" s="2" t="n">
        <f aca="false">Raw_Data!E716</f>
        <v>1</v>
      </c>
      <c r="F716" s="4" t="n">
        <f aca="false">ROUND(Raw_Data!F716,2)</f>
        <v>51.73</v>
      </c>
      <c r="G716" s="2" t="str">
        <f aca="false">PROPER(TRIM(Raw_Data!G716))</f>
        <v>278 Main St</v>
      </c>
      <c r="H716" s="2" t="str">
        <f aca="false">PROPER(TRIM(Raw_Data!H716))</f>
        <v>Debit Card</v>
      </c>
      <c r="I716" s="2" t="str">
        <f aca="false">PROPER(TRIM(Raw_Data!I716))</f>
        <v>Pending</v>
      </c>
      <c r="J716" s="2" t="str">
        <f aca="false">TRIM(UPPER(Raw_Data!J716))</f>
        <v>TRK23612847</v>
      </c>
      <c r="K716" s="2" t="n">
        <f aca="false">Raw_Data!K716</f>
        <v>1</v>
      </c>
      <c r="L716" s="2" t="str">
        <f aca="false">IF(TRIM(Raw_Data!L716)="","No Coupon",TRIM(UPPER(Raw_Data!L716)))</f>
        <v>FREESHIP</v>
      </c>
      <c r="M716" s="2" t="str">
        <f aca="false">PROPER(TRIM(Raw_Data!M716))</f>
        <v>Facebook</v>
      </c>
      <c r="N716" s="4" t="n">
        <f aca="false">ROUND(E716*F716,2)</f>
        <v>51.73</v>
      </c>
      <c r="O716" s="2" t="str">
        <f aca="false">IF(COUNTIF($A$2:$A$1201,A716)&gt;1,"DUPLICATE","Unique")</f>
        <v>Unique</v>
      </c>
      <c r="P716" s="2" t="str">
        <f aca="false">IF(L716="","MISSING","OK")</f>
        <v>OK</v>
      </c>
      <c r="Q716" s="2" t="str">
        <f aca="false">IF(ISNUMBER(B716),"OK","BAD DATE")</f>
        <v>OK</v>
      </c>
      <c r="R716" s="2" t="str">
        <f aca="false">IF(ROUND(F716,2)=F716,"OK","FIX")</f>
        <v>OK</v>
      </c>
    </row>
    <row r="717" customFormat="false" ht="15" hidden="false" customHeight="false" outlineLevel="0" collapsed="false">
      <c r="A717" s="2" t="str">
        <f aca="false">TRIM(UPPER(Raw_Data!A717))</f>
        <v>ORD200715</v>
      </c>
      <c r="B717" s="3" t="n">
        <f aca="false">IF(ISNUMBER(Raw_Data!B717),Raw_Data!B717,DATEVALUE(Raw_Data!B717))</f>
        <v>45499</v>
      </c>
      <c r="C717" s="2" t="str">
        <f aca="false">TRIM(UPPER(Raw_Data!C717))</f>
        <v>C68266</v>
      </c>
      <c r="D717" s="2" t="str">
        <f aca="false">PROPER(TRIM(Raw_Data!D717))</f>
        <v>Printer</v>
      </c>
      <c r="E717" s="2" t="n">
        <f aca="false">Raw_Data!E717</f>
        <v>3</v>
      </c>
      <c r="F717" s="4" t="n">
        <f aca="false">ROUND(Raw_Data!F717,2)</f>
        <v>653.63</v>
      </c>
      <c r="G717" s="2" t="str">
        <f aca="false">PROPER(TRIM(Raw_Data!G717))</f>
        <v>281 Main St</v>
      </c>
      <c r="H717" s="2" t="str">
        <f aca="false">PROPER(TRIM(Raw_Data!H717))</f>
        <v>Online</v>
      </c>
      <c r="I717" s="2" t="str">
        <f aca="false">PROPER(TRIM(Raw_Data!I717))</f>
        <v>Delivered</v>
      </c>
      <c r="J717" s="2" t="str">
        <f aca="false">TRIM(UPPER(Raw_Data!J717))</f>
        <v>TRK96161062</v>
      </c>
      <c r="K717" s="2" t="n">
        <f aca="false">Raw_Data!K717</f>
        <v>7</v>
      </c>
      <c r="L717" s="2" t="str">
        <f aca="false">IF(TRIM(Raw_Data!L717)="","No Coupon",TRIM(UPPER(Raw_Data!L717)))</f>
        <v>FREESHIP</v>
      </c>
      <c r="M717" s="2" t="str">
        <f aca="false">PROPER(TRIM(Raw_Data!M717))</f>
        <v>Email</v>
      </c>
      <c r="N717" s="4" t="n">
        <f aca="false">ROUND(E717*F717,2)</f>
        <v>1960.89</v>
      </c>
      <c r="O717" s="2" t="str">
        <f aca="false">IF(COUNTIF($A$2:$A$1201,A717)&gt;1,"DUPLICATE","Unique")</f>
        <v>Unique</v>
      </c>
      <c r="P717" s="2" t="str">
        <f aca="false">IF(L717="","MISSING","OK")</f>
        <v>OK</v>
      </c>
      <c r="Q717" s="2" t="str">
        <f aca="false">IF(ISNUMBER(B717),"OK","BAD DATE")</f>
        <v>OK</v>
      </c>
      <c r="R717" s="2" t="str">
        <f aca="false">IF(ROUND(F717,2)=F717,"OK","FIX")</f>
        <v>OK</v>
      </c>
    </row>
    <row r="718" customFormat="false" ht="15" hidden="false" customHeight="false" outlineLevel="0" collapsed="false">
      <c r="A718" s="2" t="str">
        <f aca="false">TRIM(UPPER(Raw_Data!A718))</f>
        <v>ORD200716</v>
      </c>
      <c r="B718" s="3" t="n">
        <f aca="false">IF(ISNUMBER(Raw_Data!B718),Raw_Data!B718,DATEVALUE(Raw_Data!B718))</f>
        <v>45456</v>
      </c>
      <c r="C718" s="2" t="str">
        <f aca="false">TRIM(UPPER(Raw_Data!C718))</f>
        <v>C84115</v>
      </c>
      <c r="D718" s="2" t="str">
        <f aca="false">PROPER(TRIM(Raw_Data!D718))</f>
        <v>Chair</v>
      </c>
      <c r="E718" s="2" t="n">
        <f aca="false">Raw_Data!E718</f>
        <v>3</v>
      </c>
      <c r="F718" s="4" t="n">
        <f aca="false">ROUND(Raw_Data!F718,2)</f>
        <v>454.29</v>
      </c>
      <c r="G718" s="2" t="str">
        <f aca="false">PROPER(TRIM(Raw_Data!G718))</f>
        <v>891 Main St</v>
      </c>
      <c r="H718" s="2" t="str">
        <f aca="false">PROPER(TRIM(Raw_Data!H718))</f>
        <v>Credit Card</v>
      </c>
      <c r="I718" s="2" t="str">
        <f aca="false">PROPER(TRIM(Raw_Data!I718))</f>
        <v>Pending</v>
      </c>
      <c r="J718" s="2" t="str">
        <f aca="false">TRIM(UPPER(Raw_Data!J718))</f>
        <v>TRK25466842</v>
      </c>
      <c r="K718" s="2" t="n">
        <f aca="false">Raw_Data!K718</f>
        <v>4</v>
      </c>
      <c r="L718" s="2" t="str">
        <f aca="false">IF(TRIM(Raw_Data!L718)="","No Coupon",TRIM(UPPER(Raw_Data!L718)))</f>
        <v>WINTER15</v>
      </c>
      <c r="M718" s="2" t="str">
        <f aca="false">PROPER(TRIM(Raw_Data!M718))</f>
        <v>Google</v>
      </c>
      <c r="N718" s="4" t="n">
        <f aca="false">ROUND(E718*F718,2)</f>
        <v>1362.87</v>
      </c>
      <c r="O718" s="2" t="str">
        <f aca="false">IF(COUNTIF($A$2:$A$1201,A718)&gt;1,"DUPLICATE","Unique")</f>
        <v>Unique</v>
      </c>
      <c r="P718" s="2" t="str">
        <f aca="false">IF(L718="","MISSING","OK")</f>
        <v>OK</v>
      </c>
      <c r="Q718" s="2" t="str">
        <f aca="false">IF(ISNUMBER(B718),"OK","BAD DATE")</f>
        <v>OK</v>
      </c>
      <c r="R718" s="2" t="str">
        <f aca="false">IF(ROUND(F718,2)=F718,"OK","FIX")</f>
        <v>OK</v>
      </c>
    </row>
    <row r="719" customFormat="false" ht="15" hidden="false" customHeight="false" outlineLevel="0" collapsed="false">
      <c r="A719" s="2" t="str">
        <f aca="false">TRIM(UPPER(Raw_Data!A719))</f>
        <v>ORD200717</v>
      </c>
      <c r="B719" s="3" t="n">
        <f aca="false">IF(ISNUMBER(Raw_Data!B719),Raw_Data!B719,DATEVALUE(Raw_Data!B719))</f>
        <v>45215</v>
      </c>
      <c r="C719" s="2" t="str">
        <f aca="false">TRIM(UPPER(Raw_Data!C719))</f>
        <v>C50087</v>
      </c>
      <c r="D719" s="2" t="str">
        <f aca="false">PROPER(TRIM(Raw_Data!D719))</f>
        <v>Chair</v>
      </c>
      <c r="E719" s="2" t="n">
        <f aca="false">Raw_Data!E719</f>
        <v>3</v>
      </c>
      <c r="F719" s="4" t="n">
        <f aca="false">ROUND(Raw_Data!F719,2)</f>
        <v>122.11</v>
      </c>
      <c r="G719" s="2" t="str">
        <f aca="false">PROPER(TRIM(Raw_Data!G719))</f>
        <v>707 Main St</v>
      </c>
      <c r="H719" s="2" t="str">
        <f aca="false">PROPER(TRIM(Raw_Data!H719))</f>
        <v>Online</v>
      </c>
      <c r="I719" s="2" t="str">
        <f aca="false">PROPER(TRIM(Raw_Data!I719))</f>
        <v>Delivered</v>
      </c>
      <c r="J719" s="2" t="str">
        <f aca="false">TRIM(UPPER(Raw_Data!J719))</f>
        <v>TRK31143760</v>
      </c>
      <c r="K719" s="2" t="n">
        <f aca="false">Raw_Data!K719</f>
        <v>4</v>
      </c>
      <c r="L719" s="2" t="str">
        <f aca="false">IF(TRIM(Raw_Data!L719)="","No Coupon",TRIM(UPPER(Raw_Data!L719)))</f>
        <v>WINTER15</v>
      </c>
      <c r="M719" s="2" t="str">
        <f aca="false">PROPER(TRIM(Raw_Data!M719))</f>
        <v>Email</v>
      </c>
      <c r="N719" s="4" t="n">
        <f aca="false">ROUND(E719*F719,2)</f>
        <v>366.33</v>
      </c>
      <c r="O719" s="2" t="str">
        <f aca="false">IF(COUNTIF($A$2:$A$1201,A719)&gt;1,"DUPLICATE","Unique")</f>
        <v>Unique</v>
      </c>
      <c r="P719" s="2" t="str">
        <f aca="false">IF(L719="","MISSING","OK")</f>
        <v>OK</v>
      </c>
      <c r="Q719" s="2" t="str">
        <f aca="false">IF(ISNUMBER(B719),"OK","BAD DATE")</f>
        <v>OK</v>
      </c>
      <c r="R719" s="2" t="str">
        <f aca="false">IF(ROUND(F719,2)=F719,"OK","FIX")</f>
        <v>OK</v>
      </c>
    </row>
    <row r="720" customFormat="false" ht="15" hidden="false" customHeight="false" outlineLevel="0" collapsed="false">
      <c r="A720" s="2" t="str">
        <f aca="false">TRIM(UPPER(Raw_Data!A720))</f>
        <v>ORD200718</v>
      </c>
      <c r="B720" s="3" t="n">
        <f aca="false">IF(ISNUMBER(Raw_Data!B720),Raw_Data!B720,DATEVALUE(Raw_Data!B720))</f>
        <v>45024</v>
      </c>
      <c r="C720" s="2" t="str">
        <f aca="false">TRIM(UPPER(Raw_Data!C720))</f>
        <v>C16790</v>
      </c>
      <c r="D720" s="2" t="str">
        <f aca="false">PROPER(TRIM(Raw_Data!D720))</f>
        <v>Laptop</v>
      </c>
      <c r="E720" s="2" t="n">
        <f aca="false">Raw_Data!E720</f>
        <v>4</v>
      </c>
      <c r="F720" s="4" t="n">
        <f aca="false">ROUND(Raw_Data!F720,2)</f>
        <v>64.74</v>
      </c>
      <c r="G720" s="2" t="str">
        <f aca="false">PROPER(TRIM(Raw_Data!G720))</f>
        <v>718 Main St</v>
      </c>
      <c r="H720" s="2" t="str">
        <f aca="false">PROPER(TRIM(Raw_Data!H720))</f>
        <v>Gift Card</v>
      </c>
      <c r="I720" s="2" t="str">
        <f aca="false">PROPER(TRIM(Raw_Data!I720))</f>
        <v>Cancelled</v>
      </c>
      <c r="J720" s="2" t="str">
        <f aca="false">TRIM(UPPER(Raw_Data!J720))</f>
        <v>TRK91791367</v>
      </c>
      <c r="K720" s="2" t="n">
        <f aca="false">Raw_Data!K720</f>
        <v>8</v>
      </c>
      <c r="L720" s="2" t="str">
        <f aca="false">IF(TRIM(Raw_Data!L720)="","No Coupon",TRIM(UPPER(Raw_Data!L720)))</f>
        <v>SAVE10</v>
      </c>
      <c r="M720" s="2" t="str">
        <f aca="false">PROPER(TRIM(Raw_Data!M720))</f>
        <v>Google</v>
      </c>
      <c r="N720" s="4" t="n">
        <f aca="false">ROUND(E720*F720,2)</f>
        <v>258.96</v>
      </c>
      <c r="O720" s="2" t="str">
        <f aca="false">IF(COUNTIF($A$2:$A$1201,A720)&gt;1,"DUPLICATE","Unique")</f>
        <v>Unique</v>
      </c>
      <c r="P720" s="2" t="str">
        <f aca="false">IF(L720="","MISSING","OK")</f>
        <v>OK</v>
      </c>
      <c r="Q720" s="2" t="str">
        <f aca="false">IF(ISNUMBER(B720),"OK","BAD DATE")</f>
        <v>OK</v>
      </c>
      <c r="R720" s="2" t="str">
        <f aca="false">IF(ROUND(F720,2)=F720,"OK","FIX")</f>
        <v>OK</v>
      </c>
    </row>
    <row r="721" customFormat="false" ht="15" hidden="false" customHeight="false" outlineLevel="0" collapsed="false">
      <c r="A721" s="2" t="str">
        <f aca="false">TRIM(UPPER(Raw_Data!A721))</f>
        <v>ORD200719</v>
      </c>
      <c r="B721" s="3" t="n">
        <f aca="false">IF(ISNUMBER(Raw_Data!B721),Raw_Data!B721,DATEVALUE(Raw_Data!B721))</f>
        <v>45312</v>
      </c>
      <c r="C721" s="2" t="str">
        <f aca="false">TRIM(UPPER(Raw_Data!C721))</f>
        <v>C46920</v>
      </c>
      <c r="D721" s="2" t="str">
        <f aca="false">PROPER(TRIM(Raw_Data!D721))</f>
        <v>Laptop</v>
      </c>
      <c r="E721" s="2" t="n">
        <f aca="false">Raw_Data!E721</f>
        <v>2</v>
      </c>
      <c r="F721" s="4" t="n">
        <f aca="false">ROUND(Raw_Data!F721,2)</f>
        <v>681.06</v>
      </c>
      <c r="G721" s="2" t="str">
        <f aca="false">PROPER(TRIM(Raw_Data!G721))</f>
        <v>703 Main St</v>
      </c>
      <c r="H721" s="2" t="str">
        <f aca="false">PROPER(TRIM(Raw_Data!H721))</f>
        <v>Debit Card</v>
      </c>
      <c r="I721" s="2" t="str">
        <f aca="false">PROPER(TRIM(Raw_Data!I721))</f>
        <v>Shipped</v>
      </c>
      <c r="J721" s="2" t="str">
        <f aca="false">TRIM(UPPER(Raw_Data!J721))</f>
        <v>TRK86403837</v>
      </c>
      <c r="K721" s="2" t="n">
        <f aca="false">Raw_Data!K721</f>
        <v>3</v>
      </c>
      <c r="L721" s="2" t="str">
        <f aca="false">IF(TRIM(Raw_Data!L721)="","No Coupon",TRIM(UPPER(Raw_Data!L721)))</f>
        <v>FREESHIP</v>
      </c>
      <c r="M721" s="2" t="str">
        <f aca="false">PROPER(TRIM(Raw_Data!M721))</f>
        <v>Facebook</v>
      </c>
      <c r="N721" s="4" t="n">
        <f aca="false">ROUND(E721*F721,2)</f>
        <v>1362.12</v>
      </c>
      <c r="O721" s="2" t="str">
        <f aca="false">IF(COUNTIF($A$2:$A$1201,A721)&gt;1,"DUPLICATE","Unique")</f>
        <v>Unique</v>
      </c>
      <c r="P721" s="2" t="str">
        <f aca="false">IF(L721="","MISSING","OK")</f>
        <v>OK</v>
      </c>
      <c r="Q721" s="2" t="str">
        <f aca="false">IF(ISNUMBER(B721),"OK","BAD DATE")</f>
        <v>OK</v>
      </c>
      <c r="R721" s="2" t="str">
        <f aca="false">IF(ROUND(F721,2)=F721,"OK","FIX")</f>
        <v>OK</v>
      </c>
    </row>
    <row r="722" customFormat="false" ht="15" hidden="false" customHeight="false" outlineLevel="0" collapsed="false">
      <c r="A722" s="2" t="str">
        <f aca="false">TRIM(UPPER(Raw_Data!A722))</f>
        <v>ORD200720</v>
      </c>
      <c r="B722" s="3" t="n">
        <f aca="false">IF(ISNUMBER(Raw_Data!B722),Raw_Data!B722,DATEVALUE(Raw_Data!B722))</f>
        <v>45190</v>
      </c>
      <c r="C722" s="2" t="str">
        <f aca="false">TRIM(UPPER(Raw_Data!C722))</f>
        <v>C12740</v>
      </c>
      <c r="D722" s="2" t="str">
        <f aca="false">PROPER(TRIM(Raw_Data!D722))</f>
        <v>Desk</v>
      </c>
      <c r="E722" s="2" t="n">
        <f aca="false">Raw_Data!E722</f>
        <v>5</v>
      </c>
      <c r="F722" s="4" t="n">
        <f aca="false">ROUND(Raw_Data!F722,2)</f>
        <v>128.95</v>
      </c>
      <c r="G722" s="2" t="str">
        <f aca="false">PROPER(TRIM(Raw_Data!G722))</f>
        <v>305 Main St</v>
      </c>
      <c r="H722" s="2" t="str">
        <f aca="false">PROPER(TRIM(Raw_Data!H722))</f>
        <v>Cash</v>
      </c>
      <c r="I722" s="2" t="str">
        <f aca="false">PROPER(TRIM(Raw_Data!I722))</f>
        <v>Pending</v>
      </c>
      <c r="J722" s="2" t="str">
        <f aca="false">TRIM(UPPER(Raw_Data!J722))</f>
        <v>TRK98506513</v>
      </c>
      <c r="K722" s="2" t="n">
        <f aca="false">Raw_Data!K722</f>
        <v>10</v>
      </c>
      <c r="L722" s="2" t="str">
        <f aca="false">IF(TRIM(Raw_Data!L722)="","No Coupon",TRIM(UPPER(Raw_Data!L722)))</f>
        <v>FREESHIP</v>
      </c>
      <c r="M722" s="2" t="str">
        <f aca="false">PROPER(TRIM(Raw_Data!M722))</f>
        <v>Instagram</v>
      </c>
      <c r="N722" s="4" t="n">
        <f aca="false">ROUND(E722*F722,2)</f>
        <v>644.75</v>
      </c>
      <c r="O722" s="2" t="str">
        <f aca="false">IF(COUNTIF($A$2:$A$1201,A722)&gt;1,"DUPLICATE","Unique")</f>
        <v>Unique</v>
      </c>
      <c r="P722" s="2" t="str">
        <f aca="false">IF(L722="","MISSING","OK")</f>
        <v>OK</v>
      </c>
      <c r="Q722" s="2" t="str">
        <f aca="false">IF(ISNUMBER(B722),"OK","BAD DATE")</f>
        <v>OK</v>
      </c>
      <c r="R722" s="2" t="str">
        <f aca="false">IF(ROUND(F722,2)=F722,"OK","FIX")</f>
        <v>OK</v>
      </c>
    </row>
    <row r="723" customFormat="false" ht="15" hidden="false" customHeight="false" outlineLevel="0" collapsed="false">
      <c r="A723" s="2" t="str">
        <f aca="false">TRIM(UPPER(Raw_Data!A723))</f>
        <v>ORD200721</v>
      </c>
      <c r="B723" s="3" t="n">
        <f aca="false">IF(ISNUMBER(Raw_Data!B723),Raw_Data!B723,DATEVALUE(Raw_Data!B723))</f>
        <v>45369</v>
      </c>
      <c r="C723" s="2" t="str">
        <f aca="false">TRIM(UPPER(Raw_Data!C723))</f>
        <v>C46557</v>
      </c>
      <c r="D723" s="2" t="str">
        <f aca="false">PROPER(TRIM(Raw_Data!D723))</f>
        <v>Desk</v>
      </c>
      <c r="E723" s="2" t="n">
        <f aca="false">Raw_Data!E723</f>
        <v>2</v>
      </c>
      <c r="F723" s="4" t="n">
        <f aca="false">ROUND(Raw_Data!F723,2)</f>
        <v>118.59</v>
      </c>
      <c r="G723" s="2" t="str">
        <f aca="false">PROPER(TRIM(Raw_Data!G723))</f>
        <v>890 Main St</v>
      </c>
      <c r="H723" s="2" t="str">
        <f aca="false">PROPER(TRIM(Raw_Data!H723))</f>
        <v>Credit Card</v>
      </c>
      <c r="I723" s="2" t="str">
        <f aca="false">PROPER(TRIM(Raw_Data!I723))</f>
        <v>Delivered</v>
      </c>
      <c r="J723" s="2" t="str">
        <f aca="false">TRIM(UPPER(Raw_Data!J723))</f>
        <v>TRK56110689</v>
      </c>
      <c r="K723" s="2" t="n">
        <f aca="false">Raw_Data!K723</f>
        <v>2</v>
      </c>
      <c r="L723" s="2" t="str">
        <f aca="false">IF(TRIM(Raw_Data!L723)="","No Coupon",TRIM(UPPER(Raw_Data!L723)))</f>
        <v>No Coupon</v>
      </c>
      <c r="M723" s="2" t="str">
        <f aca="false">PROPER(TRIM(Raw_Data!M723))</f>
        <v>Email</v>
      </c>
      <c r="N723" s="4" t="n">
        <f aca="false">ROUND(E723*F723,2)</f>
        <v>237.18</v>
      </c>
      <c r="O723" s="2" t="str">
        <f aca="false">IF(COUNTIF($A$2:$A$1201,A723)&gt;1,"DUPLICATE","Unique")</f>
        <v>Unique</v>
      </c>
      <c r="P723" s="2" t="str">
        <f aca="false">IF(L723="","MISSING","OK")</f>
        <v>OK</v>
      </c>
      <c r="Q723" s="2" t="str">
        <f aca="false">IF(ISNUMBER(B723),"OK","BAD DATE")</f>
        <v>OK</v>
      </c>
      <c r="R723" s="2" t="str">
        <f aca="false">IF(ROUND(F723,2)=F723,"OK","FIX")</f>
        <v>OK</v>
      </c>
    </row>
    <row r="724" customFormat="false" ht="15" hidden="false" customHeight="false" outlineLevel="0" collapsed="false">
      <c r="A724" s="2" t="str">
        <f aca="false">TRIM(UPPER(Raw_Data!A724))</f>
        <v>ORD200722</v>
      </c>
      <c r="B724" s="3" t="n">
        <f aca="false">IF(ISNUMBER(Raw_Data!B724),Raw_Data!B724,DATEVALUE(Raw_Data!B724))</f>
        <v>45611</v>
      </c>
      <c r="C724" s="2" t="str">
        <f aca="false">TRIM(UPPER(Raw_Data!C724))</f>
        <v>C58156</v>
      </c>
      <c r="D724" s="2" t="str">
        <f aca="false">PROPER(TRIM(Raw_Data!D724))</f>
        <v>Printer</v>
      </c>
      <c r="E724" s="2" t="n">
        <f aca="false">Raw_Data!E724</f>
        <v>1</v>
      </c>
      <c r="F724" s="4" t="n">
        <f aca="false">ROUND(Raw_Data!F724,2)</f>
        <v>95.1</v>
      </c>
      <c r="G724" s="2" t="str">
        <f aca="false">PROPER(TRIM(Raw_Data!G724))</f>
        <v>516 Main St</v>
      </c>
      <c r="H724" s="2" t="str">
        <f aca="false">PROPER(TRIM(Raw_Data!H724))</f>
        <v>Gift Card</v>
      </c>
      <c r="I724" s="2" t="str">
        <f aca="false">PROPER(TRIM(Raw_Data!I724))</f>
        <v>Pending</v>
      </c>
      <c r="J724" s="2" t="str">
        <f aca="false">TRIM(UPPER(Raw_Data!J724))</f>
        <v>TRK49719458</v>
      </c>
      <c r="K724" s="2" t="n">
        <f aca="false">Raw_Data!K724</f>
        <v>1</v>
      </c>
      <c r="L724" s="2" t="str">
        <f aca="false">IF(TRIM(Raw_Data!L724)="","No Coupon",TRIM(UPPER(Raw_Data!L724)))</f>
        <v>WINTER15</v>
      </c>
      <c r="M724" s="2" t="str">
        <f aca="false">PROPER(TRIM(Raw_Data!M724))</f>
        <v>Instagram</v>
      </c>
      <c r="N724" s="4" t="n">
        <f aca="false">ROUND(E724*F724,2)</f>
        <v>95.1</v>
      </c>
      <c r="O724" s="2" t="str">
        <f aca="false">IF(COUNTIF($A$2:$A$1201,A724)&gt;1,"DUPLICATE","Unique")</f>
        <v>Unique</v>
      </c>
      <c r="P724" s="2" t="str">
        <f aca="false">IF(L724="","MISSING","OK")</f>
        <v>OK</v>
      </c>
      <c r="Q724" s="2" t="str">
        <f aca="false">IF(ISNUMBER(B724),"OK","BAD DATE")</f>
        <v>OK</v>
      </c>
      <c r="R724" s="2" t="str">
        <f aca="false">IF(ROUND(F724,2)=F724,"OK","FIX")</f>
        <v>OK</v>
      </c>
    </row>
    <row r="725" customFormat="false" ht="15" hidden="false" customHeight="false" outlineLevel="0" collapsed="false">
      <c r="A725" s="2" t="str">
        <f aca="false">TRIM(UPPER(Raw_Data!A725))</f>
        <v>ORD200723</v>
      </c>
      <c r="B725" s="3" t="n">
        <f aca="false">IF(ISNUMBER(Raw_Data!B725),Raw_Data!B725,DATEVALUE(Raw_Data!B725))</f>
        <v>45269</v>
      </c>
      <c r="C725" s="2" t="str">
        <f aca="false">TRIM(UPPER(Raw_Data!C725))</f>
        <v>C14455</v>
      </c>
      <c r="D725" s="2" t="str">
        <f aca="false">PROPER(TRIM(Raw_Data!D725))</f>
        <v>Desk</v>
      </c>
      <c r="E725" s="2" t="n">
        <f aca="false">Raw_Data!E725</f>
        <v>3</v>
      </c>
      <c r="F725" s="4" t="n">
        <f aca="false">ROUND(Raw_Data!F725,2)</f>
        <v>54.95</v>
      </c>
      <c r="G725" s="2" t="str">
        <f aca="false">PROPER(TRIM(Raw_Data!G725))</f>
        <v>385 Main St</v>
      </c>
      <c r="H725" s="2" t="str">
        <f aca="false">PROPER(TRIM(Raw_Data!H725))</f>
        <v>Cash</v>
      </c>
      <c r="I725" s="2" t="str">
        <f aca="false">PROPER(TRIM(Raw_Data!I725))</f>
        <v>Returned</v>
      </c>
      <c r="J725" s="2" t="str">
        <f aca="false">TRIM(UPPER(Raw_Data!J725))</f>
        <v>TRK50933724</v>
      </c>
      <c r="K725" s="2" t="n">
        <f aca="false">Raw_Data!K725</f>
        <v>8</v>
      </c>
      <c r="L725" s="2" t="str">
        <f aca="false">IF(TRIM(Raw_Data!L725)="","No Coupon",TRIM(UPPER(Raw_Data!L725)))</f>
        <v>SAVE10</v>
      </c>
      <c r="M725" s="2" t="str">
        <f aca="false">PROPER(TRIM(Raw_Data!M725))</f>
        <v>Referral</v>
      </c>
      <c r="N725" s="4" t="n">
        <f aca="false">ROUND(E725*F725,2)</f>
        <v>164.85</v>
      </c>
      <c r="O725" s="2" t="str">
        <f aca="false">IF(COUNTIF($A$2:$A$1201,A725)&gt;1,"DUPLICATE","Unique")</f>
        <v>Unique</v>
      </c>
      <c r="P725" s="2" t="str">
        <f aca="false">IF(L725="","MISSING","OK")</f>
        <v>OK</v>
      </c>
      <c r="Q725" s="2" t="str">
        <f aca="false">IF(ISNUMBER(B725),"OK","BAD DATE")</f>
        <v>OK</v>
      </c>
      <c r="R725" s="2" t="str">
        <f aca="false">IF(ROUND(F725,2)=F725,"OK","FIX")</f>
        <v>OK</v>
      </c>
    </row>
    <row r="726" customFormat="false" ht="15" hidden="false" customHeight="false" outlineLevel="0" collapsed="false">
      <c r="A726" s="2" t="str">
        <f aca="false">TRIM(UPPER(Raw_Data!A726))</f>
        <v>ORD200724</v>
      </c>
      <c r="B726" s="3" t="n">
        <f aca="false">IF(ISNUMBER(Raw_Data!B726),Raw_Data!B726,DATEVALUE(Raw_Data!B726))</f>
        <v>45583</v>
      </c>
      <c r="C726" s="2" t="str">
        <f aca="false">TRIM(UPPER(Raw_Data!C726))</f>
        <v>C63150</v>
      </c>
      <c r="D726" s="2" t="str">
        <f aca="false">PROPER(TRIM(Raw_Data!D726))</f>
        <v>Printer</v>
      </c>
      <c r="E726" s="2" t="n">
        <f aca="false">Raw_Data!E726</f>
        <v>3</v>
      </c>
      <c r="F726" s="4" t="n">
        <f aca="false">ROUND(Raw_Data!F726,2)</f>
        <v>136.97</v>
      </c>
      <c r="G726" s="2" t="str">
        <f aca="false">PROPER(TRIM(Raw_Data!G726))</f>
        <v>326 Main St</v>
      </c>
      <c r="H726" s="2" t="str">
        <f aca="false">PROPER(TRIM(Raw_Data!H726))</f>
        <v>Credit Card</v>
      </c>
      <c r="I726" s="2" t="str">
        <f aca="false">PROPER(TRIM(Raw_Data!I726))</f>
        <v>Returned</v>
      </c>
      <c r="J726" s="2" t="str">
        <f aca="false">TRIM(UPPER(Raw_Data!J726))</f>
        <v>TRK19348078</v>
      </c>
      <c r="K726" s="2" t="n">
        <f aca="false">Raw_Data!K726</f>
        <v>4</v>
      </c>
      <c r="L726" s="2" t="str">
        <f aca="false">IF(TRIM(Raw_Data!L726)="","No Coupon",TRIM(UPPER(Raw_Data!L726)))</f>
        <v>FREESHIP</v>
      </c>
      <c r="M726" s="2" t="str">
        <f aca="false">PROPER(TRIM(Raw_Data!M726))</f>
        <v>Referral</v>
      </c>
      <c r="N726" s="4" t="n">
        <f aca="false">ROUND(E726*F726,2)</f>
        <v>410.91</v>
      </c>
      <c r="O726" s="2" t="str">
        <f aca="false">IF(COUNTIF($A$2:$A$1201,A726)&gt;1,"DUPLICATE","Unique")</f>
        <v>Unique</v>
      </c>
      <c r="P726" s="2" t="str">
        <f aca="false">IF(L726="","MISSING","OK")</f>
        <v>OK</v>
      </c>
      <c r="Q726" s="2" t="str">
        <f aca="false">IF(ISNUMBER(B726),"OK","BAD DATE")</f>
        <v>OK</v>
      </c>
      <c r="R726" s="2" t="str">
        <f aca="false">IF(ROUND(F726,2)=F726,"OK","FIX")</f>
        <v>OK</v>
      </c>
    </row>
    <row r="727" customFormat="false" ht="15" hidden="false" customHeight="false" outlineLevel="0" collapsed="false">
      <c r="A727" s="2" t="str">
        <f aca="false">TRIM(UPPER(Raw_Data!A727))</f>
        <v>ORD200725</v>
      </c>
      <c r="B727" s="3" t="n">
        <f aca="false">IF(ISNUMBER(Raw_Data!B727),Raw_Data!B727,DATEVALUE(Raw_Data!B727))</f>
        <v>44997</v>
      </c>
      <c r="C727" s="2" t="str">
        <f aca="false">TRIM(UPPER(Raw_Data!C727))</f>
        <v>C95269</v>
      </c>
      <c r="D727" s="2" t="str">
        <f aca="false">PROPER(TRIM(Raw_Data!D727))</f>
        <v>Chair</v>
      </c>
      <c r="E727" s="2" t="n">
        <f aca="false">Raw_Data!E727</f>
        <v>2</v>
      </c>
      <c r="F727" s="4" t="n">
        <f aca="false">ROUND(Raw_Data!F727,2)</f>
        <v>194.85</v>
      </c>
      <c r="G727" s="2" t="str">
        <f aca="false">PROPER(TRIM(Raw_Data!G727))</f>
        <v>372 Main St</v>
      </c>
      <c r="H727" s="2" t="str">
        <f aca="false">PROPER(TRIM(Raw_Data!H727))</f>
        <v>Gift Card</v>
      </c>
      <c r="I727" s="2" t="str">
        <f aca="false">PROPER(TRIM(Raw_Data!I727))</f>
        <v>Returned</v>
      </c>
      <c r="J727" s="2" t="str">
        <f aca="false">TRIM(UPPER(Raw_Data!J727))</f>
        <v>TRK45670926</v>
      </c>
      <c r="K727" s="2" t="n">
        <f aca="false">Raw_Data!K727</f>
        <v>5</v>
      </c>
      <c r="L727" s="2" t="str">
        <f aca="false">IF(TRIM(Raw_Data!L727)="","No Coupon",TRIM(UPPER(Raw_Data!L727)))</f>
        <v>No Coupon</v>
      </c>
      <c r="M727" s="2" t="str">
        <f aca="false">PROPER(TRIM(Raw_Data!M727))</f>
        <v>Referral</v>
      </c>
      <c r="N727" s="4" t="n">
        <f aca="false">ROUND(E727*F727,2)</f>
        <v>389.7</v>
      </c>
      <c r="O727" s="2" t="str">
        <f aca="false">IF(COUNTIF($A$2:$A$1201,A727)&gt;1,"DUPLICATE","Unique")</f>
        <v>Unique</v>
      </c>
      <c r="P727" s="2" t="str">
        <f aca="false">IF(L727="","MISSING","OK")</f>
        <v>OK</v>
      </c>
      <c r="Q727" s="2" t="str">
        <f aca="false">IF(ISNUMBER(B727),"OK","BAD DATE")</f>
        <v>OK</v>
      </c>
      <c r="R727" s="2" t="str">
        <f aca="false">IF(ROUND(F727,2)=F727,"OK","FIX")</f>
        <v>OK</v>
      </c>
    </row>
    <row r="728" customFormat="false" ht="15" hidden="false" customHeight="false" outlineLevel="0" collapsed="false">
      <c r="A728" s="2" t="str">
        <f aca="false">TRIM(UPPER(Raw_Data!A728))</f>
        <v>ORD200726</v>
      </c>
      <c r="B728" s="3" t="n">
        <f aca="false">IF(ISNUMBER(Raw_Data!B728),Raw_Data!B728,DATEVALUE(Raw_Data!B728))</f>
        <v>45590</v>
      </c>
      <c r="C728" s="2" t="str">
        <f aca="false">TRIM(UPPER(Raw_Data!C728))</f>
        <v>C18105</v>
      </c>
      <c r="D728" s="2" t="str">
        <f aca="false">PROPER(TRIM(Raw_Data!D728))</f>
        <v>Laptop</v>
      </c>
      <c r="E728" s="2" t="n">
        <f aca="false">Raw_Data!E728</f>
        <v>4</v>
      </c>
      <c r="F728" s="4" t="n">
        <f aca="false">ROUND(Raw_Data!F728,2)</f>
        <v>583.02</v>
      </c>
      <c r="G728" s="2" t="str">
        <f aca="false">PROPER(TRIM(Raw_Data!G728))</f>
        <v>338 Main St</v>
      </c>
      <c r="H728" s="2" t="str">
        <f aca="false">PROPER(TRIM(Raw_Data!H728))</f>
        <v>Online</v>
      </c>
      <c r="I728" s="2" t="str">
        <f aca="false">PROPER(TRIM(Raw_Data!I728))</f>
        <v>Delivered</v>
      </c>
      <c r="J728" s="2" t="str">
        <f aca="false">TRIM(UPPER(Raw_Data!J728))</f>
        <v>TRK94006117</v>
      </c>
      <c r="K728" s="2" t="n">
        <f aca="false">Raw_Data!K728</f>
        <v>4</v>
      </c>
      <c r="L728" s="2" t="str">
        <f aca="false">IF(TRIM(Raw_Data!L728)="","No Coupon",TRIM(UPPER(Raw_Data!L728)))</f>
        <v>FREESHIP</v>
      </c>
      <c r="M728" s="2" t="str">
        <f aca="false">PROPER(TRIM(Raw_Data!M728))</f>
        <v>Facebook</v>
      </c>
      <c r="N728" s="4" t="n">
        <f aca="false">ROUND(E728*F728,2)</f>
        <v>2332.08</v>
      </c>
      <c r="O728" s="2" t="str">
        <f aca="false">IF(COUNTIF($A$2:$A$1201,A728)&gt;1,"DUPLICATE","Unique")</f>
        <v>Unique</v>
      </c>
      <c r="P728" s="2" t="str">
        <f aca="false">IF(L728="","MISSING","OK")</f>
        <v>OK</v>
      </c>
      <c r="Q728" s="2" t="str">
        <f aca="false">IF(ISNUMBER(B728),"OK","BAD DATE")</f>
        <v>OK</v>
      </c>
      <c r="R728" s="2" t="str">
        <f aca="false">IF(ROUND(F728,2)=F728,"OK","FIX")</f>
        <v>OK</v>
      </c>
    </row>
    <row r="729" customFormat="false" ht="15" hidden="false" customHeight="false" outlineLevel="0" collapsed="false">
      <c r="A729" s="2" t="str">
        <f aca="false">TRIM(UPPER(Raw_Data!A729))</f>
        <v>ORD200727</v>
      </c>
      <c r="B729" s="3" t="n">
        <f aca="false">IF(ISNUMBER(Raw_Data!B729),Raw_Data!B729,DATEVALUE(Raw_Data!B729))</f>
        <v>45564</v>
      </c>
      <c r="C729" s="2" t="str">
        <f aca="false">TRIM(UPPER(Raw_Data!C729))</f>
        <v>C29063</v>
      </c>
      <c r="D729" s="2" t="str">
        <f aca="false">PROPER(TRIM(Raw_Data!D729))</f>
        <v>Chair</v>
      </c>
      <c r="E729" s="2" t="n">
        <f aca="false">Raw_Data!E729</f>
        <v>5</v>
      </c>
      <c r="F729" s="4" t="n">
        <f aca="false">ROUND(Raw_Data!F729,2)</f>
        <v>95.75</v>
      </c>
      <c r="G729" s="2" t="str">
        <f aca="false">PROPER(TRIM(Raw_Data!G729))</f>
        <v>379 Main St</v>
      </c>
      <c r="H729" s="2" t="str">
        <f aca="false">PROPER(TRIM(Raw_Data!H729))</f>
        <v>Online</v>
      </c>
      <c r="I729" s="2" t="str">
        <f aca="false">PROPER(TRIM(Raw_Data!I729))</f>
        <v>Shipped</v>
      </c>
      <c r="J729" s="2" t="str">
        <f aca="false">TRIM(UPPER(Raw_Data!J729))</f>
        <v>TRK92745947</v>
      </c>
      <c r="K729" s="2" t="n">
        <f aca="false">Raw_Data!K729</f>
        <v>8</v>
      </c>
      <c r="L729" s="2" t="str">
        <f aca="false">IF(TRIM(Raw_Data!L729)="","No Coupon",TRIM(UPPER(Raw_Data!L729)))</f>
        <v>SAVE10</v>
      </c>
      <c r="M729" s="2" t="str">
        <f aca="false">PROPER(TRIM(Raw_Data!M729))</f>
        <v>Instagram</v>
      </c>
      <c r="N729" s="4" t="n">
        <f aca="false">ROUND(E729*F729,2)</f>
        <v>478.75</v>
      </c>
      <c r="O729" s="2" t="str">
        <f aca="false">IF(COUNTIF($A$2:$A$1201,A729)&gt;1,"DUPLICATE","Unique")</f>
        <v>Unique</v>
      </c>
      <c r="P729" s="2" t="str">
        <f aca="false">IF(L729="","MISSING","OK")</f>
        <v>OK</v>
      </c>
      <c r="Q729" s="2" t="str">
        <f aca="false">IF(ISNUMBER(B729),"OK","BAD DATE")</f>
        <v>OK</v>
      </c>
      <c r="R729" s="2" t="str">
        <f aca="false">IF(ROUND(F729,2)=F729,"OK","FIX")</f>
        <v>OK</v>
      </c>
    </row>
    <row r="730" customFormat="false" ht="15" hidden="false" customHeight="false" outlineLevel="0" collapsed="false">
      <c r="A730" s="2" t="str">
        <f aca="false">TRIM(UPPER(Raw_Data!A730))</f>
        <v>ORD200728</v>
      </c>
      <c r="B730" s="3" t="n">
        <f aca="false">IF(ISNUMBER(Raw_Data!B730),Raw_Data!B730,DATEVALUE(Raw_Data!B730))</f>
        <v>45502</v>
      </c>
      <c r="C730" s="2" t="str">
        <f aca="false">TRIM(UPPER(Raw_Data!C730))</f>
        <v>C10154</v>
      </c>
      <c r="D730" s="2" t="str">
        <f aca="false">PROPER(TRIM(Raw_Data!D730))</f>
        <v>Desk</v>
      </c>
      <c r="E730" s="2" t="n">
        <f aca="false">Raw_Data!E730</f>
        <v>4</v>
      </c>
      <c r="F730" s="4" t="n">
        <f aca="false">ROUND(Raw_Data!F730,2)</f>
        <v>325.76</v>
      </c>
      <c r="G730" s="2" t="str">
        <f aca="false">PROPER(TRIM(Raw_Data!G730))</f>
        <v>827 Main St</v>
      </c>
      <c r="H730" s="2" t="str">
        <f aca="false">PROPER(TRIM(Raw_Data!H730))</f>
        <v>Gift Card</v>
      </c>
      <c r="I730" s="2" t="str">
        <f aca="false">PROPER(TRIM(Raw_Data!I730))</f>
        <v>Shipped</v>
      </c>
      <c r="J730" s="2" t="str">
        <f aca="false">TRIM(UPPER(Raw_Data!J730))</f>
        <v>TRK79793300</v>
      </c>
      <c r="K730" s="2" t="n">
        <f aca="false">Raw_Data!K730</f>
        <v>8</v>
      </c>
      <c r="L730" s="2" t="str">
        <f aca="false">IF(TRIM(Raw_Data!L730)="","No Coupon",TRIM(UPPER(Raw_Data!L730)))</f>
        <v>WINTER15</v>
      </c>
      <c r="M730" s="2" t="str">
        <f aca="false">PROPER(TRIM(Raw_Data!M730))</f>
        <v>Email</v>
      </c>
      <c r="N730" s="4" t="n">
        <f aca="false">ROUND(E730*F730,2)</f>
        <v>1303.04</v>
      </c>
      <c r="O730" s="2" t="str">
        <f aca="false">IF(COUNTIF($A$2:$A$1201,A730)&gt;1,"DUPLICATE","Unique")</f>
        <v>Unique</v>
      </c>
      <c r="P730" s="2" t="str">
        <f aca="false">IF(L730="","MISSING","OK")</f>
        <v>OK</v>
      </c>
      <c r="Q730" s="2" t="str">
        <f aca="false">IF(ISNUMBER(B730),"OK","BAD DATE")</f>
        <v>OK</v>
      </c>
      <c r="R730" s="2" t="str">
        <f aca="false">IF(ROUND(F730,2)=F730,"OK","FIX")</f>
        <v>OK</v>
      </c>
    </row>
    <row r="731" customFormat="false" ht="15" hidden="false" customHeight="false" outlineLevel="0" collapsed="false">
      <c r="A731" s="2" t="str">
        <f aca="false">TRIM(UPPER(Raw_Data!A731))</f>
        <v>ORD200729</v>
      </c>
      <c r="B731" s="3" t="n">
        <f aca="false">IF(ISNUMBER(Raw_Data!B731),Raw_Data!B731,DATEVALUE(Raw_Data!B731))</f>
        <v>45177</v>
      </c>
      <c r="C731" s="2" t="str">
        <f aca="false">TRIM(UPPER(Raw_Data!C731))</f>
        <v>C36997</v>
      </c>
      <c r="D731" s="2" t="str">
        <f aca="false">PROPER(TRIM(Raw_Data!D731))</f>
        <v>Phone</v>
      </c>
      <c r="E731" s="2" t="n">
        <f aca="false">Raw_Data!E731</f>
        <v>4</v>
      </c>
      <c r="F731" s="4" t="n">
        <f aca="false">ROUND(Raw_Data!F731,2)</f>
        <v>186.41</v>
      </c>
      <c r="G731" s="2" t="str">
        <f aca="false">PROPER(TRIM(Raw_Data!G731))</f>
        <v>819 Main St</v>
      </c>
      <c r="H731" s="2" t="str">
        <f aca="false">PROPER(TRIM(Raw_Data!H731))</f>
        <v>Gift Card</v>
      </c>
      <c r="I731" s="2" t="str">
        <f aca="false">PROPER(TRIM(Raw_Data!I731))</f>
        <v>Pending</v>
      </c>
      <c r="J731" s="2" t="str">
        <f aca="false">TRIM(UPPER(Raw_Data!J731))</f>
        <v>TRK92794872</v>
      </c>
      <c r="K731" s="2" t="n">
        <f aca="false">Raw_Data!K731</f>
        <v>6</v>
      </c>
      <c r="L731" s="2" t="str">
        <f aca="false">IF(TRIM(Raw_Data!L731)="","No Coupon",TRIM(UPPER(Raw_Data!L731)))</f>
        <v>SAVE10</v>
      </c>
      <c r="M731" s="2" t="str">
        <f aca="false">PROPER(TRIM(Raw_Data!M731))</f>
        <v>Google</v>
      </c>
      <c r="N731" s="4" t="n">
        <f aca="false">ROUND(E731*F731,2)</f>
        <v>745.64</v>
      </c>
      <c r="O731" s="2" t="str">
        <f aca="false">IF(COUNTIF($A$2:$A$1201,A731)&gt;1,"DUPLICATE","Unique")</f>
        <v>Unique</v>
      </c>
      <c r="P731" s="2" t="str">
        <f aca="false">IF(L731="","MISSING","OK")</f>
        <v>OK</v>
      </c>
      <c r="Q731" s="2" t="str">
        <f aca="false">IF(ISNUMBER(B731),"OK","BAD DATE")</f>
        <v>OK</v>
      </c>
      <c r="R731" s="2" t="str">
        <f aca="false">IF(ROUND(F731,2)=F731,"OK","FIX")</f>
        <v>OK</v>
      </c>
    </row>
    <row r="732" customFormat="false" ht="15" hidden="false" customHeight="false" outlineLevel="0" collapsed="false">
      <c r="A732" s="2" t="str">
        <f aca="false">TRIM(UPPER(Raw_Data!A732))</f>
        <v>ORD200730</v>
      </c>
      <c r="B732" s="3" t="n">
        <f aca="false">IF(ISNUMBER(Raw_Data!B732),Raw_Data!B732,DATEVALUE(Raw_Data!B732))</f>
        <v>45710</v>
      </c>
      <c r="C732" s="2" t="str">
        <f aca="false">TRIM(UPPER(Raw_Data!C732))</f>
        <v>C77357</v>
      </c>
      <c r="D732" s="2" t="str">
        <f aca="false">PROPER(TRIM(Raw_Data!D732))</f>
        <v>Phone</v>
      </c>
      <c r="E732" s="2" t="n">
        <f aca="false">Raw_Data!E732</f>
        <v>1</v>
      </c>
      <c r="F732" s="4" t="n">
        <f aca="false">ROUND(Raw_Data!F732,2)</f>
        <v>474.6</v>
      </c>
      <c r="G732" s="2" t="str">
        <f aca="false">PROPER(TRIM(Raw_Data!G732))</f>
        <v>407 Main St</v>
      </c>
      <c r="H732" s="2" t="str">
        <f aca="false">PROPER(TRIM(Raw_Data!H732))</f>
        <v>Debit Card</v>
      </c>
      <c r="I732" s="2" t="str">
        <f aca="false">PROPER(TRIM(Raw_Data!I732))</f>
        <v>Delivered</v>
      </c>
      <c r="J732" s="2" t="str">
        <f aca="false">TRIM(UPPER(Raw_Data!J732))</f>
        <v>TRK91943923</v>
      </c>
      <c r="K732" s="2" t="n">
        <f aca="false">Raw_Data!K732</f>
        <v>4</v>
      </c>
      <c r="L732" s="2" t="str">
        <f aca="false">IF(TRIM(Raw_Data!L732)="","No Coupon",TRIM(UPPER(Raw_Data!L732)))</f>
        <v>SAVE10</v>
      </c>
      <c r="M732" s="2" t="str">
        <f aca="false">PROPER(TRIM(Raw_Data!M732))</f>
        <v>Email</v>
      </c>
      <c r="N732" s="4" t="n">
        <f aca="false">ROUND(E732*F732,2)</f>
        <v>474.6</v>
      </c>
      <c r="O732" s="2" t="str">
        <f aca="false">IF(COUNTIF($A$2:$A$1201,A732)&gt;1,"DUPLICATE","Unique")</f>
        <v>Unique</v>
      </c>
      <c r="P732" s="2" t="str">
        <f aca="false">IF(L732="","MISSING","OK")</f>
        <v>OK</v>
      </c>
      <c r="Q732" s="2" t="str">
        <f aca="false">IF(ISNUMBER(B732),"OK","BAD DATE")</f>
        <v>OK</v>
      </c>
      <c r="R732" s="2" t="str">
        <f aca="false">IF(ROUND(F732,2)=F732,"OK","FIX")</f>
        <v>OK</v>
      </c>
    </row>
    <row r="733" customFormat="false" ht="15" hidden="false" customHeight="false" outlineLevel="0" collapsed="false">
      <c r="A733" s="2" t="str">
        <f aca="false">TRIM(UPPER(Raw_Data!A733))</f>
        <v>ORD200731</v>
      </c>
      <c r="B733" s="3" t="n">
        <f aca="false">IF(ISNUMBER(Raw_Data!B733),Raw_Data!B733,DATEVALUE(Raw_Data!B733))</f>
        <v>45450</v>
      </c>
      <c r="C733" s="2" t="str">
        <f aca="false">TRIM(UPPER(Raw_Data!C733))</f>
        <v>C71310</v>
      </c>
      <c r="D733" s="2" t="str">
        <f aca="false">PROPER(TRIM(Raw_Data!D733))</f>
        <v>Printer</v>
      </c>
      <c r="E733" s="2" t="n">
        <f aca="false">Raw_Data!E733</f>
        <v>5</v>
      </c>
      <c r="F733" s="4" t="n">
        <f aca="false">ROUND(Raw_Data!F733,2)</f>
        <v>584.46</v>
      </c>
      <c r="G733" s="2" t="str">
        <f aca="false">PROPER(TRIM(Raw_Data!G733))</f>
        <v>308 Main St</v>
      </c>
      <c r="H733" s="2" t="str">
        <f aca="false">PROPER(TRIM(Raw_Data!H733))</f>
        <v>Credit Card</v>
      </c>
      <c r="I733" s="2" t="str">
        <f aca="false">PROPER(TRIM(Raw_Data!I733))</f>
        <v>Returned</v>
      </c>
      <c r="J733" s="2" t="str">
        <f aca="false">TRIM(UPPER(Raw_Data!J733))</f>
        <v>TRK48292586</v>
      </c>
      <c r="K733" s="2" t="n">
        <f aca="false">Raw_Data!K733</f>
        <v>8</v>
      </c>
      <c r="L733" s="2" t="str">
        <f aca="false">IF(TRIM(Raw_Data!L733)="","No Coupon",TRIM(UPPER(Raw_Data!L733)))</f>
        <v>No Coupon</v>
      </c>
      <c r="M733" s="2" t="str">
        <f aca="false">PROPER(TRIM(Raw_Data!M733))</f>
        <v>Email</v>
      </c>
      <c r="N733" s="4" t="n">
        <f aca="false">ROUND(E733*F733,2)</f>
        <v>2922.3</v>
      </c>
      <c r="O733" s="2" t="str">
        <f aca="false">IF(COUNTIF($A$2:$A$1201,A733)&gt;1,"DUPLICATE","Unique")</f>
        <v>Unique</v>
      </c>
      <c r="P733" s="2" t="str">
        <f aca="false">IF(L733="","MISSING","OK")</f>
        <v>OK</v>
      </c>
      <c r="Q733" s="2" t="str">
        <f aca="false">IF(ISNUMBER(B733),"OK","BAD DATE")</f>
        <v>OK</v>
      </c>
      <c r="R733" s="2" t="str">
        <f aca="false">IF(ROUND(F733,2)=F733,"OK","FIX")</f>
        <v>OK</v>
      </c>
    </row>
    <row r="734" customFormat="false" ht="15" hidden="false" customHeight="false" outlineLevel="0" collapsed="false">
      <c r="A734" s="2" t="str">
        <f aca="false">TRIM(UPPER(Raw_Data!A734))</f>
        <v>ORD200732</v>
      </c>
      <c r="B734" s="3" t="n">
        <f aca="false">IF(ISNUMBER(Raw_Data!B734),Raw_Data!B734,DATEVALUE(Raw_Data!B734))</f>
        <v>45723</v>
      </c>
      <c r="C734" s="2" t="str">
        <f aca="false">TRIM(UPPER(Raw_Data!C734))</f>
        <v>C80987</v>
      </c>
      <c r="D734" s="2" t="str">
        <f aca="false">PROPER(TRIM(Raw_Data!D734))</f>
        <v>Laptop</v>
      </c>
      <c r="E734" s="2" t="n">
        <f aca="false">Raw_Data!E734</f>
        <v>1</v>
      </c>
      <c r="F734" s="4" t="n">
        <f aca="false">ROUND(Raw_Data!F734,2)</f>
        <v>132.05</v>
      </c>
      <c r="G734" s="2" t="str">
        <f aca="false">PROPER(TRIM(Raw_Data!G734))</f>
        <v>787 Main St</v>
      </c>
      <c r="H734" s="2" t="str">
        <f aca="false">PROPER(TRIM(Raw_Data!H734))</f>
        <v>Online</v>
      </c>
      <c r="I734" s="2" t="str">
        <f aca="false">PROPER(TRIM(Raw_Data!I734))</f>
        <v>Delivered</v>
      </c>
      <c r="J734" s="2" t="str">
        <f aca="false">TRIM(UPPER(Raw_Data!J734))</f>
        <v>TRK42187776</v>
      </c>
      <c r="K734" s="2" t="n">
        <f aca="false">Raw_Data!K734</f>
        <v>2</v>
      </c>
      <c r="L734" s="2" t="str">
        <f aca="false">IF(TRIM(Raw_Data!L734)="","No Coupon",TRIM(UPPER(Raw_Data!L734)))</f>
        <v>No Coupon</v>
      </c>
      <c r="M734" s="2" t="str">
        <f aca="false">PROPER(TRIM(Raw_Data!M734))</f>
        <v>Google</v>
      </c>
      <c r="N734" s="4" t="n">
        <f aca="false">ROUND(E734*F734,2)</f>
        <v>132.05</v>
      </c>
      <c r="O734" s="2" t="str">
        <f aca="false">IF(COUNTIF($A$2:$A$1201,A734)&gt;1,"DUPLICATE","Unique")</f>
        <v>Unique</v>
      </c>
      <c r="P734" s="2" t="str">
        <f aca="false">IF(L734="","MISSING","OK")</f>
        <v>OK</v>
      </c>
      <c r="Q734" s="2" t="str">
        <f aca="false">IF(ISNUMBER(B734),"OK","BAD DATE")</f>
        <v>OK</v>
      </c>
      <c r="R734" s="2" t="str">
        <f aca="false">IF(ROUND(F734,2)=F734,"OK","FIX")</f>
        <v>OK</v>
      </c>
    </row>
    <row r="735" customFormat="false" ht="15" hidden="false" customHeight="false" outlineLevel="0" collapsed="false">
      <c r="A735" s="2" t="str">
        <f aca="false">TRIM(UPPER(Raw_Data!A735))</f>
        <v>ORD200733</v>
      </c>
      <c r="B735" s="3" t="n">
        <f aca="false">IF(ISNUMBER(Raw_Data!B735),Raw_Data!B735,DATEVALUE(Raw_Data!B735))</f>
        <v>45264</v>
      </c>
      <c r="C735" s="2" t="str">
        <f aca="false">TRIM(UPPER(Raw_Data!C735))</f>
        <v>C90757</v>
      </c>
      <c r="D735" s="2" t="str">
        <f aca="false">PROPER(TRIM(Raw_Data!D735))</f>
        <v>Tablet</v>
      </c>
      <c r="E735" s="2" t="n">
        <f aca="false">Raw_Data!E735</f>
        <v>4</v>
      </c>
      <c r="F735" s="4" t="n">
        <f aca="false">ROUND(Raw_Data!F735,2)</f>
        <v>494.84</v>
      </c>
      <c r="G735" s="2" t="str">
        <f aca="false">PROPER(TRIM(Raw_Data!G735))</f>
        <v>694 Main St</v>
      </c>
      <c r="H735" s="2" t="str">
        <f aca="false">PROPER(TRIM(Raw_Data!H735))</f>
        <v>Cash</v>
      </c>
      <c r="I735" s="2" t="str">
        <f aca="false">PROPER(TRIM(Raw_Data!I735))</f>
        <v>Returned</v>
      </c>
      <c r="J735" s="2" t="str">
        <f aca="false">TRIM(UPPER(Raw_Data!J735))</f>
        <v>TRK87991608</v>
      </c>
      <c r="K735" s="2" t="n">
        <f aca="false">Raw_Data!K735</f>
        <v>8</v>
      </c>
      <c r="L735" s="2" t="str">
        <f aca="false">IF(TRIM(Raw_Data!L735)="","No Coupon",TRIM(UPPER(Raw_Data!L735)))</f>
        <v>SAVE10</v>
      </c>
      <c r="M735" s="2" t="str">
        <f aca="false">PROPER(TRIM(Raw_Data!M735))</f>
        <v>Email</v>
      </c>
      <c r="N735" s="4" t="n">
        <f aca="false">ROUND(E735*F735,2)</f>
        <v>1979.36</v>
      </c>
      <c r="O735" s="2" t="str">
        <f aca="false">IF(COUNTIF($A$2:$A$1201,A735)&gt;1,"DUPLICATE","Unique")</f>
        <v>Unique</v>
      </c>
      <c r="P735" s="2" t="str">
        <f aca="false">IF(L735="","MISSING","OK")</f>
        <v>OK</v>
      </c>
      <c r="Q735" s="2" t="str">
        <f aca="false">IF(ISNUMBER(B735),"OK","BAD DATE")</f>
        <v>OK</v>
      </c>
      <c r="R735" s="2" t="str">
        <f aca="false">IF(ROUND(F735,2)=F735,"OK","FIX")</f>
        <v>OK</v>
      </c>
    </row>
    <row r="736" customFormat="false" ht="15" hidden="false" customHeight="false" outlineLevel="0" collapsed="false">
      <c r="A736" s="2" t="str">
        <f aca="false">TRIM(UPPER(Raw_Data!A736))</f>
        <v>ORD200734</v>
      </c>
      <c r="B736" s="3" t="n">
        <f aca="false">IF(ISNUMBER(Raw_Data!B736),Raw_Data!B736,DATEVALUE(Raw_Data!B736))</f>
        <v>45314</v>
      </c>
      <c r="C736" s="2" t="str">
        <f aca="false">TRIM(UPPER(Raw_Data!C736))</f>
        <v>C51898</v>
      </c>
      <c r="D736" s="2" t="str">
        <f aca="false">PROPER(TRIM(Raw_Data!D736))</f>
        <v>Printer</v>
      </c>
      <c r="E736" s="2" t="n">
        <f aca="false">Raw_Data!E736</f>
        <v>4</v>
      </c>
      <c r="F736" s="4" t="n">
        <f aca="false">ROUND(Raw_Data!F736,2)</f>
        <v>224.61</v>
      </c>
      <c r="G736" s="2" t="str">
        <f aca="false">PROPER(TRIM(Raw_Data!G736))</f>
        <v>630 Main St</v>
      </c>
      <c r="H736" s="2" t="str">
        <f aca="false">PROPER(TRIM(Raw_Data!H736))</f>
        <v>Credit Card</v>
      </c>
      <c r="I736" s="2" t="str">
        <f aca="false">PROPER(TRIM(Raw_Data!I736))</f>
        <v>Returned</v>
      </c>
      <c r="J736" s="2" t="str">
        <f aca="false">TRIM(UPPER(Raw_Data!J736))</f>
        <v>TRK19767885</v>
      </c>
      <c r="K736" s="2" t="n">
        <f aca="false">Raw_Data!K736</f>
        <v>6</v>
      </c>
      <c r="L736" s="2" t="str">
        <f aca="false">IF(TRIM(Raw_Data!L736)="","No Coupon",TRIM(UPPER(Raw_Data!L736)))</f>
        <v>WINTER15</v>
      </c>
      <c r="M736" s="2" t="str">
        <f aca="false">PROPER(TRIM(Raw_Data!M736))</f>
        <v>Facebook</v>
      </c>
      <c r="N736" s="4" t="n">
        <f aca="false">ROUND(E736*F736,2)</f>
        <v>898.44</v>
      </c>
      <c r="O736" s="2" t="str">
        <f aca="false">IF(COUNTIF($A$2:$A$1201,A736)&gt;1,"DUPLICATE","Unique")</f>
        <v>Unique</v>
      </c>
      <c r="P736" s="2" t="str">
        <f aca="false">IF(L736="","MISSING","OK")</f>
        <v>OK</v>
      </c>
      <c r="Q736" s="2" t="str">
        <f aca="false">IF(ISNUMBER(B736),"OK","BAD DATE")</f>
        <v>OK</v>
      </c>
      <c r="R736" s="2" t="str">
        <f aca="false">IF(ROUND(F736,2)=F736,"OK","FIX")</f>
        <v>OK</v>
      </c>
    </row>
    <row r="737" customFormat="false" ht="15" hidden="false" customHeight="false" outlineLevel="0" collapsed="false">
      <c r="A737" s="2" t="str">
        <f aca="false">TRIM(UPPER(Raw_Data!A737))</f>
        <v>ORD200735</v>
      </c>
      <c r="B737" s="3" t="n">
        <f aca="false">IF(ISNUMBER(Raw_Data!B737),Raw_Data!B737,DATEVALUE(Raw_Data!B737))</f>
        <v>45471</v>
      </c>
      <c r="C737" s="2" t="str">
        <f aca="false">TRIM(UPPER(Raw_Data!C737))</f>
        <v>C94508</v>
      </c>
      <c r="D737" s="2" t="str">
        <f aca="false">PROPER(TRIM(Raw_Data!D737))</f>
        <v>Monitor</v>
      </c>
      <c r="E737" s="2" t="n">
        <f aca="false">Raw_Data!E737</f>
        <v>4</v>
      </c>
      <c r="F737" s="4" t="n">
        <f aca="false">ROUND(Raw_Data!F737,2)</f>
        <v>44.07</v>
      </c>
      <c r="G737" s="2" t="str">
        <f aca="false">PROPER(TRIM(Raw_Data!G737))</f>
        <v>359 Main St</v>
      </c>
      <c r="H737" s="2" t="str">
        <f aca="false">PROPER(TRIM(Raw_Data!H737))</f>
        <v>Debit Card</v>
      </c>
      <c r="I737" s="2" t="str">
        <f aca="false">PROPER(TRIM(Raw_Data!I737))</f>
        <v>Pending</v>
      </c>
      <c r="J737" s="2" t="str">
        <f aca="false">TRIM(UPPER(Raw_Data!J737))</f>
        <v>TRK13443264</v>
      </c>
      <c r="K737" s="2" t="n">
        <f aca="false">Raw_Data!K737</f>
        <v>6</v>
      </c>
      <c r="L737" s="2" t="str">
        <f aca="false">IF(TRIM(Raw_Data!L737)="","No Coupon",TRIM(UPPER(Raw_Data!L737)))</f>
        <v>No Coupon</v>
      </c>
      <c r="M737" s="2" t="str">
        <f aca="false">PROPER(TRIM(Raw_Data!M737))</f>
        <v>Email</v>
      </c>
      <c r="N737" s="4" t="n">
        <f aca="false">ROUND(E737*F737,2)</f>
        <v>176.28</v>
      </c>
      <c r="O737" s="2" t="str">
        <f aca="false">IF(COUNTIF($A$2:$A$1201,A737)&gt;1,"DUPLICATE","Unique")</f>
        <v>Unique</v>
      </c>
      <c r="P737" s="2" t="str">
        <f aca="false">IF(L737="","MISSING","OK")</f>
        <v>OK</v>
      </c>
      <c r="Q737" s="2" t="str">
        <f aca="false">IF(ISNUMBER(B737),"OK","BAD DATE")</f>
        <v>OK</v>
      </c>
      <c r="R737" s="2" t="str">
        <f aca="false">IF(ROUND(F737,2)=F737,"OK","FIX")</f>
        <v>OK</v>
      </c>
    </row>
    <row r="738" customFormat="false" ht="15" hidden="false" customHeight="false" outlineLevel="0" collapsed="false">
      <c r="A738" s="2" t="str">
        <f aca="false">TRIM(UPPER(Raw_Data!A738))</f>
        <v>ORD200736</v>
      </c>
      <c r="B738" s="3" t="n">
        <f aca="false">IF(ISNUMBER(Raw_Data!B738),Raw_Data!B738,DATEVALUE(Raw_Data!B738))</f>
        <v>45331</v>
      </c>
      <c r="C738" s="2" t="str">
        <f aca="false">TRIM(UPPER(Raw_Data!C738))</f>
        <v>C59441</v>
      </c>
      <c r="D738" s="2" t="str">
        <f aca="false">PROPER(TRIM(Raw_Data!D738))</f>
        <v>Monitor</v>
      </c>
      <c r="E738" s="2" t="n">
        <f aca="false">Raw_Data!E738</f>
        <v>5</v>
      </c>
      <c r="F738" s="4" t="n">
        <f aca="false">ROUND(Raw_Data!F738,2)</f>
        <v>418.53</v>
      </c>
      <c r="G738" s="2" t="str">
        <f aca="false">PROPER(TRIM(Raw_Data!G738))</f>
        <v>696 Main St</v>
      </c>
      <c r="H738" s="2" t="str">
        <f aca="false">PROPER(TRIM(Raw_Data!H738))</f>
        <v>Credit Card</v>
      </c>
      <c r="I738" s="2" t="str">
        <f aca="false">PROPER(TRIM(Raw_Data!I738))</f>
        <v>Pending</v>
      </c>
      <c r="J738" s="2" t="str">
        <f aca="false">TRIM(UPPER(Raw_Data!J738))</f>
        <v>TRK66186874</v>
      </c>
      <c r="K738" s="2" t="n">
        <f aca="false">Raw_Data!K738</f>
        <v>6</v>
      </c>
      <c r="L738" s="2" t="str">
        <f aca="false">IF(TRIM(Raw_Data!L738)="","No Coupon",TRIM(UPPER(Raw_Data!L738)))</f>
        <v>FREESHIP</v>
      </c>
      <c r="M738" s="2" t="str">
        <f aca="false">PROPER(TRIM(Raw_Data!M738))</f>
        <v>Google</v>
      </c>
      <c r="N738" s="4" t="n">
        <f aca="false">ROUND(E738*F738,2)</f>
        <v>2092.65</v>
      </c>
      <c r="O738" s="2" t="str">
        <f aca="false">IF(COUNTIF($A$2:$A$1201,A738)&gt;1,"DUPLICATE","Unique")</f>
        <v>Unique</v>
      </c>
      <c r="P738" s="2" t="str">
        <f aca="false">IF(L738="","MISSING","OK")</f>
        <v>OK</v>
      </c>
      <c r="Q738" s="2" t="str">
        <f aca="false">IF(ISNUMBER(B738),"OK","BAD DATE")</f>
        <v>OK</v>
      </c>
      <c r="R738" s="2" t="str">
        <f aca="false">IF(ROUND(F738,2)=F738,"OK","FIX")</f>
        <v>OK</v>
      </c>
    </row>
    <row r="739" customFormat="false" ht="15" hidden="false" customHeight="false" outlineLevel="0" collapsed="false">
      <c r="A739" s="2" t="str">
        <f aca="false">TRIM(UPPER(Raw_Data!A739))</f>
        <v>ORD200737</v>
      </c>
      <c r="B739" s="3" t="n">
        <f aca="false">IF(ISNUMBER(Raw_Data!B739),Raw_Data!B739,DATEVALUE(Raw_Data!B739))</f>
        <v>45294</v>
      </c>
      <c r="C739" s="2" t="str">
        <f aca="false">TRIM(UPPER(Raw_Data!C739))</f>
        <v>C91029</v>
      </c>
      <c r="D739" s="2" t="str">
        <f aca="false">PROPER(TRIM(Raw_Data!D739))</f>
        <v>Phone</v>
      </c>
      <c r="E739" s="2" t="n">
        <f aca="false">Raw_Data!E739</f>
        <v>4</v>
      </c>
      <c r="F739" s="4" t="n">
        <f aca="false">ROUND(Raw_Data!F739,2)</f>
        <v>532.87</v>
      </c>
      <c r="G739" s="2" t="str">
        <f aca="false">PROPER(TRIM(Raw_Data!G739))</f>
        <v>972 Main St</v>
      </c>
      <c r="H739" s="2" t="str">
        <f aca="false">PROPER(TRIM(Raw_Data!H739))</f>
        <v>Cash</v>
      </c>
      <c r="I739" s="2" t="str">
        <f aca="false">PROPER(TRIM(Raw_Data!I739))</f>
        <v>Pending</v>
      </c>
      <c r="J739" s="2" t="str">
        <f aca="false">TRIM(UPPER(Raw_Data!J739))</f>
        <v>TRK25501930</v>
      </c>
      <c r="K739" s="2" t="n">
        <f aca="false">Raw_Data!K739</f>
        <v>9</v>
      </c>
      <c r="L739" s="2" t="str">
        <f aca="false">IF(TRIM(Raw_Data!L739)="","No Coupon",TRIM(UPPER(Raw_Data!L739)))</f>
        <v>FREESHIP</v>
      </c>
      <c r="M739" s="2" t="str">
        <f aca="false">PROPER(TRIM(Raw_Data!M739))</f>
        <v>Instagram</v>
      </c>
      <c r="N739" s="4" t="n">
        <f aca="false">ROUND(E739*F739,2)</f>
        <v>2131.48</v>
      </c>
      <c r="O739" s="2" t="str">
        <f aca="false">IF(COUNTIF($A$2:$A$1201,A739)&gt;1,"DUPLICATE","Unique")</f>
        <v>Unique</v>
      </c>
      <c r="P739" s="2" t="str">
        <f aca="false">IF(L739="","MISSING","OK")</f>
        <v>OK</v>
      </c>
      <c r="Q739" s="2" t="str">
        <f aca="false">IF(ISNUMBER(B739),"OK","BAD DATE")</f>
        <v>OK</v>
      </c>
      <c r="R739" s="2" t="str">
        <f aca="false">IF(ROUND(F739,2)=F739,"OK","FIX")</f>
        <v>OK</v>
      </c>
    </row>
    <row r="740" customFormat="false" ht="15" hidden="false" customHeight="false" outlineLevel="0" collapsed="false">
      <c r="A740" s="2" t="str">
        <f aca="false">TRIM(UPPER(Raw_Data!A740))</f>
        <v>ORD200738</v>
      </c>
      <c r="B740" s="3" t="n">
        <f aca="false">IF(ISNUMBER(Raw_Data!B740),Raw_Data!B740,DATEVALUE(Raw_Data!B740))</f>
        <v>45812</v>
      </c>
      <c r="C740" s="2" t="str">
        <f aca="false">TRIM(UPPER(Raw_Data!C740))</f>
        <v>C96261</v>
      </c>
      <c r="D740" s="2" t="str">
        <f aca="false">PROPER(TRIM(Raw_Data!D740))</f>
        <v>Phone</v>
      </c>
      <c r="E740" s="2" t="n">
        <f aca="false">Raw_Data!E740</f>
        <v>2</v>
      </c>
      <c r="F740" s="4" t="n">
        <f aca="false">ROUND(Raw_Data!F740,2)</f>
        <v>485.37</v>
      </c>
      <c r="G740" s="2" t="str">
        <f aca="false">PROPER(TRIM(Raw_Data!G740))</f>
        <v>264 Main St</v>
      </c>
      <c r="H740" s="2" t="str">
        <f aca="false">PROPER(TRIM(Raw_Data!H740))</f>
        <v>Credit Card</v>
      </c>
      <c r="I740" s="2" t="str">
        <f aca="false">PROPER(TRIM(Raw_Data!I740))</f>
        <v>Shipped</v>
      </c>
      <c r="J740" s="2" t="str">
        <f aca="false">TRIM(UPPER(Raw_Data!J740))</f>
        <v>TRK44998396</v>
      </c>
      <c r="K740" s="2" t="n">
        <f aca="false">Raw_Data!K740</f>
        <v>5</v>
      </c>
      <c r="L740" s="2" t="str">
        <f aca="false">IF(TRIM(Raw_Data!L740)="","No Coupon",TRIM(UPPER(Raw_Data!L740)))</f>
        <v>SAVE10</v>
      </c>
      <c r="M740" s="2" t="str">
        <f aca="false">PROPER(TRIM(Raw_Data!M740))</f>
        <v>Email</v>
      </c>
      <c r="N740" s="4" t="n">
        <f aca="false">ROUND(E740*F740,2)</f>
        <v>970.74</v>
      </c>
      <c r="O740" s="2" t="str">
        <f aca="false">IF(COUNTIF($A$2:$A$1201,A740)&gt;1,"DUPLICATE","Unique")</f>
        <v>Unique</v>
      </c>
      <c r="P740" s="2" t="str">
        <f aca="false">IF(L740="","MISSING","OK")</f>
        <v>OK</v>
      </c>
      <c r="Q740" s="2" t="str">
        <f aca="false">IF(ISNUMBER(B740),"OK","BAD DATE")</f>
        <v>OK</v>
      </c>
      <c r="R740" s="2" t="str">
        <f aca="false">IF(ROUND(F740,2)=F740,"OK","FIX")</f>
        <v>OK</v>
      </c>
    </row>
    <row r="741" customFormat="false" ht="15" hidden="false" customHeight="false" outlineLevel="0" collapsed="false">
      <c r="A741" s="2" t="str">
        <f aca="false">TRIM(UPPER(Raw_Data!A741))</f>
        <v>ORD200739</v>
      </c>
      <c r="B741" s="3" t="n">
        <f aca="false">IF(ISNUMBER(Raw_Data!B741),Raw_Data!B741,DATEVALUE(Raw_Data!B741))</f>
        <v>45456</v>
      </c>
      <c r="C741" s="2" t="str">
        <f aca="false">TRIM(UPPER(Raw_Data!C741))</f>
        <v>C35123</v>
      </c>
      <c r="D741" s="2" t="str">
        <f aca="false">PROPER(TRIM(Raw_Data!D741))</f>
        <v>Phone</v>
      </c>
      <c r="E741" s="2" t="n">
        <f aca="false">Raw_Data!E741</f>
        <v>4</v>
      </c>
      <c r="F741" s="4" t="n">
        <f aca="false">ROUND(Raw_Data!F741,2)</f>
        <v>386.73</v>
      </c>
      <c r="G741" s="2" t="str">
        <f aca="false">PROPER(TRIM(Raw_Data!G741))</f>
        <v>513 Main St</v>
      </c>
      <c r="H741" s="2" t="str">
        <f aca="false">PROPER(TRIM(Raw_Data!H741))</f>
        <v>Cash</v>
      </c>
      <c r="I741" s="2" t="str">
        <f aca="false">PROPER(TRIM(Raw_Data!I741))</f>
        <v>Delivered</v>
      </c>
      <c r="J741" s="2" t="str">
        <f aca="false">TRIM(UPPER(Raw_Data!J741))</f>
        <v>TRK58979275</v>
      </c>
      <c r="K741" s="2" t="n">
        <f aca="false">Raw_Data!K741</f>
        <v>4</v>
      </c>
      <c r="L741" s="2" t="str">
        <f aca="false">IF(TRIM(Raw_Data!L741)="","No Coupon",TRIM(UPPER(Raw_Data!L741)))</f>
        <v>SAVE10</v>
      </c>
      <c r="M741" s="2" t="str">
        <f aca="false">PROPER(TRIM(Raw_Data!M741))</f>
        <v>Facebook</v>
      </c>
      <c r="N741" s="4" t="n">
        <f aca="false">ROUND(E741*F741,2)</f>
        <v>1546.92</v>
      </c>
      <c r="O741" s="2" t="str">
        <f aca="false">IF(COUNTIF($A$2:$A$1201,A741)&gt;1,"DUPLICATE","Unique")</f>
        <v>Unique</v>
      </c>
      <c r="P741" s="2" t="str">
        <f aca="false">IF(L741="","MISSING","OK")</f>
        <v>OK</v>
      </c>
      <c r="Q741" s="2" t="str">
        <f aca="false">IF(ISNUMBER(B741),"OK","BAD DATE")</f>
        <v>OK</v>
      </c>
      <c r="R741" s="2" t="str">
        <f aca="false">IF(ROUND(F741,2)=F741,"OK","FIX")</f>
        <v>OK</v>
      </c>
    </row>
    <row r="742" customFormat="false" ht="15" hidden="false" customHeight="false" outlineLevel="0" collapsed="false">
      <c r="A742" s="2" t="str">
        <f aca="false">TRIM(UPPER(Raw_Data!A742))</f>
        <v>ORD200740</v>
      </c>
      <c r="B742" s="3" t="n">
        <f aca="false">IF(ISNUMBER(Raw_Data!B742),Raw_Data!B742,DATEVALUE(Raw_Data!B742))</f>
        <v>45493</v>
      </c>
      <c r="C742" s="2" t="str">
        <f aca="false">TRIM(UPPER(Raw_Data!C742))</f>
        <v>C10892</v>
      </c>
      <c r="D742" s="2" t="str">
        <f aca="false">PROPER(TRIM(Raw_Data!D742))</f>
        <v>Desk</v>
      </c>
      <c r="E742" s="2" t="n">
        <f aca="false">Raw_Data!E742</f>
        <v>2</v>
      </c>
      <c r="F742" s="4" t="n">
        <f aca="false">ROUND(Raw_Data!F742,2)</f>
        <v>377.47</v>
      </c>
      <c r="G742" s="2" t="str">
        <f aca="false">PROPER(TRIM(Raw_Data!G742))</f>
        <v>433 Main St</v>
      </c>
      <c r="H742" s="2" t="str">
        <f aca="false">PROPER(TRIM(Raw_Data!H742))</f>
        <v>Cash</v>
      </c>
      <c r="I742" s="2" t="str">
        <f aca="false">PROPER(TRIM(Raw_Data!I742))</f>
        <v>Pending</v>
      </c>
      <c r="J742" s="2" t="str">
        <f aca="false">TRIM(UPPER(Raw_Data!J742))</f>
        <v>TRK76154554</v>
      </c>
      <c r="K742" s="2" t="n">
        <f aca="false">Raw_Data!K742</f>
        <v>7</v>
      </c>
      <c r="L742" s="2" t="str">
        <f aca="false">IF(TRIM(Raw_Data!L742)="","No Coupon",TRIM(UPPER(Raw_Data!L742)))</f>
        <v>No Coupon</v>
      </c>
      <c r="M742" s="2" t="str">
        <f aca="false">PROPER(TRIM(Raw_Data!M742))</f>
        <v>Google</v>
      </c>
      <c r="N742" s="4" t="n">
        <f aca="false">ROUND(E742*F742,2)</f>
        <v>754.94</v>
      </c>
      <c r="O742" s="2" t="str">
        <f aca="false">IF(COUNTIF($A$2:$A$1201,A742)&gt;1,"DUPLICATE","Unique")</f>
        <v>Unique</v>
      </c>
      <c r="P742" s="2" t="str">
        <f aca="false">IF(L742="","MISSING","OK")</f>
        <v>OK</v>
      </c>
      <c r="Q742" s="2" t="str">
        <f aca="false">IF(ISNUMBER(B742),"OK","BAD DATE")</f>
        <v>OK</v>
      </c>
      <c r="R742" s="2" t="str">
        <f aca="false">IF(ROUND(F742,2)=F742,"OK","FIX")</f>
        <v>OK</v>
      </c>
    </row>
    <row r="743" customFormat="false" ht="15" hidden="false" customHeight="false" outlineLevel="0" collapsed="false">
      <c r="A743" s="2" t="str">
        <f aca="false">TRIM(UPPER(Raw_Data!A743))</f>
        <v>ORD200741</v>
      </c>
      <c r="B743" s="3" t="n">
        <f aca="false">IF(ISNUMBER(Raw_Data!B743),Raw_Data!B743,DATEVALUE(Raw_Data!B743))</f>
        <v>45680</v>
      </c>
      <c r="C743" s="2" t="str">
        <f aca="false">TRIM(UPPER(Raw_Data!C743))</f>
        <v>C99683</v>
      </c>
      <c r="D743" s="2" t="str">
        <f aca="false">PROPER(TRIM(Raw_Data!D743))</f>
        <v>Monitor</v>
      </c>
      <c r="E743" s="2" t="n">
        <f aca="false">Raw_Data!E743</f>
        <v>5</v>
      </c>
      <c r="F743" s="4" t="n">
        <f aca="false">ROUND(Raw_Data!F743,2)</f>
        <v>332.64</v>
      </c>
      <c r="G743" s="2" t="str">
        <f aca="false">PROPER(TRIM(Raw_Data!G743))</f>
        <v>945 Main St</v>
      </c>
      <c r="H743" s="2" t="str">
        <f aca="false">PROPER(TRIM(Raw_Data!H743))</f>
        <v>Gift Card</v>
      </c>
      <c r="I743" s="2" t="str">
        <f aca="false">PROPER(TRIM(Raw_Data!I743))</f>
        <v>Delivered</v>
      </c>
      <c r="J743" s="2" t="str">
        <f aca="false">TRIM(UPPER(Raw_Data!J743))</f>
        <v>TRK87305883</v>
      </c>
      <c r="K743" s="2" t="n">
        <f aca="false">Raw_Data!K743</f>
        <v>10</v>
      </c>
      <c r="L743" s="2" t="str">
        <f aca="false">IF(TRIM(Raw_Data!L743)="","No Coupon",TRIM(UPPER(Raw_Data!L743)))</f>
        <v>No Coupon</v>
      </c>
      <c r="M743" s="2" t="str">
        <f aca="false">PROPER(TRIM(Raw_Data!M743))</f>
        <v>Referral</v>
      </c>
      <c r="N743" s="4" t="n">
        <f aca="false">ROUND(E743*F743,2)</f>
        <v>1663.2</v>
      </c>
      <c r="O743" s="2" t="str">
        <f aca="false">IF(COUNTIF($A$2:$A$1201,A743)&gt;1,"DUPLICATE","Unique")</f>
        <v>Unique</v>
      </c>
      <c r="P743" s="2" t="str">
        <f aca="false">IF(L743="","MISSING","OK")</f>
        <v>OK</v>
      </c>
      <c r="Q743" s="2" t="str">
        <f aca="false">IF(ISNUMBER(B743),"OK","BAD DATE")</f>
        <v>OK</v>
      </c>
      <c r="R743" s="2" t="str">
        <f aca="false">IF(ROUND(F743,2)=F743,"OK","FIX")</f>
        <v>OK</v>
      </c>
    </row>
    <row r="744" customFormat="false" ht="15" hidden="false" customHeight="false" outlineLevel="0" collapsed="false">
      <c r="A744" s="2" t="str">
        <f aca="false">TRIM(UPPER(Raw_Data!A744))</f>
        <v>ORD200742</v>
      </c>
      <c r="B744" s="3" t="n">
        <f aca="false">IF(ISNUMBER(Raw_Data!B744),Raw_Data!B744,DATEVALUE(Raw_Data!B744))</f>
        <v>45626</v>
      </c>
      <c r="C744" s="2" t="str">
        <f aca="false">TRIM(UPPER(Raw_Data!C744))</f>
        <v>C41974</v>
      </c>
      <c r="D744" s="2" t="str">
        <f aca="false">PROPER(TRIM(Raw_Data!D744))</f>
        <v>Laptop</v>
      </c>
      <c r="E744" s="2" t="n">
        <f aca="false">Raw_Data!E744</f>
        <v>3</v>
      </c>
      <c r="F744" s="4" t="n">
        <f aca="false">ROUND(Raw_Data!F744,2)</f>
        <v>699.93</v>
      </c>
      <c r="G744" s="2" t="str">
        <f aca="false">PROPER(TRIM(Raw_Data!G744))</f>
        <v>726 Main St</v>
      </c>
      <c r="H744" s="2" t="str">
        <f aca="false">PROPER(TRIM(Raw_Data!H744))</f>
        <v>Cash</v>
      </c>
      <c r="I744" s="2" t="str">
        <f aca="false">PROPER(TRIM(Raw_Data!I744))</f>
        <v>Returned</v>
      </c>
      <c r="J744" s="2" t="str">
        <f aca="false">TRIM(UPPER(Raw_Data!J744))</f>
        <v>TRK48051468</v>
      </c>
      <c r="K744" s="2" t="n">
        <f aca="false">Raw_Data!K744</f>
        <v>7</v>
      </c>
      <c r="L744" s="2" t="str">
        <f aca="false">IF(TRIM(Raw_Data!L744)="","No Coupon",TRIM(UPPER(Raw_Data!L744)))</f>
        <v>SAVE10</v>
      </c>
      <c r="M744" s="2" t="str">
        <f aca="false">PROPER(TRIM(Raw_Data!M744))</f>
        <v>Google</v>
      </c>
      <c r="N744" s="4" t="n">
        <f aca="false">ROUND(E744*F744,2)</f>
        <v>2099.79</v>
      </c>
      <c r="O744" s="2" t="str">
        <f aca="false">IF(COUNTIF($A$2:$A$1201,A744)&gt;1,"DUPLICATE","Unique")</f>
        <v>Unique</v>
      </c>
      <c r="P744" s="2" t="str">
        <f aca="false">IF(L744="","MISSING","OK")</f>
        <v>OK</v>
      </c>
      <c r="Q744" s="2" t="str">
        <f aca="false">IF(ISNUMBER(B744),"OK","BAD DATE")</f>
        <v>OK</v>
      </c>
      <c r="R744" s="2" t="str">
        <f aca="false">IF(ROUND(F744,2)=F744,"OK","FIX")</f>
        <v>OK</v>
      </c>
    </row>
    <row r="745" customFormat="false" ht="15" hidden="false" customHeight="false" outlineLevel="0" collapsed="false">
      <c r="A745" s="2" t="str">
        <f aca="false">TRIM(UPPER(Raw_Data!A745))</f>
        <v>ORD200743</v>
      </c>
      <c r="B745" s="3" t="n">
        <f aca="false">IF(ISNUMBER(Raw_Data!B745),Raw_Data!B745,DATEVALUE(Raw_Data!B745))</f>
        <v>45565</v>
      </c>
      <c r="C745" s="2" t="str">
        <f aca="false">TRIM(UPPER(Raw_Data!C745))</f>
        <v>C23978</v>
      </c>
      <c r="D745" s="2" t="str">
        <f aca="false">PROPER(TRIM(Raw_Data!D745))</f>
        <v>Monitor</v>
      </c>
      <c r="E745" s="2" t="n">
        <f aca="false">Raw_Data!E745</f>
        <v>1</v>
      </c>
      <c r="F745" s="4" t="n">
        <f aca="false">ROUND(Raw_Data!F745,2)</f>
        <v>576.35</v>
      </c>
      <c r="G745" s="2" t="str">
        <f aca="false">PROPER(TRIM(Raw_Data!G745))</f>
        <v>549 Main St</v>
      </c>
      <c r="H745" s="2" t="str">
        <f aca="false">PROPER(TRIM(Raw_Data!H745))</f>
        <v>Gift Card</v>
      </c>
      <c r="I745" s="2" t="str">
        <f aca="false">PROPER(TRIM(Raw_Data!I745))</f>
        <v>Returned</v>
      </c>
      <c r="J745" s="2" t="str">
        <f aca="false">TRIM(UPPER(Raw_Data!J745))</f>
        <v>TRK87090813</v>
      </c>
      <c r="K745" s="2" t="n">
        <f aca="false">Raw_Data!K745</f>
        <v>1</v>
      </c>
      <c r="L745" s="2" t="str">
        <f aca="false">IF(TRIM(Raw_Data!L745)="","No Coupon",TRIM(UPPER(Raw_Data!L745)))</f>
        <v>WINTER15</v>
      </c>
      <c r="M745" s="2" t="str">
        <f aca="false">PROPER(TRIM(Raw_Data!M745))</f>
        <v>Instagram</v>
      </c>
      <c r="N745" s="4" t="n">
        <f aca="false">ROUND(E745*F745,2)</f>
        <v>576.35</v>
      </c>
      <c r="O745" s="2" t="str">
        <f aca="false">IF(COUNTIF($A$2:$A$1201,A745)&gt;1,"DUPLICATE","Unique")</f>
        <v>Unique</v>
      </c>
      <c r="P745" s="2" t="str">
        <f aca="false">IF(L745="","MISSING","OK")</f>
        <v>OK</v>
      </c>
      <c r="Q745" s="2" t="str">
        <f aca="false">IF(ISNUMBER(B745),"OK","BAD DATE")</f>
        <v>OK</v>
      </c>
      <c r="R745" s="2" t="str">
        <f aca="false">IF(ROUND(F745,2)=F745,"OK","FIX")</f>
        <v>OK</v>
      </c>
    </row>
    <row r="746" customFormat="false" ht="15" hidden="false" customHeight="false" outlineLevel="0" collapsed="false">
      <c r="A746" s="2" t="str">
        <f aca="false">TRIM(UPPER(Raw_Data!A746))</f>
        <v>ORD200744</v>
      </c>
      <c r="B746" s="3" t="n">
        <f aca="false">IF(ISNUMBER(Raw_Data!B746),Raw_Data!B746,DATEVALUE(Raw_Data!B746))</f>
        <v>45455</v>
      </c>
      <c r="C746" s="2" t="str">
        <f aca="false">TRIM(UPPER(Raw_Data!C746))</f>
        <v>C10642</v>
      </c>
      <c r="D746" s="2" t="str">
        <f aca="false">PROPER(TRIM(Raw_Data!D746))</f>
        <v>Tablet</v>
      </c>
      <c r="E746" s="2" t="n">
        <f aca="false">Raw_Data!E746</f>
        <v>2</v>
      </c>
      <c r="F746" s="4" t="n">
        <f aca="false">ROUND(Raw_Data!F746,2)</f>
        <v>461.37</v>
      </c>
      <c r="G746" s="2" t="str">
        <f aca="false">PROPER(TRIM(Raw_Data!G746))</f>
        <v>200 Main St</v>
      </c>
      <c r="H746" s="2" t="str">
        <f aca="false">PROPER(TRIM(Raw_Data!H746))</f>
        <v>Cash</v>
      </c>
      <c r="I746" s="2" t="str">
        <f aca="false">PROPER(TRIM(Raw_Data!I746))</f>
        <v>Delivered</v>
      </c>
      <c r="J746" s="2" t="str">
        <f aca="false">TRIM(UPPER(Raw_Data!J746))</f>
        <v>TRK98725693</v>
      </c>
      <c r="K746" s="2" t="n">
        <f aca="false">Raw_Data!K746</f>
        <v>5</v>
      </c>
      <c r="L746" s="2" t="str">
        <f aca="false">IF(TRIM(Raw_Data!L746)="","No Coupon",TRIM(UPPER(Raw_Data!L746)))</f>
        <v>SAVE10</v>
      </c>
      <c r="M746" s="2" t="str">
        <f aca="false">PROPER(TRIM(Raw_Data!M746))</f>
        <v>Google</v>
      </c>
      <c r="N746" s="4" t="n">
        <f aca="false">ROUND(E746*F746,2)</f>
        <v>922.74</v>
      </c>
      <c r="O746" s="2" t="str">
        <f aca="false">IF(COUNTIF($A$2:$A$1201,A746)&gt;1,"DUPLICATE","Unique")</f>
        <v>Unique</v>
      </c>
      <c r="P746" s="2" t="str">
        <f aca="false">IF(L746="","MISSING","OK")</f>
        <v>OK</v>
      </c>
      <c r="Q746" s="2" t="str">
        <f aca="false">IF(ISNUMBER(B746),"OK","BAD DATE")</f>
        <v>OK</v>
      </c>
      <c r="R746" s="2" t="str">
        <f aca="false">IF(ROUND(F746,2)=F746,"OK","FIX")</f>
        <v>OK</v>
      </c>
    </row>
    <row r="747" customFormat="false" ht="15" hidden="false" customHeight="false" outlineLevel="0" collapsed="false">
      <c r="A747" s="2" t="str">
        <f aca="false">TRIM(UPPER(Raw_Data!A747))</f>
        <v>ORD200745</v>
      </c>
      <c r="B747" s="3" t="n">
        <f aca="false">IF(ISNUMBER(Raw_Data!B747),Raw_Data!B747,DATEVALUE(Raw_Data!B747))</f>
        <v>44987</v>
      </c>
      <c r="C747" s="2" t="str">
        <f aca="false">TRIM(UPPER(Raw_Data!C747))</f>
        <v>C73813</v>
      </c>
      <c r="D747" s="2" t="str">
        <f aca="false">PROPER(TRIM(Raw_Data!D747))</f>
        <v>Printer</v>
      </c>
      <c r="E747" s="2" t="n">
        <f aca="false">Raw_Data!E747</f>
        <v>4</v>
      </c>
      <c r="F747" s="4" t="n">
        <f aca="false">ROUND(Raw_Data!F747,2)</f>
        <v>111.3</v>
      </c>
      <c r="G747" s="2" t="str">
        <f aca="false">PROPER(TRIM(Raw_Data!G747))</f>
        <v>364 Main St</v>
      </c>
      <c r="H747" s="2" t="str">
        <f aca="false">PROPER(TRIM(Raw_Data!H747))</f>
        <v>Debit Card</v>
      </c>
      <c r="I747" s="2" t="str">
        <f aca="false">PROPER(TRIM(Raw_Data!I747))</f>
        <v>Pending</v>
      </c>
      <c r="J747" s="2" t="str">
        <f aca="false">TRIM(UPPER(Raw_Data!J747))</f>
        <v>TRK89906749</v>
      </c>
      <c r="K747" s="2" t="n">
        <f aca="false">Raw_Data!K747</f>
        <v>7</v>
      </c>
      <c r="L747" s="2" t="str">
        <f aca="false">IF(TRIM(Raw_Data!L747)="","No Coupon",TRIM(UPPER(Raw_Data!L747)))</f>
        <v>FREESHIP</v>
      </c>
      <c r="M747" s="2" t="str">
        <f aca="false">PROPER(TRIM(Raw_Data!M747))</f>
        <v>Email</v>
      </c>
      <c r="N747" s="4" t="n">
        <f aca="false">ROUND(E747*F747,2)</f>
        <v>445.2</v>
      </c>
      <c r="O747" s="2" t="str">
        <f aca="false">IF(COUNTIF($A$2:$A$1201,A747)&gt;1,"DUPLICATE","Unique")</f>
        <v>Unique</v>
      </c>
      <c r="P747" s="2" t="str">
        <f aca="false">IF(L747="","MISSING","OK")</f>
        <v>OK</v>
      </c>
      <c r="Q747" s="2" t="str">
        <f aca="false">IF(ISNUMBER(B747),"OK","BAD DATE")</f>
        <v>OK</v>
      </c>
      <c r="R747" s="2" t="str">
        <f aca="false">IF(ROUND(F747,2)=F747,"OK","FIX")</f>
        <v>OK</v>
      </c>
    </row>
    <row r="748" customFormat="false" ht="15" hidden="false" customHeight="false" outlineLevel="0" collapsed="false">
      <c r="A748" s="2" t="str">
        <f aca="false">TRIM(UPPER(Raw_Data!A748))</f>
        <v>ORD200746</v>
      </c>
      <c r="B748" s="3" t="n">
        <f aca="false">IF(ISNUMBER(Raw_Data!B748),Raw_Data!B748,DATEVALUE(Raw_Data!B748))</f>
        <v>45712</v>
      </c>
      <c r="C748" s="2" t="str">
        <f aca="false">TRIM(UPPER(Raw_Data!C748))</f>
        <v>C32183</v>
      </c>
      <c r="D748" s="2" t="str">
        <f aca="false">PROPER(TRIM(Raw_Data!D748))</f>
        <v>Desk</v>
      </c>
      <c r="E748" s="2" t="n">
        <f aca="false">Raw_Data!E748</f>
        <v>3</v>
      </c>
      <c r="F748" s="4" t="n">
        <f aca="false">ROUND(Raw_Data!F748,2)</f>
        <v>661.89</v>
      </c>
      <c r="G748" s="2" t="str">
        <f aca="false">PROPER(TRIM(Raw_Data!G748))</f>
        <v>551 Main St</v>
      </c>
      <c r="H748" s="2" t="str">
        <f aca="false">PROPER(TRIM(Raw_Data!H748))</f>
        <v>Online</v>
      </c>
      <c r="I748" s="2" t="str">
        <f aca="false">PROPER(TRIM(Raw_Data!I748))</f>
        <v>Cancelled</v>
      </c>
      <c r="J748" s="2" t="str">
        <f aca="false">TRIM(UPPER(Raw_Data!J748))</f>
        <v>TRK76287027</v>
      </c>
      <c r="K748" s="2" t="n">
        <f aca="false">Raw_Data!K748</f>
        <v>6</v>
      </c>
      <c r="L748" s="2" t="str">
        <f aca="false">IF(TRIM(Raw_Data!L748)="","No Coupon",TRIM(UPPER(Raw_Data!L748)))</f>
        <v>WINTER15</v>
      </c>
      <c r="M748" s="2" t="str">
        <f aca="false">PROPER(TRIM(Raw_Data!M748))</f>
        <v>Referral</v>
      </c>
      <c r="N748" s="4" t="n">
        <f aca="false">ROUND(E748*F748,2)</f>
        <v>1985.67</v>
      </c>
      <c r="O748" s="2" t="str">
        <f aca="false">IF(COUNTIF($A$2:$A$1201,A748)&gt;1,"DUPLICATE","Unique")</f>
        <v>Unique</v>
      </c>
      <c r="P748" s="2" t="str">
        <f aca="false">IF(L748="","MISSING","OK")</f>
        <v>OK</v>
      </c>
      <c r="Q748" s="2" t="str">
        <f aca="false">IF(ISNUMBER(B748),"OK","BAD DATE")</f>
        <v>OK</v>
      </c>
      <c r="R748" s="2" t="str">
        <f aca="false">IF(ROUND(F748,2)=F748,"OK","FIX")</f>
        <v>OK</v>
      </c>
    </row>
    <row r="749" customFormat="false" ht="15" hidden="false" customHeight="false" outlineLevel="0" collapsed="false">
      <c r="A749" s="2" t="str">
        <f aca="false">TRIM(UPPER(Raw_Data!A749))</f>
        <v>ORD200747</v>
      </c>
      <c r="B749" s="3" t="n">
        <f aca="false">IF(ISNUMBER(Raw_Data!B749),Raw_Data!B749,DATEVALUE(Raw_Data!B749))</f>
        <v>45728</v>
      </c>
      <c r="C749" s="2" t="str">
        <f aca="false">TRIM(UPPER(Raw_Data!C749))</f>
        <v>C54277</v>
      </c>
      <c r="D749" s="2" t="str">
        <f aca="false">PROPER(TRIM(Raw_Data!D749))</f>
        <v>Tablet</v>
      </c>
      <c r="E749" s="2" t="n">
        <f aca="false">Raw_Data!E749</f>
        <v>2</v>
      </c>
      <c r="F749" s="4" t="n">
        <f aca="false">ROUND(Raw_Data!F749,2)</f>
        <v>259.58</v>
      </c>
      <c r="G749" s="2" t="str">
        <f aca="false">PROPER(TRIM(Raw_Data!G749))</f>
        <v>940 Main St</v>
      </c>
      <c r="H749" s="2" t="str">
        <f aca="false">PROPER(TRIM(Raw_Data!H749))</f>
        <v>Debit Card</v>
      </c>
      <c r="I749" s="2" t="str">
        <f aca="false">PROPER(TRIM(Raw_Data!I749))</f>
        <v>Delivered</v>
      </c>
      <c r="J749" s="2" t="str">
        <f aca="false">TRIM(UPPER(Raw_Data!J749))</f>
        <v>TRK26500181</v>
      </c>
      <c r="K749" s="2" t="n">
        <f aca="false">Raw_Data!K749</f>
        <v>7</v>
      </c>
      <c r="L749" s="2" t="str">
        <f aca="false">IF(TRIM(Raw_Data!L749)="","No Coupon",TRIM(UPPER(Raw_Data!L749)))</f>
        <v>FREESHIP</v>
      </c>
      <c r="M749" s="2" t="str">
        <f aca="false">PROPER(TRIM(Raw_Data!M749))</f>
        <v>Instagram</v>
      </c>
      <c r="N749" s="4" t="n">
        <f aca="false">ROUND(E749*F749,2)</f>
        <v>519.16</v>
      </c>
      <c r="O749" s="2" t="str">
        <f aca="false">IF(COUNTIF($A$2:$A$1201,A749)&gt;1,"DUPLICATE","Unique")</f>
        <v>Unique</v>
      </c>
      <c r="P749" s="2" t="str">
        <f aca="false">IF(L749="","MISSING","OK")</f>
        <v>OK</v>
      </c>
      <c r="Q749" s="2" t="str">
        <f aca="false">IF(ISNUMBER(B749),"OK","BAD DATE")</f>
        <v>OK</v>
      </c>
      <c r="R749" s="2" t="str">
        <f aca="false">IF(ROUND(F749,2)=F749,"OK","FIX")</f>
        <v>OK</v>
      </c>
    </row>
    <row r="750" customFormat="false" ht="15" hidden="false" customHeight="false" outlineLevel="0" collapsed="false">
      <c r="A750" s="2" t="str">
        <f aca="false">TRIM(UPPER(Raw_Data!A750))</f>
        <v>ORD200748</v>
      </c>
      <c r="B750" s="3" t="n">
        <f aca="false">IF(ISNUMBER(Raw_Data!B750),Raw_Data!B750,DATEVALUE(Raw_Data!B750))</f>
        <v>45488</v>
      </c>
      <c r="C750" s="2" t="str">
        <f aca="false">TRIM(UPPER(Raw_Data!C750))</f>
        <v>C56553</v>
      </c>
      <c r="D750" s="2" t="str">
        <f aca="false">PROPER(TRIM(Raw_Data!D750))</f>
        <v>Tablet</v>
      </c>
      <c r="E750" s="2" t="n">
        <f aca="false">Raw_Data!E750</f>
        <v>3</v>
      </c>
      <c r="F750" s="4" t="n">
        <f aca="false">ROUND(Raw_Data!F750,2)</f>
        <v>70.81</v>
      </c>
      <c r="G750" s="2" t="str">
        <f aca="false">PROPER(TRIM(Raw_Data!G750))</f>
        <v>249 Main St</v>
      </c>
      <c r="H750" s="2" t="str">
        <f aca="false">PROPER(TRIM(Raw_Data!H750))</f>
        <v>Credit Card</v>
      </c>
      <c r="I750" s="2" t="str">
        <f aca="false">PROPER(TRIM(Raw_Data!I750))</f>
        <v>Shipped</v>
      </c>
      <c r="J750" s="2" t="str">
        <f aca="false">TRIM(UPPER(Raw_Data!J750))</f>
        <v>TRK37667360</v>
      </c>
      <c r="K750" s="2" t="n">
        <f aca="false">Raw_Data!K750</f>
        <v>8</v>
      </c>
      <c r="L750" s="2" t="str">
        <f aca="false">IF(TRIM(Raw_Data!L750)="","No Coupon",TRIM(UPPER(Raw_Data!L750)))</f>
        <v>FREESHIP</v>
      </c>
      <c r="M750" s="2" t="str">
        <f aca="false">PROPER(TRIM(Raw_Data!M750))</f>
        <v>Referral</v>
      </c>
      <c r="N750" s="4" t="n">
        <f aca="false">ROUND(E750*F750,2)</f>
        <v>212.43</v>
      </c>
      <c r="O750" s="2" t="str">
        <f aca="false">IF(COUNTIF($A$2:$A$1201,A750)&gt;1,"DUPLICATE","Unique")</f>
        <v>Unique</v>
      </c>
      <c r="P750" s="2" t="str">
        <f aca="false">IF(L750="","MISSING","OK")</f>
        <v>OK</v>
      </c>
      <c r="Q750" s="2" t="str">
        <f aca="false">IF(ISNUMBER(B750),"OK","BAD DATE")</f>
        <v>OK</v>
      </c>
      <c r="R750" s="2" t="str">
        <f aca="false">IF(ROUND(F750,2)=F750,"OK","FIX")</f>
        <v>OK</v>
      </c>
    </row>
    <row r="751" customFormat="false" ht="15" hidden="false" customHeight="false" outlineLevel="0" collapsed="false">
      <c r="A751" s="2" t="str">
        <f aca="false">TRIM(UPPER(Raw_Data!A751))</f>
        <v>ORD200749</v>
      </c>
      <c r="B751" s="3" t="n">
        <f aca="false">IF(ISNUMBER(Raw_Data!B751),Raw_Data!B751,DATEVALUE(Raw_Data!B751))</f>
        <v>45760</v>
      </c>
      <c r="C751" s="2" t="str">
        <f aca="false">TRIM(UPPER(Raw_Data!C751))</f>
        <v>C17551</v>
      </c>
      <c r="D751" s="2" t="str">
        <f aca="false">PROPER(TRIM(Raw_Data!D751))</f>
        <v>Laptop</v>
      </c>
      <c r="E751" s="2" t="n">
        <f aca="false">Raw_Data!E751</f>
        <v>1</v>
      </c>
      <c r="F751" s="4" t="n">
        <f aca="false">ROUND(Raw_Data!F751,2)</f>
        <v>518.39</v>
      </c>
      <c r="G751" s="2" t="str">
        <f aca="false">PROPER(TRIM(Raw_Data!G751))</f>
        <v>997 Main St</v>
      </c>
      <c r="H751" s="2" t="str">
        <f aca="false">PROPER(TRIM(Raw_Data!H751))</f>
        <v>Debit Card</v>
      </c>
      <c r="I751" s="2" t="str">
        <f aca="false">PROPER(TRIM(Raw_Data!I751))</f>
        <v>Pending</v>
      </c>
      <c r="J751" s="2" t="str">
        <f aca="false">TRIM(UPPER(Raw_Data!J751))</f>
        <v>TRK88797170</v>
      </c>
      <c r="K751" s="2" t="n">
        <f aca="false">Raw_Data!K751</f>
        <v>4</v>
      </c>
      <c r="L751" s="2" t="str">
        <f aca="false">IF(TRIM(Raw_Data!L751)="","No Coupon",TRIM(UPPER(Raw_Data!L751)))</f>
        <v>FREESHIP</v>
      </c>
      <c r="M751" s="2" t="str">
        <f aca="false">PROPER(TRIM(Raw_Data!M751))</f>
        <v>Instagram</v>
      </c>
      <c r="N751" s="4" t="n">
        <f aca="false">ROUND(E751*F751,2)</f>
        <v>518.39</v>
      </c>
      <c r="O751" s="2" t="str">
        <f aca="false">IF(COUNTIF($A$2:$A$1201,A751)&gt;1,"DUPLICATE","Unique")</f>
        <v>Unique</v>
      </c>
      <c r="P751" s="2" t="str">
        <f aca="false">IF(L751="","MISSING","OK")</f>
        <v>OK</v>
      </c>
      <c r="Q751" s="2" t="str">
        <f aca="false">IF(ISNUMBER(B751),"OK","BAD DATE")</f>
        <v>OK</v>
      </c>
      <c r="R751" s="2" t="str">
        <f aca="false">IF(ROUND(F751,2)=F751,"OK","FIX")</f>
        <v>OK</v>
      </c>
    </row>
    <row r="752" customFormat="false" ht="15" hidden="false" customHeight="false" outlineLevel="0" collapsed="false">
      <c r="A752" s="2" t="str">
        <f aca="false">TRIM(UPPER(Raw_Data!A752))</f>
        <v>ORD200750</v>
      </c>
      <c r="B752" s="3" t="n">
        <f aca="false">IF(ISNUMBER(Raw_Data!B752),Raw_Data!B752,DATEVALUE(Raw_Data!B752))</f>
        <v>44940</v>
      </c>
      <c r="C752" s="2" t="str">
        <f aca="false">TRIM(UPPER(Raw_Data!C752))</f>
        <v>C14737</v>
      </c>
      <c r="D752" s="2" t="str">
        <f aca="false">PROPER(TRIM(Raw_Data!D752))</f>
        <v>Tablet</v>
      </c>
      <c r="E752" s="2" t="n">
        <f aca="false">Raw_Data!E752</f>
        <v>4</v>
      </c>
      <c r="F752" s="4" t="n">
        <f aca="false">ROUND(Raw_Data!F752,2)</f>
        <v>145.41</v>
      </c>
      <c r="G752" s="2" t="str">
        <f aca="false">PROPER(TRIM(Raw_Data!G752))</f>
        <v>637 Main St</v>
      </c>
      <c r="H752" s="2" t="str">
        <f aca="false">PROPER(TRIM(Raw_Data!H752))</f>
        <v>Credit Card</v>
      </c>
      <c r="I752" s="2" t="str">
        <f aca="false">PROPER(TRIM(Raw_Data!I752))</f>
        <v>Returned</v>
      </c>
      <c r="J752" s="2" t="str">
        <f aca="false">TRIM(UPPER(Raw_Data!J752))</f>
        <v>TRK10295115</v>
      </c>
      <c r="K752" s="2" t="n">
        <f aca="false">Raw_Data!K752</f>
        <v>7</v>
      </c>
      <c r="L752" s="2" t="str">
        <f aca="false">IF(TRIM(Raw_Data!L752)="","No Coupon",TRIM(UPPER(Raw_Data!L752)))</f>
        <v>FREESHIP</v>
      </c>
      <c r="M752" s="2" t="str">
        <f aca="false">PROPER(TRIM(Raw_Data!M752))</f>
        <v>Email</v>
      </c>
      <c r="N752" s="4" t="n">
        <f aca="false">ROUND(E752*F752,2)</f>
        <v>581.64</v>
      </c>
      <c r="O752" s="2" t="str">
        <f aca="false">IF(COUNTIF($A$2:$A$1201,A752)&gt;1,"DUPLICATE","Unique")</f>
        <v>Unique</v>
      </c>
      <c r="P752" s="2" t="str">
        <f aca="false">IF(L752="","MISSING","OK")</f>
        <v>OK</v>
      </c>
      <c r="Q752" s="2" t="str">
        <f aca="false">IF(ISNUMBER(B752),"OK","BAD DATE")</f>
        <v>OK</v>
      </c>
      <c r="R752" s="2" t="str">
        <f aca="false">IF(ROUND(F752,2)=F752,"OK","FIX")</f>
        <v>OK</v>
      </c>
    </row>
    <row r="753" customFormat="false" ht="15" hidden="false" customHeight="false" outlineLevel="0" collapsed="false">
      <c r="A753" s="2" t="str">
        <f aca="false">TRIM(UPPER(Raw_Data!A753))</f>
        <v>ORD200751</v>
      </c>
      <c r="B753" s="3" t="n">
        <f aca="false">IF(ISNUMBER(Raw_Data!B753),Raw_Data!B753,DATEVALUE(Raw_Data!B753))</f>
        <v>44950</v>
      </c>
      <c r="C753" s="2" t="str">
        <f aca="false">TRIM(UPPER(Raw_Data!C753))</f>
        <v>C35168</v>
      </c>
      <c r="D753" s="2" t="str">
        <f aca="false">PROPER(TRIM(Raw_Data!D753))</f>
        <v>Tablet</v>
      </c>
      <c r="E753" s="2" t="n">
        <f aca="false">Raw_Data!E753</f>
        <v>2</v>
      </c>
      <c r="F753" s="4" t="n">
        <f aca="false">ROUND(Raw_Data!F753,2)</f>
        <v>599.86</v>
      </c>
      <c r="G753" s="2" t="str">
        <f aca="false">PROPER(TRIM(Raw_Data!G753))</f>
        <v>455 Main St</v>
      </c>
      <c r="H753" s="2" t="str">
        <f aca="false">PROPER(TRIM(Raw_Data!H753))</f>
        <v>Gift Card</v>
      </c>
      <c r="I753" s="2" t="str">
        <f aca="false">PROPER(TRIM(Raw_Data!I753))</f>
        <v>Pending</v>
      </c>
      <c r="J753" s="2" t="str">
        <f aca="false">TRIM(UPPER(Raw_Data!J753))</f>
        <v>TRK76960854</v>
      </c>
      <c r="K753" s="2" t="n">
        <f aca="false">Raw_Data!K753</f>
        <v>7</v>
      </c>
      <c r="L753" s="2" t="str">
        <f aca="false">IF(TRIM(Raw_Data!L753)="","No Coupon",TRIM(UPPER(Raw_Data!L753)))</f>
        <v>FREESHIP</v>
      </c>
      <c r="M753" s="2" t="str">
        <f aca="false">PROPER(TRIM(Raw_Data!M753))</f>
        <v>Facebook</v>
      </c>
      <c r="N753" s="4" t="n">
        <f aca="false">ROUND(E753*F753,2)</f>
        <v>1199.72</v>
      </c>
      <c r="O753" s="2" t="str">
        <f aca="false">IF(COUNTIF($A$2:$A$1201,A753)&gt;1,"DUPLICATE","Unique")</f>
        <v>Unique</v>
      </c>
      <c r="P753" s="2" t="str">
        <f aca="false">IF(L753="","MISSING","OK")</f>
        <v>OK</v>
      </c>
      <c r="Q753" s="2" t="str">
        <f aca="false">IF(ISNUMBER(B753),"OK","BAD DATE")</f>
        <v>OK</v>
      </c>
      <c r="R753" s="2" t="str">
        <f aca="false">IF(ROUND(F753,2)=F753,"OK","FIX")</f>
        <v>OK</v>
      </c>
    </row>
    <row r="754" customFormat="false" ht="15" hidden="false" customHeight="false" outlineLevel="0" collapsed="false">
      <c r="A754" s="2" t="str">
        <f aca="false">TRIM(UPPER(Raw_Data!A754))</f>
        <v>ORD200752</v>
      </c>
      <c r="B754" s="3" t="n">
        <f aca="false">IF(ISNUMBER(Raw_Data!B754),Raw_Data!B754,DATEVALUE(Raw_Data!B754))</f>
        <v>45568</v>
      </c>
      <c r="C754" s="2" t="str">
        <f aca="false">TRIM(UPPER(Raw_Data!C754))</f>
        <v>C82217</v>
      </c>
      <c r="D754" s="2" t="str">
        <f aca="false">PROPER(TRIM(Raw_Data!D754))</f>
        <v>Phone</v>
      </c>
      <c r="E754" s="2" t="n">
        <f aca="false">Raw_Data!E754</f>
        <v>4</v>
      </c>
      <c r="F754" s="4" t="n">
        <f aca="false">ROUND(Raw_Data!F754,2)</f>
        <v>429.37</v>
      </c>
      <c r="G754" s="2" t="str">
        <f aca="false">PROPER(TRIM(Raw_Data!G754))</f>
        <v>299 Main St</v>
      </c>
      <c r="H754" s="2" t="str">
        <f aca="false">PROPER(TRIM(Raw_Data!H754))</f>
        <v>Credit Card</v>
      </c>
      <c r="I754" s="2" t="str">
        <f aca="false">PROPER(TRIM(Raw_Data!I754))</f>
        <v>Delivered</v>
      </c>
      <c r="J754" s="2" t="str">
        <f aca="false">TRIM(UPPER(Raw_Data!J754))</f>
        <v>TRK33305694</v>
      </c>
      <c r="K754" s="2" t="n">
        <f aca="false">Raw_Data!K754</f>
        <v>8</v>
      </c>
      <c r="L754" s="2" t="str">
        <f aca="false">IF(TRIM(Raw_Data!L754)="","No Coupon",TRIM(UPPER(Raw_Data!L754)))</f>
        <v>FREESHIP</v>
      </c>
      <c r="M754" s="2" t="str">
        <f aca="false">PROPER(TRIM(Raw_Data!M754))</f>
        <v>Google</v>
      </c>
      <c r="N754" s="4" t="n">
        <f aca="false">ROUND(E754*F754,2)</f>
        <v>1717.48</v>
      </c>
      <c r="O754" s="2" t="str">
        <f aca="false">IF(COUNTIF($A$2:$A$1201,A754)&gt;1,"DUPLICATE","Unique")</f>
        <v>Unique</v>
      </c>
      <c r="P754" s="2" t="str">
        <f aca="false">IF(L754="","MISSING","OK")</f>
        <v>OK</v>
      </c>
      <c r="Q754" s="2" t="str">
        <f aca="false">IF(ISNUMBER(B754),"OK","BAD DATE")</f>
        <v>OK</v>
      </c>
      <c r="R754" s="2" t="str">
        <f aca="false">IF(ROUND(F754,2)=F754,"OK","FIX")</f>
        <v>OK</v>
      </c>
    </row>
    <row r="755" customFormat="false" ht="15" hidden="false" customHeight="false" outlineLevel="0" collapsed="false">
      <c r="A755" s="2" t="str">
        <f aca="false">TRIM(UPPER(Raw_Data!A755))</f>
        <v>ORD200753</v>
      </c>
      <c r="B755" s="3" t="n">
        <f aca="false">IF(ISNUMBER(Raw_Data!B755),Raw_Data!B755,DATEVALUE(Raw_Data!B755))</f>
        <v>45406</v>
      </c>
      <c r="C755" s="2" t="str">
        <f aca="false">TRIM(UPPER(Raw_Data!C755))</f>
        <v>C42270</v>
      </c>
      <c r="D755" s="2" t="str">
        <f aca="false">PROPER(TRIM(Raw_Data!D755))</f>
        <v>Phone</v>
      </c>
      <c r="E755" s="2" t="n">
        <f aca="false">Raw_Data!E755</f>
        <v>2</v>
      </c>
      <c r="F755" s="4" t="n">
        <f aca="false">ROUND(Raw_Data!F755,2)</f>
        <v>241.49</v>
      </c>
      <c r="G755" s="2" t="str">
        <f aca="false">PROPER(TRIM(Raw_Data!G755))</f>
        <v>864 Main St</v>
      </c>
      <c r="H755" s="2" t="str">
        <f aca="false">PROPER(TRIM(Raw_Data!H755))</f>
        <v>Debit Card</v>
      </c>
      <c r="I755" s="2" t="str">
        <f aca="false">PROPER(TRIM(Raw_Data!I755))</f>
        <v>Returned</v>
      </c>
      <c r="J755" s="2" t="str">
        <f aca="false">TRIM(UPPER(Raw_Data!J755))</f>
        <v>TRK72697796</v>
      </c>
      <c r="K755" s="2" t="n">
        <f aca="false">Raw_Data!K755</f>
        <v>7</v>
      </c>
      <c r="L755" s="2" t="str">
        <f aca="false">IF(TRIM(Raw_Data!L755)="","No Coupon",TRIM(UPPER(Raw_Data!L755)))</f>
        <v>FREESHIP</v>
      </c>
      <c r="M755" s="2" t="str">
        <f aca="false">PROPER(TRIM(Raw_Data!M755))</f>
        <v>Instagram</v>
      </c>
      <c r="N755" s="4" t="n">
        <f aca="false">ROUND(E755*F755,2)</f>
        <v>482.98</v>
      </c>
      <c r="O755" s="2" t="str">
        <f aca="false">IF(COUNTIF($A$2:$A$1201,A755)&gt;1,"DUPLICATE","Unique")</f>
        <v>Unique</v>
      </c>
      <c r="P755" s="2" t="str">
        <f aca="false">IF(L755="","MISSING","OK")</f>
        <v>OK</v>
      </c>
      <c r="Q755" s="2" t="str">
        <f aca="false">IF(ISNUMBER(B755),"OK","BAD DATE")</f>
        <v>OK</v>
      </c>
      <c r="R755" s="2" t="str">
        <f aca="false">IF(ROUND(F755,2)=F755,"OK","FIX")</f>
        <v>OK</v>
      </c>
    </row>
    <row r="756" customFormat="false" ht="15" hidden="false" customHeight="false" outlineLevel="0" collapsed="false">
      <c r="A756" s="2" t="str">
        <f aca="false">TRIM(UPPER(Raw_Data!A756))</f>
        <v>ORD200754</v>
      </c>
      <c r="B756" s="3" t="n">
        <f aca="false">IF(ISNUMBER(Raw_Data!B756),Raw_Data!B756,DATEVALUE(Raw_Data!B756))</f>
        <v>45808</v>
      </c>
      <c r="C756" s="2" t="str">
        <f aca="false">TRIM(UPPER(Raw_Data!C756))</f>
        <v>C48846</v>
      </c>
      <c r="D756" s="2" t="str">
        <f aca="false">PROPER(TRIM(Raw_Data!D756))</f>
        <v>Printer</v>
      </c>
      <c r="E756" s="2" t="n">
        <f aca="false">Raw_Data!E756</f>
        <v>2</v>
      </c>
      <c r="F756" s="4" t="n">
        <f aca="false">ROUND(Raw_Data!F756,2)</f>
        <v>452.05</v>
      </c>
      <c r="G756" s="2" t="str">
        <f aca="false">PROPER(TRIM(Raw_Data!G756))</f>
        <v>983 Main St</v>
      </c>
      <c r="H756" s="2" t="str">
        <f aca="false">PROPER(TRIM(Raw_Data!H756))</f>
        <v>Credit Card</v>
      </c>
      <c r="I756" s="2" t="str">
        <f aca="false">PROPER(TRIM(Raw_Data!I756))</f>
        <v>Returned</v>
      </c>
      <c r="J756" s="2" t="str">
        <f aca="false">TRIM(UPPER(Raw_Data!J756))</f>
        <v>TRK52804097</v>
      </c>
      <c r="K756" s="2" t="n">
        <f aca="false">Raw_Data!K756</f>
        <v>3</v>
      </c>
      <c r="L756" s="2" t="str">
        <f aca="false">IF(TRIM(Raw_Data!L756)="","No Coupon",TRIM(UPPER(Raw_Data!L756)))</f>
        <v>WINTER15</v>
      </c>
      <c r="M756" s="2" t="str">
        <f aca="false">PROPER(TRIM(Raw_Data!M756))</f>
        <v>Email</v>
      </c>
      <c r="N756" s="4" t="n">
        <f aca="false">ROUND(E756*F756,2)</f>
        <v>904.1</v>
      </c>
      <c r="O756" s="2" t="str">
        <f aca="false">IF(COUNTIF($A$2:$A$1201,A756)&gt;1,"DUPLICATE","Unique")</f>
        <v>Unique</v>
      </c>
      <c r="P756" s="2" t="str">
        <f aca="false">IF(L756="","MISSING","OK")</f>
        <v>OK</v>
      </c>
      <c r="Q756" s="2" t="str">
        <f aca="false">IF(ISNUMBER(B756),"OK","BAD DATE")</f>
        <v>OK</v>
      </c>
      <c r="R756" s="2" t="str">
        <f aca="false">IF(ROUND(F756,2)=F756,"OK","FIX")</f>
        <v>OK</v>
      </c>
    </row>
    <row r="757" customFormat="false" ht="15" hidden="false" customHeight="false" outlineLevel="0" collapsed="false">
      <c r="A757" s="2" t="str">
        <f aca="false">TRIM(UPPER(Raw_Data!A757))</f>
        <v>ORD200755</v>
      </c>
      <c r="B757" s="3" t="n">
        <f aca="false">IF(ISNUMBER(Raw_Data!B757),Raw_Data!B757,DATEVALUE(Raw_Data!B757))</f>
        <v>45090</v>
      </c>
      <c r="C757" s="2" t="str">
        <f aca="false">TRIM(UPPER(Raw_Data!C757))</f>
        <v>C54160</v>
      </c>
      <c r="D757" s="2" t="str">
        <f aca="false">PROPER(TRIM(Raw_Data!D757))</f>
        <v>Desk</v>
      </c>
      <c r="E757" s="2" t="n">
        <f aca="false">Raw_Data!E757</f>
        <v>3</v>
      </c>
      <c r="F757" s="4" t="n">
        <f aca="false">ROUND(Raw_Data!F757,2)</f>
        <v>336.71</v>
      </c>
      <c r="G757" s="2" t="str">
        <f aca="false">PROPER(TRIM(Raw_Data!G757))</f>
        <v>658 Main St</v>
      </c>
      <c r="H757" s="2" t="str">
        <f aca="false">PROPER(TRIM(Raw_Data!H757))</f>
        <v>Credit Card</v>
      </c>
      <c r="I757" s="2" t="str">
        <f aca="false">PROPER(TRIM(Raw_Data!I757))</f>
        <v>Pending</v>
      </c>
      <c r="J757" s="2" t="str">
        <f aca="false">TRIM(UPPER(Raw_Data!J757))</f>
        <v>TRK60515972</v>
      </c>
      <c r="K757" s="2" t="n">
        <f aca="false">Raw_Data!K757</f>
        <v>4</v>
      </c>
      <c r="L757" s="2" t="str">
        <f aca="false">IF(TRIM(Raw_Data!L757)="","No Coupon",TRIM(UPPER(Raw_Data!L757)))</f>
        <v>No Coupon</v>
      </c>
      <c r="M757" s="2" t="str">
        <f aca="false">PROPER(TRIM(Raw_Data!M757))</f>
        <v>Email</v>
      </c>
      <c r="N757" s="4" t="n">
        <f aca="false">ROUND(E757*F757,2)</f>
        <v>1010.13</v>
      </c>
      <c r="O757" s="2" t="str">
        <f aca="false">IF(COUNTIF($A$2:$A$1201,A757)&gt;1,"DUPLICATE","Unique")</f>
        <v>Unique</v>
      </c>
      <c r="P757" s="2" t="str">
        <f aca="false">IF(L757="","MISSING","OK")</f>
        <v>OK</v>
      </c>
      <c r="Q757" s="2" t="str">
        <f aca="false">IF(ISNUMBER(B757),"OK","BAD DATE")</f>
        <v>OK</v>
      </c>
      <c r="R757" s="2" t="str">
        <f aca="false">IF(ROUND(F757,2)=F757,"OK","FIX")</f>
        <v>OK</v>
      </c>
    </row>
    <row r="758" customFormat="false" ht="15" hidden="false" customHeight="false" outlineLevel="0" collapsed="false">
      <c r="A758" s="2" t="str">
        <f aca="false">TRIM(UPPER(Raw_Data!A758))</f>
        <v>ORD200756</v>
      </c>
      <c r="B758" s="3" t="n">
        <f aca="false">IF(ISNUMBER(Raw_Data!B758),Raw_Data!B758,DATEVALUE(Raw_Data!B758))</f>
        <v>45470</v>
      </c>
      <c r="C758" s="2" t="str">
        <f aca="false">TRIM(UPPER(Raw_Data!C758))</f>
        <v>C14080</v>
      </c>
      <c r="D758" s="2" t="str">
        <f aca="false">PROPER(TRIM(Raw_Data!D758))</f>
        <v>Phone</v>
      </c>
      <c r="E758" s="2" t="n">
        <f aca="false">Raw_Data!E758</f>
        <v>1</v>
      </c>
      <c r="F758" s="4" t="n">
        <f aca="false">ROUND(Raw_Data!F758,2)</f>
        <v>283.69</v>
      </c>
      <c r="G758" s="2" t="str">
        <f aca="false">PROPER(TRIM(Raw_Data!G758))</f>
        <v>202 Main St</v>
      </c>
      <c r="H758" s="2" t="str">
        <f aca="false">PROPER(TRIM(Raw_Data!H758))</f>
        <v>Gift Card</v>
      </c>
      <c r="I758" s="2" t="str">
        <f aca="false">PROPER(TRIM(Raw_Data!I758))</f>
        <v>Shipped</v>
      </c>
      <c r="J758" s="2" t="str">
        <f aca="false">TRIM(UPPER(Raw_Data!J758))</f>
        <v>TRK93163682</v>
      </c>
      <c r="K758" s="2" t="n">
        <f aca="false">Raw_Data!K758</f>
        <v>6</v>
      </c>
      <c r="L758" s="2" t="str">
        <f aca="false">IF(TRIM(Raw_Data!L758)="","No Coupon",TRIM(UPPER(Raw_Data!L758)))</f>
        <v>No Coupon</v>
      </c>
      <c r="M758" s="2" t="str">
        <f aca="false">PROPER(TRIM(Raw_Data!M758))</f>
        <v>Google</v>
      </c>
      <c r="N758" s="4" t="n">
        <f aca="false">ROUND(E758*F758,2)</f>
        <v>283.69</v>
      </c>
      <c r="O758" s="2" t="str">
        <f aca="false">IF(COUNTIF($A$2:$A$1201,A758)&gt;1,"DUPLICATE","Unique")</f>
        <v>Unique</v>
      </c>
      <c r="P758" s="2" t="str">
        <f aca="false">IF(L758="","MISSING","OK")</f>
        <v>OK</v>
      </c>
      <c r="Q758" s="2" t="str">
        <f aca="false">IF(ISNUMBER(B758),"OK","BAD DATE")</f>
        <v>OK</v>
      </c>
      <c r="R758" s="2" t="str">
        <f aca="false">IF(ROUND(F758,2)=F758,"OK","FIX")</f>
        <v>OK</v>
      </c>
    </row>
    <row r="759" customFormat="false" ht="15" hidden="false" customHeight="false" outlineLevel="0" collapsed="false">
      <c r="A759" s="2" t="str">
        <f aca="false">TRIM(UPPER(Raw_Data!A759))</f>
        <v>ORD200757</v>
      </c>
      <c r="B759" s="3" t="n">
        <f aca="false">IF(ISNUMBER(Raw_Data!B759),Raw_Data!B759,DATEVALUE(Raw_Data!B759))</f>
        <v>45344</v>
      </c>
      <c r="C759" s="2" t="str">
        <f aca="false">TRIM(UPPER(Raw_Data!C759))</f>
        <v>C81074</v>
      </c>
      <c r="D759" s="2" t="str">
        <f aca="false">PROPER(TRIM(Raw_Data!D759))</f>
        <v>Desk</v>
      </c>
      <c r="E759" s="2" t="n">
        <f aca="false">Raw_Data!E759</f>
        <v>1</v>
      </c>
      <c r="F759" s="4" t="n">
        <f aca="false">ROUND(Raw_Data!F759,2)</f>
        <v>157.72</v>
      </c>
      <c r="G759" s="2" t="str">
        <f aca="false">PROPER(TRIM(Raw_Data!G759))</f>
        <v>597 Main St</v>
      </c>
      <c r="H759" s="2" t="str">
        <f aca="false">PROPER(TRIM(Raw_Data!H759))</f>
        <v>Debit Card</v>
      </c>
      <c r="I759" s="2" t="str">
        <f aca="false">PROPER(TRIM(Raw_Data!I759))</f>
        <v>Delivered</v>
      </c>
      <c r="J759" s="2" t="str">
        <f aca="false">TRIM(UPPER(Raw_Data!J759))</f>
        <v>TRK91105190</v>
      </c>
      <c r="K759" s="2" t="n">
        <f aca="false">Raw_Data!K759</f>
        <v>2</v>
      </c>
      <c r="L759" s="2" t="str">
        <f aca="false">IF(TRIM(Raw_Data!L759)="","No Coupon",TRIM(UPPER(Raw_Data!L759)))</f>
        <v>FREESHIP</v>
      </c>
      <c r="M759" s="2" t="str">
        <f aca="false">PROPER(TRIM(Raw_Data!M759))</f>
        <v>Google</v>
      </c>
      <c r="N759" s="4" t="n">
        <f aca="false">ROUND(E759*F759,2)</f>
        <v>157.72</v>
      </c>
      <c r="O759" s="2" t="str">
        <f aca="false">IF(COUNTIF($A$2:$A$1201,A759)&gt;1,"DUPLICATE","Unique")</f>
        <v>Unique</v>
      </c>
      <c r="P759" s="2" t="str">
        <f aca="false">IF(L759="","MISSING","OK")</f>
        <v>OK</v>
      </c>
      <c r="Q759" s="2" t="str">
        <f aca="false">IF(ISNUMBER(B759),"OK","BAD DATE")</f>
        <v>OK</v>
      </c>
      <c r="R759" s="2" t="str">
        <f aca="false">IF(ROUND(F759,2)=F759,"OK","FIX")</f>
        <v>OK</v>
      </c>
    </row>
    <row r="760" customFormat="false" ht="15" hidden="false" customHeight="false" outlineLevel="0" collapsed="false">
      <c r="A760" s="2" t="str">
        <f aca="false">TRIM(UPPER(Raw_Data!A760))</f>
        <v>ORD200758</v>
      </c>
      <c r="B760" s="3" t="n">
        <f aca="false">IF(ISNUMBER(Raw_Data!B760),Raw_Data!B760,DATEVALUE(Raw_Data!B760))</f>
        <v>45011</v>
      </c>
      <c r="C760" s="2" t="str">
        <f aca="false">TRIM(UPPER(Raw_Data!C760))</f>
        <v>C69021</v>
      </c>
      <c r="D760" s="2" t="str">
        <f aca="false">PROPER(TRIM(Raw_Data!D760))</f>
        <v>Tablet</v>
      </c>
      <c r="E760" s="2" t="n">
        <f aca="false">Raw_Data!E760</f>
        <v>3</v>
      </c>
      <c r="F760" s="4" t="n">
        <f aca="false">ROUND(Raw_Data!F760,2)</f>
        <v>624.84</v>
      </c>
      <c r="G760" s="2" t="str">
        <f aca="false">PROPER(TRIM(Raw_Data!G760))</f>
        <v>917 Main St</v>
      </c>
      <c r="H760" s="2" t="str">
        <f aca="false">PROPER(TRIM(Raw_Data!H760))</f>
        <v>Credit Card</v>
      </c>
      <c r="I760" s="2" t="str">
        <f aca="false">PROPER(TRIM(Raw_Data!I760))</f>
        <v>Cancelled</v>
      </c>
      <c r="J760" s="2" t="str">
        <f aca="false">TRIM(UPPER(Raw_Data!J760))</f>
        <v>TRK57148510</v>
      </c>
      <c r="K760" s="2" t="n">
        <f aca="false">Raw_Data!K760</f>
        <v>8</v>
      </c>
      <c r="L760" s="2" t="str">
        <f aca="false">IF(TRIM(Raw_Data!L760)="","No Coupon",TRIM(UPPER(Raw_Data!L760)))</f>
        <v>WINTER15</v>
      </c>
      <c r="M760" s="2" t="str">
        <f aca="false">PROPER(TRIM(Raw_Data!M760))</f>
        <v>Facebook</v>
      </c>
      <c r="N760" s="4" t="n">
        <f aca="false">ROUND(E760*F760,2)</f>
        <v>1874.52</v>
      </c>
      <c r="O760" s="2" t="str">
        <f aca="false">IF(COUNTIF($A$2:$A$1201,A760)&gt;1,"DUPLICATE","Unique")</f>
        <v>Unique</v>
      </c>
      <c r="P760" s="2" t="str">
        <f aca="false">IF(L760="","MISSING","OK")</f>
        <v>OK</v>
      </c>
      <c r="Q760" s="2" t="str">
        <f aca="false">IF(ISNUMBER(B760),"OK","BAD DATE")</f>
        <v>OK</v>
      </c>
      <c r="R760" s="2" t="str">
        <f aca="false">IF(ROUND(F760,2)=F760,"OK","FIX")</f>
        <v>OK</v>
      </c>
    </row>
    <row r="761" customFormat="false" ht="15" hidden="false" customHeight="false" outlineLevel="0" collapsed="false">
      <c r="A761" s="2" t="str">
        <f aca="false">TRIM(UPPER(Raw_Data!A761))</f>
        <v>ORD200759</v>
      </c>
      <c r="B761" s="3" t="n">
        <f aca="false">IF(ISNUMBER(Raw_Data!B761),Raw_Data!B761,DATEVALUE(Raw_Data!B761))</f>
        <v>45131</v>
      </c>
      <c r="C761" s="2" t="str">
        <f aca="false">TRIM(UPPER(Raw_Data!C761))</f>
        <v>C96283</v>
      </c>
      <c r="D761" s="2" t="str">
        <f aca="false">PROPER(TRIM(Raw_Data!D761))</f>
        <v>Desk</v>
      </c>
      <c r="E761" s="2" t="n">
        <f aca="false">Raw_Data!E761</f>
        <v>3</v>
      </c>
      <c r="F761" s="4" t="n">
        <f aca="false">ROUND(Raw_Data!F761,2)</f>
        <v>308.01</v>
      </c>
      <c r="G761" s="2" t="str">
        <f aca="false">PROPER(TRIM(Raw_Data!G761))</f>
        <v>366 Main St</v>
      </c>
      <c r="H761" s="2" t="str">
        <f aca="false">PROPER(TRIM(Raw_Data!H761))</f>
        <v>Cash</v>
      </c>
      <c r="I761" s="2" t="str">
        <f aca="false">PROPER(TRIM(Raw_Data!I761))</f>
        <v>Pending</v>
      </c>
      <c r="J761" s="2" t="str">
        <f aca="false">TRIM(UPPER(Raw_Data!J761))</f>
        <v>TRK91784124</v>
      </c>
      <c r="K761" s="2" t="n">
        <f aca="false">Raw_Data!K761</f>
        <v>3</v>
      </c>
      <c r="L761" s="2" t="str">
        <f aca="false">IF(TRIM(Raw_Data!L761)="","No Coupon",TRIM(UPPER(Raw_Data!L761)))</f>
        <v>FREESHIP</v>
      </c>
      <c r="M761" s="2" t="str">
        <f aca="false">PROPER(TRIM(Raw_Data!M761))</f>
        <v>Facebook</v>
      </c>
      <c r="N761" s="4" t="n">
        <f aca="false">ROUND(E761*F761,2)</f>
        <v>924.03</v>
      </c>
      <c r="O761" s="2" t="str">
        <f aca="false">IF(COUNTIF($A$2:$A$1201,A761)&gt;1,"DUPLICATE","Unique")</f>
        <v>Unique</v>
      </c>
      <c r="P761" s="2" t="str">
        <f aca="false">IF(L761="","MISSING","OK")</f>
        <v>OK</v>
      </c>
      <c r="Q761" s="2" t="str">
        <f aca="false">IF(ISNUMBER(B761),"OK","BAD DATE")</f>
        <v>OK</v>
      </c>
      <c r="R761" s="2" t="str">
        <f aca="false">IF(ROUND(F761,2)=F761,"OK","FIX")</f>
        <v>OK</v>
      </c>
    </row>
    <row r="762" customFormat="false" ht="15" hidden="false" customHeight="false" outlineLevel="0" collapsed="false">
      <c r="A762" s="2" t="str">
        <f aca="false">TRIM(UPPER(Raw_Data!A762))</f>
        <v>ORD200760</v>
      </c>
      <c r="B762" s="3" t="n">
        <f aca="false">IF(ISNUMBER(Raw_Data!B762),Raw_Data!B762,DATEVALUE(Raw_Data!B762))</f>
        <v>45706</v>
      </c>
      <c r="C762" s="2" t="str">
        <f aca="false">TRIM(UPPER(Raw_Data!C762))</f>
        <v>C96636</v>
      </c>
      <c r="D762" s="2" t="str">
        <f aca="false">PROPER(TRIM(Raw_Data!D762))</f>
        <v>Desk</v>
      </c>
      <c r="E762" s="2" t="n">
        <f aca="false">Raw_Data!E762</f>
        <v>1</v>
      </c>
      <c r="F762" s="4" t="n">
        <f aca="false">ROUND(Raw_Data!F762,2)</f>
        <v>39.56</v>
      </c>
      <c r="G762" s="2" t="str">
        <f aca="false">PROPER(TRIM(Raw_Data!G762))</f>
        <v>283 Main St</v>
      </c>
      <c r="H762" s="2" t="str">
        <f aca="false">PROPER(TRIM(Raw_Data!H762))</f>
        <v>Debit Card</v>
      </c>
      <c r="I762" s="2" t="str">
        <f aca="false">PROPER(TRIM(Raw_Data!I762))</f>
        <v>Cancelled</v>
      </c>
      <c r="J762" s="2" t="str">
        <f aca="false">TRIM(UPPER(Raw_Data!J762))</f>
        <v>TRK73324346</v>
      </c>
      <c r="K762" s="2" t="n">
        <f aca="false">Raw_Data!K762</f>
        <v>5</v>
      </c>
      <c r="L762" s="2" t="str">
        <f aca="false">IF(TRIM(Raw_Data!L762)="","No Coupon",TRIM(UPPER(Raw_Data!L762)))</f>
        <v>No Coupon</v>
      </c>
      <c r="M762" s="2" t="str">
        <f aca="false">PROPER(TRIM(Raw_Data!M762))</f>
        <v>Google</v>
      </c>
      <c r="N762" s="4" t="n">
        <f aca="false">ROUND(E762*F762,2)</f>
        <v>39.56</v>
      </c>
      <c r="O762" s="2" t="str">
        <f aca="false">IF(COUNTIF($A$2:$A$1201,A762)&gt;1,"DUPLICATE","Unique")</f>
        <v>Unique</v>
      </c>
      <c r="P762" s="2" t="str">
        <f aca="false">IF(L762="","MISSING","OK")</f>
        <v>OK</v>
      </c>
      <c r="Q762" s="2" t="str">
        <f aca="false">IF(ISNUMBER(B762),"OK","BAD DATE")</f>
        <v>OK</v>
      </c>
      <c r="R762" s="2" t="str">
        <f aca="false">IF(ROUND(F762,2)=F762,"OK","FIX")</f>
        <v>OK</v>
      </c>
    </row>
    <row r="763" customFormat="false" ht="15" hidden="false" customHeight="false" outlineLevel="0" collapsed="false">
      <c r="A763" s="2" t="str">
        <f aca="false">TRIM(UPPER(Raw_Data!A763))</f>
        <v>ORD200761</v>
      </c>
      <c r="B763" s="3" t="n">
        <f aca="false">IF(ISNUMBER(Raw_Data!B763),Raw_Data!B763,DATEVALUE(Raw_Data!B763))</f>
        <v>45079</v>
      </c>
      <c r="C763" s="2" t="str">
        <f aca="false">TRIM(UPPER(Raw_Data!C763))</f>
        <v>C37235</v>
      </c>
      <c r="D763" s="2" t="str">
        <f aca="false">PROPER(TRIM(Raw_Data!D763))</f>
        <v>Desk</v>
      </c>
      <c r="E763" s="2" t="n">
        <f aca="false">Raw_Data!E763</f>
        <v>4</v>
      </c>
      <c r="F763" s="4" t="n">
        <f aca="false">ROUND(Raw_Data!F763,2)</f>
        <v>37.76</v>
      </c>
      <c r="G763" s="2" t="str">
        <f aca="false">PROPER(TRIM(Raw_Data!G763))</f>
        <v>217 Main St</v>
      </c>
      <c r="H763" s="2" t="str">
        <f aca="false">PROPER(TRIM(Raw_Data!H763))</f>
        <v>Debit Card</v>
      </c>
      <c r="I763" s="2" t="str">
        <f aca="false">PROPER(TRIM(Raw_Data!I763))</f>
        <v>Delivered</v>
      </c>
      <c r="J763" s="2" t="str">
        <f aca="false">TRIM(UPPER(Raw_Data!J763))</f>
        <v>TRK67789367</v>
      </c>
      <c r="K763" s="2" t="n">
        <f aca="false">Raw_Data!K763</f>
        <v>7</v>
      </c>
      <c r="L763" s="2" t="str">
        <f aca="false">IF(TRIM(Raw_Data!L763)="","No Coupon",TRIM(UPPER(Raw_Data!L763)))</f>
        <v>No Coupon</v>
      </c>
      <c r="M763" s="2" t="str">
        <f aca="false">PROPER(TRIM(Raw_Data!M763))</f>
        <v>Google</v>
      </c>
      <c r="N763" s="4" t="n">
        <f aca="false">ROUND(E763*F763,2)</f>
        <v>151.04</v>
      </c>
      <c r="O763" s="2" t="str">
        <f aca="false">IF(COUNTIF($A$2:$A$1201,A763)&gt;1,"DUPLICATE","Unique")</f>
        <v>Unique</v>
      </c>
      <c r="P763" s="2" t="str">
        <f aca="false">IF(L763="","MISSING","OK")</f>
        <v>OK</v>
      </c>
      <c r="Q763" s="2" t="str">
        <f aca="false">IF(ISNUMBER(B763),"OK","BAD DATE")</f>
        <v>OK</v>
      </c>
      <c r="R763" s="2" t="str">
        <f aca="false">IF(ROUND(F763,2)=F763,"OK","FIX")</f>
        <v>OK</v>
      </c>
    </row>
    <row r="764" customFormat="false" ht="15" hidden="false" customHeight="false" outlineLevel="0" collapsed="false">
      <c r="A764" s="2" t="str">
        <f aca="false">TRIM(UPPER(Raw_Data!A764))</f>
        <v>ORD200762</v>
      </c>
      <c r="B764" s="3" t="n">
        <f aca="false">IF(ISNUMBER(Raw_Data!B764),Raw_Data!B764,DATEVALUE(Raw_Data!B764))</f>
        <v>45552</v>
      </c>
      <c r="C764" s="2" t="str">
        <f aca="false">TRIM(UPPER(Raw_Data!C764))</f>
        <v>C12444</v>
      </c>
      <c r="D764" s="2" t="str">
        <f aca="false">PROPER(TRIM(Raw_Data!D764))</f>
        <v>Phone</v>
      </c>
      <c r="E764" s="2" t="n">
        <f aca="false">Raw_Data!E764</f>
        <v>3</v>
      </c>
      <c r="F764" s="4" t="n">
        <f aca="false">ROUND(Raw_Data!F764,2)</f>
        <v>76.96</v>
      </c>
      <c r="G764" s="2" t="str">
        <f aca="false">PROPER(TRIM(Raw_Data!G764))</f>
        <v>611 Main St</v>
      </c>
      <c r="H764" s="2" t="str">
        <f aca="false">PROPER(TRIM(Raw_Data!H764))</f>
        <v>Cash</v>
      </c>
      <c r="I764" s="2" t="str">
        <f aca="false">PROPER(TRIM(Raw_Data!I764))</f>
        <v>Returned</v>
      </c>
      <c r="J764" s="2" t="str">
        <f aca="false">TRIM(UPPER(Raw_Data!J764))</f>
        <v>TRK97621403</v>
      </c>
      <c r="K764" s="2" t="n">
        <f aca="false">Raw_Data!K764</f>
        <v>8</v>
      </c>
      <c r="L764" s="2" t="str">
        <f aca="false">IF(TRIM(Raw_Data!L764)="","No Coupon",TRIM(UPPER(Raw_Data!L764)))</f>
        <v>FREESHIP</v>
      </c>
      <c r="M764" s="2" t="str">
        <f aca="false">PROPER(TRIM(Raw_Data!M764))</f>
        <v>Email</v>
      </c>
      <c r="N764" s="4" t="n">
        <f aca="false">ROUND(E764*F764,2)</f>
        <v>230.88</v>
      </c>
      <c r="O764" s="2" t="str">
        <f aca="false">IF(COUNTIF($A$2:$A$1201,A764)&gt;1,"DUPLICATE","Unique")</f>
        <v>Unique</v>
      </c>
      <c r="P764" s="2" t="str">
        <f aca="false">IF(L764="","MISSING","OK")</f>
        <v>OK</v>
      </c>
      <c r="Q764" s="2" t="str">
        <f aca="false">IF(ISNUMBER(B764),"OK","BAD DATE")</f>
        <v>OK</v>
      </c>
      <c r="R764" s="2" t="str">
        <f aca="false">IF(ROUND(F764,2)=F764,"OK","FIX")</f>
        <v>OK</v>
      </c>
    </row>
    <row r="765" customFormat="false" ht="15" hidden="false" customHeight="false" outlineLevel="0" collapsed="false">
      <c r="A765" s="2" t="str">
        <f aca="false">TRIM(UPPER(Raw_Data!A765))</f>
        <v>ORD200763</v>
      </c>
      <c r="B765" s="3" t="n">
        <f aca="false">IF(ISNUMBER(Raw_Data!B765),Raw_Data!B765,DATEVALUE(Raw_Data!B765))</f>
        <v>45022</v>
      </c>
      <c r="C765" s="2" t="str">
        <f aca="false">TRIM(UPPER(Raw_Data!C765))</f>
        <v>C79142</v>
      </c>
      <c r="D765" s="2" t="str">
        <f aca="false">PROPER(TRIM(Raw_Data!D765))</f>
        <v>Laptop</v>
      </c>
      <c r="E765" s="2" t="n">
        <f aca="false">Raw_Data!E765</f>
        <v>1</v>
      </c>
      <c r="F765" s="4" t="n">
        <f aca="false">ROUND(Raw_Data!F765,2)</f>
        <v>569.96</v>
      </c>
      <c r="G765" s="2" t="str">
        <f aca="false">PROPER(TRIM(Raw_Data!G765))</f>
        <v>533 Main St</v>
      </c>
      <c r="H765" s="2" t="str">
        <f aca="false">PROPER(TRIM(Raw_Data!H765))</f>
        <v>Online</v>
      </c>
      <c r="I765" s="2" t="str">
        <f aca="false">PROPER(TRIM(Raw_Data!I765))</f>
        <v>Delivered</v>
      </c>
      <c r="J765" s="2" t="str">
        <f aca="false">TRIM(UPPER(Raw_Data!J765))</f>
        <v>TRK30915955</v>
      </c>
      <c r="K765" s="2" t="n">
        <f aca="false">Raw_Data!K765</f>
        <v>4</v>
      </c>
      <c r="L765" s="2" t="str">
        <f aca="false">IF(TRIM(Raw_Data!L765)="","No Coupon",TRIM(UPPER(Raw_Data!L765)))</f>
        <v>FREESHIP</v>
      </c>
      <c r="M765" s="2" t="str">
        <f aca="false">PROPER(TRIM(Raw_Data!M765))</f>
        <v>Email</v>
      </c>
      <c r="N765" s="4" t="n">
        <f aca="false">ROUND(E765*F765,2)</f>
        <v>569.96</v>
      </c>
      <c r="O765" s="2" t="str">
        <f aca="false">IF(COUNTIF($A$2:$A$1201,A765)&gt;1,"DUPLICATE","Unique")</f>
        <v>Unique</v>
      </c>
      <c r="P765" s="2" t="str">
        <f aca="false">IF(L765="","MISSING","OK")</f>
        <v>OK</v>
      </c>
      <c r="Q765" s="2" t="str">
        <f aca="false">IF(ISNUMBER(B765),"OK","BAD DATE")</f>
        <v>OK</v>
      </c>
      <c r="R765" s="2" t="str">
        <f aca="false">IF(ROUND(F765,2)=F765,"OK","FIX")</f>
        <v>OK</v>
      </c>
    </row>
    <row r="766" customFormat="false" ht="15" hidden="false" customHeight="false" outlineLevel="0" collapsed="false">
      <c r="A766" s="2" t="str">
        <f aca="false">TRIM(UPPER(Raw_Data!A766))</f>
        <v>ORD200764</v>
      </c>
      <c r="B766" s="3" t="n">
        <f aca="false">IF(ISNUMBER(Raw_Data!B766),Raw_Data!B766,DATEVALUE(Raw_Data!B766))</f>
        <v>45361</v>
      </c>
      <c r="C766" s="2" t="str">
        <f aca="false">TRIM(UPPER(Raw_Data!C766))</f>
        <v>C35983</v>
      </c>
      <c r="D766" s="2" t="str">
        <f aca="false">PROPER(TRIM(Raw_Data!D766))</f>
        <v>Laptop</v>
      </c>
      <c r="E766" s="2" t="n">
        <f aca="false">Raw_Data!E766</f>
        <v>5</v>
      </c>
      <c r="F766" s="4" t="n">
        <f aca="false">ROUND(Raw_Data!F766,2)</f>
        <v>627.43</v>
      </c>
      <c r="G766" s="2" t="str">
        <f aca="false">PROPER(TRIM(Raw_Data!G766))</f>
        <v>806 Main St</v>
      </c>
      <c r="H766" s="2" t="str">
        <f aca="false">PROPER(TRIM(Raw_Data!H766))</f>
        <v>Credit Card</v>
      </c>
      <c r="I766" s="2" t="str">
        <f aca="false">PROPER(TRIM(Raw_Data!I766))</f>
        <v>Cancelled</v>
      </c>
      <c r="J766" s="2" t="str">
        <f aca="false">TRIM(UPPER(Raw_Data!J766))</f>
        <v>TRK14016163</v>
      </c>
      <c r="K766" s="2" t="n">
        <f aca="false">Raw_Data!K766</f>
        <v>10</v>
      </c>
      <c r="L766" s="2" t="str">
        <f aca="false">IF(TRIM(Raw_Data!L766)="","No Coupon",TRIM(UPPER(Raw_Data!L766)))</f>
        <v>FREESHIP</v>
      </c>
      <c r="M766" s="2" t="str">
        <f aca="false">PROPER(TRIM(Raw_Data!M766))</f>
        <v>Email</v>
      </c>
      <c r="N766" s="4" t="n">
        <f aca="false">ROUND(E766*F766,2)</f>
        <v>3137.15</v>
      </c>
      <c r="O766" s="2" t="str">
        <f aca="false">IF(COUNTIF($A$2:$A$1201,A766)&gt;1,"DUPLICATE","Unique")</f>
        <v>Unique</v>
      </c>
      <c r="P766" s="2" t="str">
        <f aca="false">IF(L766="","MISSING","OK")</f>
        <v>OK</v>
      </c>
      <c r="Q766" s="2" t="str">
        <f aca="false">IF(ISNUMBER(B766),"OK","BAD DATE")</f>
        <v>OK</v>
      </c>
      <c r="R766" s="2" t="str">
        <f aca="false">IF(ROUND(F766,2)=F766,"OK","FIX")</f>
        <v>OK</v>
      </c>
    </row>
    <row r="767" customFormat="false" ht="15" hidden="false" customHeight="false" outlineLevel="0" collapsed="false">
      <c r="A767" s="2" t="str">
        <f aca="false">TRIM(UPPER(Raw_Data!A767))</f>
        <v>ORD200765</v>
      </c>
      <c r="B767" s="3" t="n">
        <f aca="false">IF(ISNUMBER(Raw_Data!B767),Raw_Data!B767,DATEVALUE(Raw_Data!B767))</f>
        <v>45205</v>
      </c>
      <c r="C767" s="2" t="str">
        <f aca="false">TRIM(UPPER(Raw_Data!C767))</f>
        <v>C36150</v>
      </c>
      <c r="D767" s="2" t="str">
        <f aca="false">PROPER(TRIM(Raw_Data!D767))</f>
        <v>Laptop</v>
      </c>
      <c r="E767" s="2" t="n">
        <f aca="false">Raw_Data!E767</f>
        <v>2</v>
      </c>
      <c r="F767" s="4" t="n">
        <f aca="false">ROUND(Raw_Data!F767,2)</f>
        <v>534.91</v>
      </c>
      <c r="G767" s="2" t="str">
        <f aca="false">PROPER(TRIM(Raw_Data!G767))</f>
        <v>281 Main St</v>
      </c>
      <c r="H767" s="2" t="str">
        <f aca="false">PROPER(TRIM(Raw_Data!H767))</f>
        <v>Debit Card</v>
      </c>
      <c r="I767" s="2" t="str">
        <f aca="false">PROPER(TRIM(Raw_Data!I767))</f>
        <v>Returned</v>
      </c>
      <c r="J767" s="2" t="str">
        <f aca="false">TRIM(UPPER(Raw_Data!J767))</f>
        <v>TRK96249043</v>
      </c>
      <c r="K767" s="2" t="n">
        <f aca="false">Raw_Data!K767</f>
        <v>5</v>
      </c>
      <c r="L767" s="2" t="str">
        <f aca="false">IF(TRIM(Raw_Data!L767)="","No Coupon",TRIM(UPPER(Raw_Data!L767)))</f>
        <v>SAVE10</v>
      </c>
      <c r="M767" s="2" t="str">
        <f aca="false">PROPER(TRIM(Raw_Data!M767))</f>
        <v>Google</v>
      </c>
      <c r="N767" s="4" t="n">
        <f aca="false">ROUND(E767*F767,2)</f>
        <v>1069.82</v>
      </c>
      <c r="O767" s="2" t="str">
        <f aca="false">IF(COUNTIF($A$2:$A$1201,A767)&gt;1,"DUPLICATE","Unique")</f>
        <v>Unique</v>
      </c>
      <c r="P767" s="2" t="str">
        <f aca="false">IF(L767="","MISSING","OK")</f>
        <v>OK</v>
      </c>
      <c r="Q767" s="2" t="str">
        <f aca="false">IF(ISNUMBER(B767),"OK","BAD DATE")</f>
        <v>OK</v>
      </c>
      <c r="R767" s="2" t="str">
        <f aca="false">IF(ROUND(F767,2)=F767,"OK","FIX")</f>
        <v>OK</v>
      </c>
    </row>
    <row r="768" customFormat="false" ht="15" hidden="false" customHeight="false" outlineLevel="0" collapsed="false">
      <c r="A768" s="2" t="str">
        <f aca="false">TRIM(UPPER(Raw_Data!A768))</f>
        <v>ORD200766</v>
      </c>
      <c r="B768" s="3" t="n">
        <f aca="false">IF(ISNUMBER(Raw_Data!B768),Raw_Data!B768,DATEVALUE(Raw_Data!B768))</f>
        <v>44948</v>
      </c>
      <c r="C768" s="2" t="str">
        <f aca="false">TRIM(UPPER(Raw_Data!C768))</f>
        <v>C91454</v>
      </c>
      <c r="D768" s="2" t="str">
        <f aca="false">PROPER(TRIM(Raw_Data!D768))</f>
        <v>Printer</v>
      </c>
      <c r="E768" s="2" t="n">
        <f aca="false">Raw_Data!E768</f>
        <v>2</v>
      </c>
      <c r="F768" s="4" t="n">
        <f aca="false">ROUND(Raw_Data!F768,2)</f>
        <v>278.88</v>
      </c>
      <c r="G768" s="2" t="str">
        <f aca="false">PROPER(TRIM(Raw_Data!G768))</f>
        <v>494 Main St</v>
      </c>
      <c r="H768" s="2" t="str">
        <f aca="false">PROPER(TRIM(Raw_Data!H768))</f>
        <v>Debit Card</v>
      </c>
      <c r="I768" s="2" t="str">
        <f aca="false">PROPER(TRIM(Raw_Data!I768))</f>
        <v>Pending</v>
      </c>
      <c r="J768" s="2" t="str">
        <f aca="false">TRIM(UPPER(Raw_Data!J768))</f>
        <v>TRK99985340</v>
      </c>
      <c r="K768" s="2" t="n">
        <f aca="false">Raw_Data!K768</f>
        <v>3</v>
      </c>
      <c r="L768" s="2" t="str">
        <f aca="false">IF(TRIM(Raw_Data!L768)="","No Coupon",TRIM(UPPER(Raw_Data!L768)))</f>
        <v>FREESHIP</v>
      </c>
      <c r="M768" s="2" t="str">
        <f aca="false">PROPER(TRIM(Raw_Data!M768))</f>
        <v>Referral</v>
      </c>
      <c r="N768" s="4" t="n">
        <f aca="false">ROUND(E768*F768,2)</f>
        <v>557.76</v>
      </c>
      <c r="O768" s="2" t="str">
        <f aca="false">IF(COUNTIF($A$2:$A$1201,A768)&gt;1,"DUPLICATE","Unique")</f>
        <v>Unique</v>
      </c>
      <c r="P768" s="2" t="str">
        <f aca="false">IF(L768="","MISSING","OK")</f>
        <v>OK</v>
      </c>
      <c r="Q768" s="2" t="str">
        <f aca="false">IF(ISNUMBER(B768),"OK","BAD DATE")</f>
        <v>OK</v>
      </c>
      <c r="R768" s="2" t="str">
        <f aca="false">IF(ROUND(F768,2)=F768,"OK","FIX")</f>
        <v>OK</v>
      </c>
    </row>
    <row r="769" customFormat="false" ht="15" hidden="false" customHeight="false" outlineLevel="0" collapsed="false">
      <c r="A769" s="2" t="str">
        <f aca="false">TRIM(UPPER(Raw_Data!A769))</f>
        <v>ORD200767</v>
      </c>
      <c r="B769" s="3" t="n">
        <f aca="false">IF(ISNUMBER(Raw_Data!B769),Raw_Data!B769,DATEVALUE(Raw_Data!B769))</f>
        <v>45765</v>
      </c>
      <c r="C769" s="2" t="str">
        <f aca="false">TRIM(UPPER(Raw_Data!C769))</f>
        <v>C19368</v>
      </c>
      <c r="D769" s="2" t="str">
        <f aca="false">PROPER(TRIM(Raw_Data!D769))</f>
        <v>Tablet</v>
      </c>
      <c r="E769" s="2" t="n">
        <f aca="false">Raw_Data!E769</f>
        <v>2</v>
      </c>
      <c r="F769" s="4" t="n">
        <f aca="false">ROUND(Raw_Data!F769,2)</f>
        <v>323.22</v>
      </c>
      <c r="G769" s="2" t="str">
        <f aca="false">PROPER(TRIM(Raw_Data!G769))</f>
        <v>517 Main St</v>
      </c>
      <c r="H769" s="2" t="str">
        <f aca="false">PROPER(TRIM(Raw_Data!H769))</f>
        <v>Credit Card</v>
      </c>
      <c r="I769" s="2" t="str">
        <f aca="false">PROPER(TRIM(Raw_Data!I769))</f>
        <v>Delivered</v>
      </c>
      <c r="J769" s="2" t="str">
        <f aca="false">TRIM(UPPER(Raw_Data!J769))</f>
        <v>TRK80436037</v>
      </c>
      <c r="K769" s="2" t="n">
        <f aca="false">Raw_Data!K769</f>
        <v>7</v>
      </c>
      <c r="L769" s="2" t="str">
        <f aca="false">IF(TRIM(Raw_Data!L769)="","No Coupon",TRIM(UPPER(Raw_Data!L769)))</f>
        <v>No Coupon</v>
      </c>
      <c r="M769" s="2" t="str">
        <f aca="false">PROPER(TRIM(Raw_Data!M769))</f>
        <v>Instagram</v>
      </c>
      <c r="N769" s="4" t="n">
        <f aca="false">ROUND(E769*F769,2)</f>
        <v>646.44</v>
      </c>
      <c r="O769" s="2" t="str">
        <f aca="false">IF(COUNTIF($A$2:$A$1201,A769)&gt;1,"DUPLICATE","Unique")</f>
        <v>Unique</v>
      </c>
      <c r="P769" s="2" t="str">
        <f aca="false">IF(L769="","MISSING","OK")</f>
        <v>OK</v>
      </c>
      <c r="Q769" s="2" t="str">
        <f aca="false">IF(ISNUMBER(B769),"OK","BAD DATE")</f>
        <v>OK</v>
      </c>
      <c r="R769" s="2" t="str">
        <f aca="false">IF(ROUND(F769,2)=F769,"OK","FIX")</f>
        <v>OK</v>
      </c>
    </row>
    <row r="770" customFormat="false" ht="15" hidden="false" customHeight="false" outlineLevel="0" collapsed="false">
      <c r="A770" s="2" t="str">
        <f aca="false">TRIM(UPPER(Raw_Data!A770))</f>
        <v>ORD200768</v>
      </c>
      <c r="B770" s="3" t="n">
        <f aca="false">IF(ISNUMBER(Raw_Data!B770),Raw_Data!B770,DATEVALUE(Raw_Data!B770))</f>
        <v>45173</v>
      </c>
      <c r="C770" s="2" t="str">
        <f aca="false">TRIM(UPPER(Raw_Data!C770))</f>
        <v>C35987</v>
      </c>
      <c r="D770" s="2" t="str">
        <f aca="false">PROPER(TRIM(Raw_Data!D770))</f>
        <v>Tablet</v>
      </c>
      <c r="E770" s="2" t="n">
        <f aca="false">Raw_Data!E770</f>
        <v>5</v>
      </c>
      <c r="F770" s="4" t="n">
        <f aca="false">ROUND(Raw_Data!F770,2)</f>
        <v>653.46</v>
      </c>
      <c r="G770" s="2" t="str">
        <f aca="false">PROPER(TRIM(Raw_Data!G770))</f>
        <v>165 Main St</v>
      </c>
      <c r="H770" s="2" t="str">
        <f aca="false">PROPER(TRIM(Raw_Data!H770))</f>
        <v>Cash</v>
      </c>
      <c r="I770" s="2" t="str">
        <f aca="false">PROPER(TRIM(Raw_Data!I770))</f>
        <v>Cancelled</v>
      </c>
      <c r="J770" s="2" t="str">
        <f aca="false">TRIM(UPPER(Raw_Data!J770))</f>
        <v>TRK28918815</v>
      </c>
      <c r="K770" s="2" t="n">
        <f aca="false">Raw_Data!K770</f>
        <v>9</v>
      </c>
      <c r="L770" s="2" t="str">
        <f aca="false">IF(TRIM(Raw_Data!L770)="","No Coupon",TRIM(UPPER(Raw_Data!L770)))</f>
        <v>WINTER15</v>
      </c>
      <c r="M770" s="2" t="str">
        <f aca="false">PROPER(TRIM(Raw_Data!M770))</f>
        <v>Email</v>
      </c>
      <c r="N770" s="4" t="n">
        <f aca="false">ROUND(E770*F770,2)</f>
        <v>3267.3</v>
      </c>
      <c r="O770" s="2" t="str">
        <f aca="false">IF(COUNTIF($A$2:$A$1201,A770)&gt;1,"DUPLICATE","Unique")</f>
        <v>Unique</v>
      </c>
      <c r="P770" s="2" t="str">
        <f aca="false">IF(L770="","MISSING","OK")</f>
        <v>OK</v>
      </c>
      <c r="Q770" s="2" t="str">
        <f aca="false">IF(ISNUMBER(B770),"OK","BAD DATE")</f>
        <v>OK</v>
      </c>
      <c r="R770" s="2" t="str">
        <f aca="false">IF(ROUND(F770,2)=F770,"OK","FIX")</f>
        <v>OK</v>
      </c>
    </row>
    <row r="771" customFormat="false" ht="15" hidden="false" customHeight="false" outlineLevel="0" collapsed="false">
      <c r="A771" s="2" t="str">
        <f aca="false">TRIM(UPPER(Raw_Data!A771))</f>
        <v>ORD200769</v>
      </c>
      <c r="B771" s="3" t="n">
        <f aca="false">IF(ISNUMBER(Raw_Data!B771),Raw_Data!B771,DATEVALUE(Raw_Data!B771))</f>
        <v>45113</v>
      </c>
      <c r="C771" s="2" t="str">
        <f aca="false">TRIM(UPPER(Raw_Data!C771))</f>
        <v>C13366</v>
      </c>
      <c r="D771" s="2" t="str">
        <f aca="false">PROPER(TRIM(Raw_Data!D771))</f>
        <v>Printer</v>
      </c>
      <c r="E771" s="2" t="n">
        <f aca="false">Raw_Data!E771</f>
        <v>4</v>
      </c>
      <c r="F771" s="4" t="n">
        <f aca="false">ROUND(Raw_Data!F771,2)</f>
        <v>678.55</v>
      </c>
      <c r="G771" s="2" t="str">
        <f aca="false">PROPER(TRIM(Raw_Data!G771))</f>
        <v>568 Main St</v>
      </c>
      <c r="H771" s="2" t="str">
        <f aca="false">PROPER(TRIM(Raw_Data!H771))</f>
        <v>Cash</v>
      </c>
      <c r="I771" s="2" t="str">
        <f aca="false">PROPER(TRIM(Raw_Data!I771))</f>
        <v>Delivered</v>
      </c>
      <c r="J771" s="2" t="str">
        <f aca="false">TRIM(UPPER(Raw_Data!J771))</f>
        <v>TRK98691410</v>
      </c>
      <c r="K771" s="2" t="n">
        <f aca="false">Raw_Data!K771</f>
        <v>5</v>
      </c>
      <c r="L771" s="2" t="str">
        <f aca="false">IF(TRIM(Raw_Data!L771)="","No Coupon",TRIM(UPPER(Raw_Data!L771)))</f>
        <v>No Coupon</v>
      </c>
      <c r="M771" s="2" t="str">
        <f aca="false">PROPER(TRIM(Raw_Data!M771))</f>
        <v>Email</v>
      </c>
      <c r="N771" s="4" t="n">
        <f aca="false">ROUND(E771*F771,2)</f>
        <v>2714.2</v>
      </c>
      <c r="O771" s="2" t="str">
        <f aca="false">IF(COUNTIF($A$2:$A$1201,A771)&gt;1,"DUPLICATE","Unique")</f>
        <v>Unique</v>
      </c>
      <c r="P771" s="2" t="str">
        <f aca="false">IF(L771="","MISSING","OK")</f>
        <v>OK</v>
      </c>
      <c r="Q771" s="2" t="str">
        <f aca="false">IF(ISNUMBER(B771),"OK","BAD DATE")</f>
        <v>OK</v>
      </c>
      <c r="R771" s="2" t="str">
        <f aca="false">IF(ROUND(F771,2)=F771,"OK","FIX")</f>
        <v>OK</v>
      </c>
    </row>
    <row r="772" customFormat="false" ht="15" hidden="false" customHeight="false" outlineLevel="0" collapsed="false">
      <c r="A772" s="2" t="str">
        <f aca="false">TRIM(UPPER(Raw_Data!A772))</f>
        <v>ORD200770</v>
      </c>
      <c r="B772" s="3" t="n">
        <f aca="false">IF(ISNUMBER(Raw_Data!B772),Raw_Data!B772,DATEVALUE(Raw_Data!B772))</f>
        <v>45333</v>
      </c>
      <c r="C772" s="2" t="str">
        <f aca="false">TRIM(UPPER(Raw_Data!C772))</f>
        <v>C72166</v>
      </c>
      <c r="D772" s="2" t="str">
        <f aca="false">PROPER(TRIM(Raw_Data!D772))</f>
        <v>Desk</v>
      </c>
      <c r="E772" s="2" t="n">
        <f aca="false">Raw_Data!E772</f>
        <v>1</v>
      </c>
      <c r="F772" s="4" t="n">
        <f aca="false">ROUND(Raw_Data!F772,2)</f>
        <v>314.38</v>
      </c>
      <c r="G772" s="2" t="str">
        <f aca="false">PROPER(TRIM(Raw_Data!G772))</f>
        <v>227 Main St</v>
      </c>
      <c r="H772" s="2" t="str">
        <f aca="false">PROPER(TRIM(Raw_Data!H772))</f>
        <v>Online</v>
      </c>
      <c r="I772" s="2" t="str">
        <f aca="false">PROPER(TRIM(Raw_Data!I772))</f>
        <v>Returned</v>
      </c>
      <c r="J772" s="2" t="str">
        <f aca="false">TRIM(UPPER(Raw_Data!J772))</f>
        <v>TRK67733444</v>
      </c>
      <c r="K772" s="2" t="n">
        <f aca="false">Raw_Data!K772</f>
        <v>6</v>
      </c>
      <c r="L772" s="2" t="str">
        <f aca="false">IF(TRIM(Raw_Data!L772)="","No Coupon",TRIM(UPPER(Raw_Data!L772)))</f>
        <v>No Coupon</v>
      </c>
      <c r="M772" s="2" t="str">
        <f aca="false">PROPER(TRIM(Raw_Data!M772))</f>
        <v>Google</v>
      </c>
      <c r="N772" s="4" t="n">
        <f aca="false">ROUND(E772*F772,2)</f>
        <v>314.38</v>
      </c>
      <c r="O772" s="2" t="str">
        <f aca="false">IF(COUNTIF($A$2:$A$1201,A772)&gt;1,"DUPLICATE","Unique")</f>
        <v>Unique</v>
      </c>
      <c r="P772" s="2" t="str">
        <f aca="false">IF(L772="","MISSING","OK")</f>
        <v>OK</v>
      </c>
      <c r="Q772" s="2" t="str">
        <f aca="false">IF(ISNUMBER(B772),"OK","BAD DATE")</f>
        <v>OK</v>
      </c>
      <c r="R772" s="2" t="str">
        <f aca="false">IF(ROUND(F772,2)=F772,"OK","FIX")</f>
        <v>OK</v>
      </c>
    </row>
    <row r="773" customFormat="false" ht="15" hidden="false" customHeight="false" outlineLevel="0" collapsed="false">
      <c r="A773" s="2" t="str">
        <f aca="false">TRIM(UPPER(Raw_Data!A773))</f>
        <v>ORD200771</v>
      </c>
      <c r="B773" s="3" t="n">
        <f aca="false">IF(ISNUMBER(Raw_Data!B773),Raw_Data!B773,DATEVALUE(Raw_Data!B773))</f>
        <v>45455</v>
      </c>
      <c r="C773" s="2" t="str">
        <f aca="false">TRIM(UPPER(Raw_Data!C773))</f>
        <v>C20357</v>
      </c>
      <c r="D773" s="2" t="str">
        <f aca="false">PROPER(TRIM(Raw_Data!D773))</f>
        <v>Phone</v>
      </c>
      <c r="E773" s="2" t="n">
        <f aca="false">Raw_Data!E773</f>
        <v>3</v>
      </c>
      <c r="F773" s="4" t="n">
        <f aca="false">ROUND(Raw_Data!F773,2)</f>
        <v>692.44</v>
      </c>
      <c r="G773" s="2" t="str">
        <f aca="false">PROPER(TRIM(Raw_Data!G773))</f>
        <v>272 Main St</v>
      </c>
      <c r="H773" s="2" t="str">
        <f aca="false">PROPER(TRIM(Raw_Data!H773))</f>
        <v>Debit Card</v>
      </c>
      <c r="I773" s="2" t="str">
        <f aca="false">PROPER(TRIM(Raw_Data!I773))</f>
        <v>Cancelled</v>
      </c>
      <c r="J773" s="2" t="str">
        <f aca="false">TRIM(UPPER(Raw_Data!J773))</f>
        <v>TRK82236408</v>
      </c>
      <c r="K773" s="2" t="n">
        <f aca="false">Raw_Data!K773</f>
        <v>8</v>
      </c>
      <c r="L773" s="2" t="str">
        <f aca="false">IF(TRIM(Raw_Data!L773)="","No Coupon",TRIM(UPPER(Raw_Data!L773)))</f>
        <v>FREESHIP</v>
      </c>
      <c r="M773" s="2" t="str">
        <f aca="false">PROPER(TRIM(Raw_Data!M773))</f>
        <v>Google</v>
      </c>
      <c r="N773" s="4" t="n">
        <f aca="false">ROUND(E773*F773,2)</f>
        <v>2077.32</v>
      </c>
      <c r="O773" s="2" t="str">
        <f aca="false">IF(COUNTIF($A$2:$A$1201,A773)&gt;1,"DUPLICATE","Unique")</f>
        <v>Unique</v>
      </c>
      <c r="P773" s="2" t="str">
        <f aca="false">IF(L773="","MISSING","OK")</f>
        <v>OK</v>
      </c>
      <c r="Q773" s="2" t="str">
        <f aca="false">IF(ISNUMBER(B773),"OK","BAD DATE")</f>
        <v>OK</v>
      </c>
      <c r="R773" s="2" t="str">
        <f aca="false">IF(ROUND(F773,2)=F773,"OK","FIX")</f>
        <v>OK</v>
      </c>
    </row>
    <row r="774" customFormat="false" ht="15" hidden="false" customHeight="false" outlineLevel="0" collapsed="false">
      <c r="A774" s="2" t="str">
        <f aca="false">TRIM(UPPER(Raw_Data!A774))</f>
        <v>ORD200772</v>
      </c>
      <c r="B774" s="3" t="n">
        <f aca="false">IF(ISNUMBER(Raw_Data!B774),Raw_Data!B774,DATEVALUE(Raw_Data!B774))</f>
        <v>45501</v>
      </c>
      <c r="C774" s="2" t="str">
        <f aca="false">TRIM(UPPER(Raw_Data!C774))</f>
        <v>C33802</v>
      </c>
      <c r="D774" s="2" t="str">
        <f aca="false">PROPER(TRIM(Raw_Data!D774))</f>
        <v>Monitor</v>
      </c>
      <c r="E774" s="2" t="n">
        <f aca="false">Raw_Data!E774</f>
        <v>1</v>
      </c>
      <c r="F774" s="4" t="n">
        <f aca="false">ROUND(Raw_Data!F774,2)</f>
        <v>604.87</v>
      </c>
      <c r="G774" s="2" t="str">
        <f aca="false">PROPER(TRIM(Raw_Data!G774))</f>
        <v>461 Main St</v>
      </c>
      <c r="H774" s="2" t="str">
        <f aca="false">PROPER(TRIM(Raw_Data!H774))</f>
        <v>Online</v>
      </c>
      <c r="I774" s="2" t="str">
        <f aca="false">PROPER(TRIM(Raw_Data!I774))</f>
        <v>Delivered</v>
      </c>
      <c r="J774" s="2" t="str">
        <f aca="false">TRIM(UPPER(Raw_Data!J774))</f>
        <v>TRK25799478</v>
      </c>
      <c r="K774" s="2" t="n">
        <f aca="false">Raw_Data!K774</f>
        <v>4</v>
      </c>
      <c r="L774" s="2" t="str">
        <f aca="false">IF(TRIM(Raw_Data!L774)="","No Coupon",TRIM(UPPER(Raw_Data!L774)))</f>
        <v>No Coupon</v>
      </c>
      <c r="M774" s="2" t="str">
        <f aca="false">PROPER(TRIM(Raw_Data!M774))</f>
        <v>Instagram</v>
      </c>
      <c r="N774" s="4" t="n">
        <f aca="false">ROUND(E774*F774,2)</f>
        <v>604.87</v>
      </c>
      <c r="O774" s="2" t="str">
        <f aca="false">IF(COUNTIF($A$2:$A$1201,A774)&gt;1,"DUPLICATE","Unique")</f>
        <v>Unique</v>
      </c>
      <c r="P774" s="2" t="str">
        <f aca="false">IF(L774="","MISSING","OK")</f>
        <v>OK</v>
      </c>
      <c r="Q774" s="2" t="str">
        <f aca="false">IF(ISNUMBER(B774),"OK","BAD DATE")</f>
        <v>OK</v>
      </c>
      <c r="R774" s="2" t="str">
        <f aca="false">IF(ROUND(F774,2)=F774,"OK","FIX")</f>
        <v>OK</v>
      </c>
    </row>
    <row r="775" customFormat="false" ht="15" hidden="false" customHeight="false" outlineLevel="0" collapsed="false">
      <c r="A775" s="2" t="str">
        <f aca="false">TRIM(UPPER(Raw_Data!A775))</f>
        <v>ORD200773</v>
      </c>
      <c r="B775" s="3" t="n">
        <f aca="false">IF(ISNUMBER(Raw_Data!B775),Raw_Data!B775,DATEVALUE(Raw_Data!B775))</f>
        <v>45836</v>
      </c>
      <c r="C775" s="2" t="str">
        <f aca="false">TRIM(UPPER(Raw_Data!C775))</f>
        <v>C99205</v>
      </c>
      <c r="D775" s="2" t="str">
        <f aca="false">PROPER(TRIM(Raw_Data!D775))</f>
        <v>Phone</v>
      </c>
      <c r="E775" s="2" t="n">
        <f aca="false">Raw_Data!E775</f>
        <v>2</v>
      </c>
      <c r="F775" s="4" t="n">
        <f aca="false">ROUND(Raw_Data!F775,2)</f>
        <v>512.33</v>
      </c>
      <c r="G775" s="2" t="str">
        <f aca="false">PROPER(TRIM(Raw_Data!G775))</f>
        <v>415 Main St</v>
      </c>
      <c r="H775" s="2" t="str">
        <f aca="false">PROPER(TRIM(Raw_Data!H775))</f>
        <v>Cash</v>
      </c>
      <c r="I775" s="2" t="str">
        <f aca="false">PROPER(TRIM(Raw_Data!I775))</f>
        <v>Cancelled</v>
      </c>
      <c r="J775" s="2" t="str">
        <f aca="false">TRIM(UPPER(Raw_Data!J775))</f>
        <v>TRK48904015</v>
      </c>
      <c r="K775" s="2" t="n">
        <f aca="false">Raw_Data!K775</f>
        <v>7</v>
      </c>
      <c r="L775" s="2" t="str">
        <f aca="false">IF(TRIM(Raw_Data!L775)="","No Coupon",TRIM(UPPER(Raw_Data!L775)))</f>
        <v>No Coupon</v>
      </c>
      <c r="M775" s="2" t="str">
        <f aca="false">PROPER(TRIM(Raw_Data!M775))</f>
        <v>Facebook</v>
      </c>
      <c r="N775" s="4" t="n">
        <f aca="false">ROUND(E775*F775,2)</f>
        <v>1024.66</v>
      </c>
      <c r="O775" s="2" t="str">
        <f aca="false">IF(COUNTIF($A$2:$A$1201,A775)&gt;1,"DUPLICATE","Unique")</f>
        <v>Unique</v>
      </c>
      <c r="P775" s="2" t="str">
        <f aca="false">IF(L775="","MISSING","OK")</f>
        <v>OK</v>
      </c>
      <c r="Q775" s="2" t="str">
        <f aca="false">IF(ISNUMBER(B775),"OK","BAD DATE")</f>
        <v>OK</v>
      </c>
      <c r="R775" s="2" t="str">
        <f aca="false">IF(ROUND(F775,2)=F775,"OK","FIX")</f>
        <v>OK</v>
      </c>
    </row>
    <row r="776" customFormat="false" ht="15" hidden="false" customHeight="false" outlineLevel="0" collapsed="false">
      <c r="A776" s="2" t="str">
        <f aca="false">TRIM(UPPER(Raw_Data!A776))</f>
        <v>ORD200774</v>
      </c>
      <c r="B776" s="3" t="n">
        <f aca="false">IF(ISNUMBER(Raw_Data!B776),Raw_Data!B776,DATEVALUE(Raw_Data!B776))</f>
        <v>45762</v>
      </c>
      <c r="C776" s="2" t="str">
        <f aca="false">TRIM(UPPER(Raw_Data!C776))</f>
        <v>C29701</v>
      </c>
      <c r="D776" s="2" t="str">
        <f aca="false">PROPER(TRIM(Raw_Data!D776))</f>
        <v>Chair</v>
      </c>
      <c r="E776" s="2" t="n">
        <f aca="false">Raw_Data!E776</f>
        <v>3</v>
      </c>
      <c r="F776" s="4" t="n">
        <f aca="false">ROUND(Raw_Data!F776,2)</f>
        <v>20.54</v>
      </c>
      <c r="G776" s="2" t="str">
        <f aca="false">PROPER(TRIM(Raw_Data!G776))</f>
        <v>257 Main St</v>
      </c>
      <c r="H776" s="2" t="str">
        <f aca="false">PROPER(TRIM(Raw_Data!H776))</f>
        <v>Credit Card</v>
      </c>
      <c r="I776" s="2" t="str">
        <f aca="false">PROPER(TRIM(Raw_Data!I776))</f>
        <v>Cancelled</v>
      </c>
      <c r="J776" s="2" t="str">
        <f aca="false">TRIM(UPPER(Raw_Data!J776))</f>
        <v>TRK42266846</v>
      </c>
      <c r="K776" s="2" t="n">
        <f aca="false">Raw_Data!K776</f>
        <v>3</v>
      </c>
      <c r="L776" s="2" t="str">
        <f aca="false">IF(TRIM(Raw_Data!L776)="","No Coupon",TRIM(UPPER(Raw_Data!L776)))</f>
        <v>FREESHIP</v>
      </c>
      <c r="M776" s="2" t="str">
        <f aca="false">PROPER(TRIM(Raw_Data!M776))</f>
        <v>Instagram</v>
      </c>
      <c r="N776" s="4" t="n">
        <f aca="false">ROUND(E776*F776,2)</f>
        <v>61.62</v>
      </c>
      <c r="O776" s="2" t="str">
        <f aca="false">IF(COUNTIF($A$2:$A$1201,A776)&gt;1,"DUPLICATE","Unique")</f>
        <v>Unique</v>
      </c>
      <c r="P776" s="2" t="str">
        <f aca="false">IF(L776="","MISSING","OK")</f>
        <v>OK</v>
      </c>
      <c r="Q776" s="2" t="str">
        <f aca="false">IF(ISNUMBER(B776),"OK","BAD DATE")</f>
        <v>OK</v>
      </c>
      <c r="R776" s="2" t="str">
        <f aca="false">IF(ROUND(F776,2)=F776,"OK","FIX")</f>
        <v>OK</v>
      </c>
    </row>
    <row r="777" customFormat="false" ht="15" hidden="false" customHeight="false" outlineLevel="0" collapsed="false">
      <c r="A777" s="2" t="str">
        <f aca="false">TRIM(UPPER(Raw_Data!A777))</f>
        <v>ORD200775</v>
      </c>
      <c r="B777" s="3" t="n">
        <f aca="false">IF(ISNUMBER(Raw_Data!B777),Raw_Data!B777,DATEVALUE(Raw_Data!B777))</f>
        <v>44989</v>
      </c>
      <c r="C777" s="2" t="str">
        <f aca="false">TRIM(UPPER(Raw_Data!C777))</f>
        <v>C73941</v>
      </c>
      <c r="D777" s="2" t="str">
        <f aca="false">PROPER(TRIM(Raw_Data!D777))</f>
        <v>Phone</v>
      </c>
      <c r="E777" s="2" t="n">
        <f aca="false">Raw_Data!E777</f>
        <v>2</v>
      </c>
      <c r="F777" s="4" t="n">
        <f aca="false">ROUND(Raw_Data!F777,2)</f>
        <v>625.22</v>
      </c>
      <c r="G777" s="2" t="str">
        <f aca="false">PROPER(TRIM(Raw_Data!G777))</f>
        <v>569 Main St</v>
      </c>
      <c r="H777" s="2" t="str">
        <f aca="false">PROPER(TRIM(Raw_Data!H777))</f>
        <v>Online</v>
      </c>
      <c r="I777" s="2" t="str">
        <f aca="false">PROPER(TRIM(Raw_Data!I777))</f>
        <v>Cancelled</v>
      </c>
      <c r="J777" s="2" t="str">
        <f aca="false">TRIM(UPPER(Raw_Data!J777))</f>
        <v>TRK22051900</v>
      </c>
      <c r="K777" s="2" t="n">
        <f aca="false">Raw_Data!K777</f>
        <v>5</v>
      </c>
      <c r="L777" s="2" t="str">
        <f aca="false">IF(TRIM(Raw_Data!L777)="","No Coupon",TRIM(UPPER(Raw_Data!L777)))</f>
        <v>No Coupon</v>
      </c>
      <c r="M777" s="2" t="str">
        <f aca="false">PROPER(TRIM(Raw_Data!M777))</f>
        <v>Google</v>
      </c>
      <c r="N777" s="4" t="n">
        <f aca="false">ROUND(E777*F777,2)</f>
        <v>1250.44</v>
      </c>
      <c r="O777" s="2" t="str">
        <f aca="false">IF(COUNTIF($A$2:$A$1201,A777)&gt;1,"DUPLICATE","Unique")</f>
        <v>Unique</v>
      </c>
      <c r="P777" s="2" t="str">
        <f aca="false">IF(L777="","MISSING","OK")</f>
        <v>OK</v>
      </c>
      <c r="Q777" s="2" t="str">
        <f aca="false">IF(ISNUMBER(B777),"OK","BAD DATE")</f>
        <v>OK</v>
      </c>
      <c r="R777" s="2" t="str">
        <f aca="false">IF(ROUND(F777,2)=F777,"OK","FIX")</f>
        <v>OK</v>
      </c>
    </row>
    <row r="778" customFormat="false" ht="15" hidden="false" customHeight="false" outlineLevel="0" collapsed="false">
      <c r="A778" s="2" t="str">
        <f aca="false">TRIM(UPPER(Raw_Data!A778))</f>
        <v>ORD200776</v>
      </c>
      <c r="B778" s="3" t="n">
        <f aca="false">IF(ISNUMBER(Raw_Data!B778),Raw_Data!B778,DATEVALUE(Raw_Data!B778))</f>
        <v>45159</v>
      </c>
      <c r="C778" s="2" t="str">
        <f aca="false">TRIM(UPPER(Raw_Data!C778))</f>
        <v>C69168</v>
      </c>
      <c r="D778" s="2" t="str">
        <f aca="false">PROPER(TRIM(Raw_Data!D778))</f>
        <v>Tablet</v>
      </c>
      <c r="E778" s="2" t="n">
        <f aca="false">Raw_Data!E778</f>
        <v>1</v>
      </c>
      <c r="F778" s="4" t="n">
        <f aca="false">ROUND(Raw_Data!F778,2)</f>
        <v>21.19</v>
      </c>
      <c r="G778" s="2" t="str">
        <f aca="false">PROPER(TRIM(Raw_Data!G778))</f>
        <v>482 Main St</v>
      </c>
      <c r="H778" s="2" t="str">
        <f aca="false">PROPER(TRIM(Raw_Data!H778))</f>
        <v>Cash</v>
      </c>
      <c r="I778" s="2" t="str">
        <f aca="false">PROPER(TRIM(Raw_Data!I778))</f>
        <v>Returned</v>
      </c>
      <c r="J778" s="2" t="str">
        <f aca="false">TRIM(UPPER(Raw_Data!J778))</f>
        <v>TRK10446197</v>
      </c>
      <c r="K778" s="2" t="n">
        <f aca="false">Raw_Data!K778</f>
        <v>5</v>
      </c>
      <c r="L778" s="2" t="str">
        <f aca="false">IF(TRIM(Raw_Data!L778)="","No Coupon",TRIM(UPPER(Raw_Data!L778)))</f>
        <v>WINTER15</v>
      </c>
      <c r="M778" s="2" t="str">
        <f aca="false">PROPER(TRIM(Raw_Data!M778))</f>
        <v>Google</v>
      </c>
      <c r="N778" s="4" t="n">
        <f aca="false">ROUND(E778*F778,2)</f>
        <v>21.19</v>
      </c>
      <c r="O778" s="2" t="str">
        <f aca="false">IF(COUNTIF($A$2:$A$1201,A778)&gt;1,"DUPLICATE","Unique")</f>
        <v>Unique</v>
      </c>
      <c r="P778" s="2" t="str">
        <f aca="false">IF(L778="","MISSING","OK")</f>
        <v>OK</v>
      </c>
      <c r="Q778" s="2" t="str">
        <f aca="false">IF(ISNUMBER(B778),"OK","BAD DATE")</f>
        <v>OK</v>
      </c>
      <c r="R778" s="2" t="str">
        <f aca="false">IF(ROUND(F778,2)=F778,"OK","FIX")</f>
        <v>OK</v>
      </c>
    </row>
    <row r="779" customFormat="false" ht="15" hidden="false" customHeight="false" outlineLevel="0" collapsed="false">
      <c r="A779" s="2" t="str">
        <f aca="false">TRIM(UPPER(Raw_Data!A779))</f>
        <v>ORD200777</v>
      </c>
      <c r="B779" s="3" t="n">
        <f aca="false">IF(ISNUMBER(Raw_Data!B779),Raw_Data!B779,DATEVALUE(Raw_Data!B779))</f>
        <v>45737</v>
      </c>
      <c r="C779" s="2" t="str">
        <f aca="false">TRIM(UPPER(Raw_Data!C779))</f>
        <v>C66116</v>
      </c>
      <c r="D779" s="2" t="str">
        <f aca="false">PROPER(TRIM(Raw_Data!D779))</f>
        <v>Chair</v>
      </c>
      <c r="E779" s="2" t="n">
        <f aca="false">Raw_Data!E779</f>
        <v>5</v>
      </c>
      <c r="F779" s="4" t="n">
        <f aca="false">ROUND(Raw_Data!F779,2)</f>
        <v>64.49</v>
      </c>
      <c r="G779" s="2" t="str">
        <f aca="false">PROPER(TRIM(Raw_Data!G779))</f>
        <v>633 Main St</v>
      </c>
      <c r="H779" s="2" t="str">
        <f aca="false">PROPER(TRIM(Raw_Data!H779))</f>
        <v>Online</v>
      </c>
      <c r="I779" s="2" t="str">
        <f aca="false">PROPER(TRIM(Raw_Data!I779))</f>
        <v>Cancelled</v>
      </c>
      <c r="J779" s="2" t="str">
        <f aca="false">TRIM(UPPER(Raw_Data!J779))</f>
        <v>TRK41967983</v>
      </c>
      <c r="K779" s="2" t="n">
        <f aca="false">Raw_Data!K779</f>
        <v>7</v>
      </c>
      <c r="L779" s="2" t="str">
        <f aca="false">IF(TRIM(Raw_Data!L779)="","No Coupon",TRIM(UPPER(Raw_Data!L779)))</f>
        <v>No Coupon</v>
      </c>
      <c r="M779" s="2" t="str">
        <f aca="false">PROPER(TRIM(Raw_Data!M779))</f>
        <v>Facebook</v>
      </c>
      <c r="N779" s="4" t="n">
        <f aca="false">ROUND(E779*F779,2)</f>
        <v>322.45</v>
      </c>
      <c r="O779" s="2" t="str">
        <f aca="false">IF(COUNTIF($A$2:$A$1201,A779)&gt;1,"DUPLICATE","Unique")</f>
        <v>Unique</v>
      </c>
      <c r="P779" s="2" t="str">
        <f aca="false">IF(L779="","MISSING","OK")</f>
        <v>OK</v>
      </c>
      <c r="Q779" s="2" t="str">
        <f aca="false">IF(ISNUMBER(B779),"OK","BAD DATE")</f>
        <v>OK</v>
      </c>
      <c r="R779" s="2" t="str">
        <f aca="false">IF(ROUND(F779,2)=F779,"OK","FIX")</f>
        <v>OK</v>
      </c>
    </row>
    <row r="780" customFormat="false" ht="15" hidden="false" customHeight="false" outlineLevel="0" collapsed="false">
      <c r="A780" s="2" t="str">
        <f aca="false">TRIM(UPPER(Raw_Data!A780))</f>
        <v>ORD200778</v>
      </c>
      <c r="B780" s="3" t="n">
        <f aca="false">IF(ISNUMBER(Raw_Data!B780),Raw_Data!B780,DATEVALUE(Raw_Data!B780))</f>
        <v>45044</v>
      </c>
      <c r="C780" s="2" t="str">
        <f aca="false">TRIM(UPPER(Raw_Data!C780))</f>
        <v>C85059</v>
      </c>
      <c r="D780" s="2" t="str">
        <f aca="false">PROPER(TRIM(Raw_Data!D780))</f>
        <v>Laptop</v>
      </c>
      <c r="E780" s="2" t="n">
        <f aca="false">Raw_Data!E780</f>
        <v>4</v>
      </c>
      <c r="F780" s="4" t="n">
        <f aca="false">ROUND(Raw_Data!F780,2)</f>
        <v>246.85</v>
      </c>
      <c r="G780" s="2" t="str">
        <f aca="false">PROPER(TRIM(Raw_Data!G780))</f>
        <v>316 Main St</v>
      </c>
      <c r="H780" s="2" t="str">
        <f aca="false">PROPER(TRIM(Raw_Data!H780))</f>
        <v>Credit Card</v>
      </c>
      <c r="I780" s="2" t="str">
        <f aca="false">PROPER(TRIM(Raw_Data!I780))</f>
        <v>Shipped</v>
      </c>
      <c r="J780" s="2" t="str">
        <f aca="false">TRIM(UPPER(Raw_Data!J780))</f>
        <v>TRK56503740</v>
      </c>
      <c r="K780" s="2" t="n">
        <f aca="false">Raw_Data!K780</f>
        <v>8</v>
      </c>
      <c r="L780" s="2" t="str">
        <f aca="false">IF(TRIM(Raw_Data!L780)="","No Coupon",TRIM(UPPER(Raw_Data!L780)))</f>
        <v>WINTER15</v>
      </c>
      <c r="M780" s="2" t="str">
        <f aca="false">PROPER(TRIM(Raw_Data!M780))</f>
        <v>Google</v>
      </c>
      <c r="N780" s="4" t="n">
        <f aca="false">ROUND(E780*F780,2)</f>
        <v>987.4</v>
      </c>
      <c r="O780" s="2" t="str">
        <f aca="false">IF(COUNTIF($A$2:$A$1201,A780)&gt;1,"DUPLICATE","Unique")</f>
        <v>Unique</v>
      </c>
      <c r="P780" s="2" t="str">
        <f aca="false">IF(L780="","MISSING","OK")</f>
        <v>OK</v>
      </c>
      <c r="Q780" s="2" t="str">
        <f aca="false">IF(ISNUMBER(B780),"OK","BAD DATE")</f>
        <v>OK</v>
      </c>
      <c r="R780" s="2" t="str">
        <f aca="false">IF(ROUND(F780,2)=F780,"OK","FIX")</f>
        <v>OK</v>
      </c>
    </row>
    <row r="781" customFormat="false" ht="15" hidden="false" customHeight="false" outlineLevel="0" collapsed="false">
      <c r="A781" s="2" t="str">
        <f aca="false">TRIM(UPPER(Raw_Data!A781))</f>
        <v>ORD200779</v>
      </c>
      <c r="B781" s="3" t="n">
        <f aca="false">IF(ISNUMBER(Raw_Data!B781),Raw_Data!B781,DATEVALUE(Raw_Data!B781))</f>
        <v>45261</v>
      </c>
      <c r="C781" s="2" t="str">
        <f aca="false">TRIM(UPPER(Raw_Data!C781))</f>
        <v>C18076</v>
      </c>
      <c r="D781" s="2" t="str">
        <f aca="false">PROPER(TRIM(Raw_Data!D781))</f>
        <v>Phone</v>
      </c>
      <c r="E781" s="2" t="n">
        <f aca="false">Raw_Data!E781</f>
        <v>3</v>
      </c>
      <c r="F781" s="4" t="n">
        <f aca="false">ROUND(Raw_Data!F781,2)</f>
        <v>588.74</v>
      </c>
      <c r="G781" s="2" t="str">
        <f aca="false">PROPER(TRIM(Raw_Data!G781))</f>
        <v>751 Main St</v>
      </c>
      <c r="H781" s="2" t="str">
        <f aca="false">PROPER(TRIM(Raw_Data!H781))</f>
        <v>Debit Card</v>
      </c>
      <c r="I781" s="2" t="str">
        <f aca="false">PROPER(TRIM(Raw_Data!I781))</f>
        <v>Pending</v>
      </c>
      <c r="J781" s="2" t="str">
        <f aca="false">TRIM(UPPER(Raw_Data!J781))</f>
        <v>TRK26661705</v>
      </c>
      <c r="K781" s="2" t="n">
        <f aca="false">Raw_Data!K781</f>
        <v>8</v>
      </c>
      <c r="L781" s="2" t="str">
        <f aca="false">IF(TRIM(Raw_Data!L781)="","No Coupon",TRIM(UPPER(Raw_Data!L781)))</f>
        <v>FREESHIP</v>
      </c>
      <c r="M781" s="2" t="str">
        <f aca="false">PROPER(TRIM(Raw_Data!M781))</f>
        <v>Email</v>
      </c>
      <c r="N781" s="4" t="n">
        <f aca="false">ROUND(E781*F781,2)</f>
        <v>1766.22</v>
      </c>
      <c r="O781" s="2" t="str">
        <f aca="false">IF(COUNTIF($A$2:$A$1201,A781)&gt;1,"DUPLICATE","Unique")</f>
        <v>Unique</v>
      </c>
      <c r="P781" s="2" t="str">
        <f aca="false">IF(L781="","MISSING","OK")</f>
        <v>OK</v>
      </c>
      <c r="Q781" s="2" t="str">
        <f aca="false">IF(ISNUMBER(B781),"OK","BAD DATE")</f>
        <v>OK</v>
      </c>
      <c r="R781" s="2" t="str">
        <f aca="false">IF(ROUND(F781,2)=F781,"OK","FIX")</f>
        <v>OK</v>
      </c>
    </row>
    <row r="782" customFormat="false" ht="15" hidden="false" customHeight="false" outlineLevel="0" collapsed="false">
      <c r="A782" s="2" t="str">
        <f aca="false">TRIM(UPPER(Raw_Data!A782))</f>
        <v>ORD200780</v>
      </c>
      <c r="B782" s="3" t="n">
        <f aca="false">IF(ISNUMBER(Raw_Data!B782),Raw_Data!B782,DATEVALUE(Raw_Data!B782))</f>
        <v>45382</v>
      </c>
      <c r="C782" s="2" t="str">
        <f aca="false">TRIM(UPPER(Raw_Data!C782))</f>
        <v>C41284</v>
      </c>
      <c r="D782" s="2" t="str">
        <f aca="false">PROPER(TRIM(Raw_Data!D782))</f>
        <v>Laptop</v>
      </c>
      <c r="E782" s="2" t="n">
        <f aca="false">Raw_Data!E782</f>
        <v>4</v>
      </c>
      <c r="F782" s="4" t="n">
        <f aca="false">ROUND(Raw_Data!F782,2)</f>
        <v>184.48</v>
      </c>
      <c r="G782" s="2" t="str">
        <f aca="false">PROPER(TRIM(Raw_Data!G782))</f>
        <v>661 Main St</v>
      </c>
      <c r="H782" s="2" t="str">
        <f aca="false">PROPER(TRIM(Raw_Data!H782))</f>
        <v>Online</v>
      </c>
      <c r="I782" s="2" t="str">
        <f aca="false">PROPER(TRIM(Raw_Data!I782))</f>
        <v>Cancelled</v>
      </c>
      <c r="J782" s="2" t="str">
        <f aca="false">TRIM(UPPER(Raw_Data!J782))</f>
        <v>TRK73613128</v>
      </c>
      <c r="K782" s="2" t="n">
        <f aca="false">Raw_Data!K782</f>
        <v>4</v>
      </c>
      <c r="L782" s="2" t="str">
        <f aca="false">IF(TRIM(Raw_Data!L782)="","No Coupon",TRIM(UPPER(Raw_Data!L782)))</f>
        <v>WINTER15</v>
      </c>
      <c r="M782" s="2" t="str">
        <f aca="false">PROPER(TRIM(Raw_Data!M782))</f>
        <v>Google</v>
      </c>
      <c r="N782" s="4" t="n">
        <f aca="false">ROUND(E782*F782,2)</f>
        <v>737.92</v>
      </c>
      <c r="O782" s="2" t="str">
        <f aca="false">IF(COUNTIF($A$2:$A$1201,A782)&gt;1,"DUPLICATE","Unique")</f>
        <v>Unique</v>
      </c>
      <c r="P782" s="2" t="str">
        <f aca="false">IF(L782="","MISSING","OK")</f>
        <v>OK</v>
      </c>
      <c r="Q782" s="2" t="str">
        <f aca="false">IF(ISNUMBER(B782),"OK","BAD DATE")</f>
        <v>OK</v>
      </c>
      <c r="R782" s="2" t="str">
        <f aca="false">IF(ROUND(F782,2)=F782,"OK","FIX")</f>
        <v>OK</v>
      </c>
    </row>
    <row r="783" customFormat="false" ht="15" hidden="false" customHeight="false" outlineLevel="0" collapsed="false">
      <c r="A783" s="2" t="str">
        <f aca="false">TRIM(UPPER(Raw_Data!A783))</f>
        <v>ORD200781</v>
      </c>
      <c r="B783" s="3" t="n">
        <f aca="false">IF(ISNUMBER(Raw_Data!B783),Raw_Data!B783,DATEVALUE(Raw_Data!B783))</f>
        <v>45301</v>
      </c>
      <c r="C783" s="2" t="str">
        <f aca="false">TRIM(UPPER(Raw_Data!C783))</f>
        <v>C43524</v>
      </c>
      <c r="D783" s="2" t="str">
        <f aca="false">PROPER(TRIM(Raw_Data!D783))</f>
        <v>Phone</v>
      </c>
      <c r="E783" s="2" t="n">
        <f aca="false">Raw_Data!E783</f>
        <v>5</v>
      </c>
      <c r="F783" s="4" t="n">
        <f aca="false">ROUND(Raw_Data!F783,2)</f>
        <v>524.26</v>
      </c>
      <c r="G783" s="2" t="str">
        <f aca="false">PROPER(TRIM(Raw_Data!G783))</f>
        <v>934 Main St</v>
      </c>
      <c r="H783" s="2" t="str">
        <f aca="false">PROPER(TRIM(Raw_Data!H783))</f>
        <v>Gift Card</v>
      </c>
      <c r="I783" s="2" t="str">
        <f aca="false">PROPER(TRIM(Raw_Data!I783))</f>
        <v>Delivered</v>
      </c>
      <c r="J783" s="2" t="str">
        <f aca="false">TRIM(UPPER(Raw_Data!J783))</f>
        <v>TRK51479426</v>
      </c>
      <c r="K783" s="2" t="n">
        <f aca="false">Raw_Data!K783</f>
        <v>5</v>
      </c>
      <c r="L783" s="2" t="str">
        <f aca="false">IF(TRIM(Raw_Data!L783)="","No Coupon",TRIM(UPPER(Raw_Data!L783)))</f>
        <v>FREESHIP</v>
      </c>
      <c r="M783" s="2" t="str">
        <f aca="false">PROPER(TRIM(Raw_Data!M783))</f>
        <v>Referral</v>
      </c>
      <c r="N783" s="4" t="n">
        <f aca="false">ROUND(E783*F783,2)</f>
        <v>2621.3</v>
      </c>
      <c r="O783" s="2" t="str">
        <f aca="false">IF(COUNTIF($A$2:$A$1201,A783)&gt;1,"DUPLICATE","Unique")</f>
        <v>Unique</v>
      </c>
      <c r="P783" s="2" t="str">
        <f aca="false">IF(L783="","MISSING","OK")</f>
        <v>OK</v>
      </c>
      <c r="Q783" s="2" t="str">
        <f aca="false">IF(ISNUMBER(B783),"OK","BAD DATE")</f>
        <v>OK</v>
      </c>
      <c r="R783" s="2" t="str">
        <f aca="false">IF(ROUND(F783,2)=F783,"OK","FIX")</f>
        <v>OK</v>
      </c>
    </row>
    <row r="784" customFormat="false" ht="15" hidden="false" customHeight="false" outlineLevel="0" collapsed="false">
      <c r="A784" s="2" t="str">
        <f aca="false">TRIM(UPPER(Raw_Data!A784))</f>
        <v>ORD200782</v>
      </c>
      <c r="B784" s="3" t="n">
        <f aca="false">IF(ISNUMBER(Raw_Data!B784),Raw_Data!B784,DATEVALUE(Raw_Data!B784))</f>
        <v>45515</v>
      </c>
      <c r="C784" s="2" t="str">
        <f aca="false">TRIM(UPPER(Raw_Data!C784))</f>
        <v>C58063</v>
      </c>
      <c r="D784" s="2" t="str">
        <f aca="false">PROPER(TRIM(Raw_Data!D784))</f>
        <v>Monitor</v>
      </c>
      <c r="E784" s="2" t="n">
        <f aca="false">Raw_Data!E784</f>
        <v>2</v>
      </c>
      <c r="F784" s="4" t="n">
        <f aca="false">ROUND(Raw_Data!F784,2)</f>
        <v>493.63</v>
      </c>
      <c r="G784" s="2" t="str">
        <f aca="false">PROPER(TRIM(Raw_Data!G784))</f>
        <v>167 Main St</v>
      </c>
      <c r="H784" s="2" t="str">
        <f aca="false">PROPER(TRIM(Raw_Data!H784))</f>
        <v>Online</v>
      </c>
      <c r="I784" s="2" t="str">
        <f aca="false">PROPER(TRIM(Raw_Data!I784))</f>
        <v>Returned</v>
      </c>
      <c r="J784" s="2" t="str">
        <f aca="false">TRIM(UPPER(Raw_Data!J784))</f>
        <v>TRK50548869</v>
      </c>
      <c r="K784" s="2" t="n">
        <f aca="false">Raw_Data!K784</f>
        <v>6</v>
      </c>
      <c r="L784" s="2" t="str">
        <f aca="false">IF(TRIM(Raw_Data!L784)="","No Coupon",TRIM(UPPER(Raw_Data!L784)))</f>
        <v>SAVE10</v>
      </c>
      <c r="M784" s="2" t="str">
        <f aca="false">PROPER(TRIM(Raw_Data!M784))</f>
        <v>Referral</v>
      </c>
      <c r="N784" s="4" t="n">
        <f aca="false">ROUND(E784*F784,2)</f>
        <v>987.26</v>
      </c>
      <c r="O784" s="2" t="str">
        <f aca="false">IF(COUNTIF($A$2:$A$1201,A784)&gt;1,"DUPLICATE","Unique")</f>
        <v>Unique</v>
      </c>
      <c r="P784" s="2" t="str">
        <f aca="false">IF(L784="","MISSING","OK")</f>
        <v>OK</v>
      </c>
      <c r="Q784" s="2" t="str">
        <f aca="false">IF(ISNUMBER(B784),"OK","BAD DATE")</f>
        <v>OK</v>
      </c>
      <c r="R784" s="2" t="str">
        <f aca="false">IF(ROUND(F784,2)=F784,"OK","FIX")</f>
        <v>OK</v>
      </c>
    </row>
    <row r="785" customFormat="false" ht="15" hidden="false" customHeight="false" outlineLevel="0" collapsed="false">
      <c r="A785" s="2" t="str">
        <f aca="false">TRIM(UPPER(Raw_Data!A785))</f>
        <v>ORD200783</v>
      </c>
      <c r="B785" s="3" t="n">
        <f aca="false">IF(ISNUMBER(Raw_Data!B785),Raw_Data!B785,DATEVALUE(Raw_Data!B785))</f>
        <v>45803</v>
      </c>
      <c r="C785" s="2" t="str">
        <f aca="false">TRIM(UPPER(Raw_Data!C785))</f>
        <v>C19937</v>
      </c>
      <c r="D785" s="2" t="str">
        <f aca="false">PROPER(TRIM(Raw_Data!D785))</f>
        <v>Printer</v>
      </c>
      <c r="E785" s="2" t="n">
        <f aca="false">Raw_Data!E785</f>
        <v>1</v>
      </c>
      <c r="F785" s="4" t="n">
        <f aca="false">ROUND(Raw_Data!F785,2)</f>
        <v>438.34</v>
      </c>
      <c r="G785" s="2" t="str">
        <f aca="false">PROPER(TRIM(Raw_Data!G785))</f>
        <v>281 Main St</v>
      </c>
      <c r="H785" s="2" t="str">
        <f aca="false">PROPER(TRIM(Raw_Data!H785))</f>
        <v>Gift Card</v>
      </c>
      <c r="I785" s="2" t="str">
        <f aca="false">PROPER(TRIM(Raw_Data!I785))</f>
        <v>Returned</v>
      </c>
      <c r="J785" s="2" t="str">
        <f aca="false">TRIM(UPPER(Raw_Data!J785))</f>
        <v>TRK46990083</v>
      </c>
      <c r="K785" s="2" t="n">
        <f aca="false">Raw_Data!K785</f>
        <v>5</v>
      </c>
      <c r="L785" s="2" t="str">
        <f aca="false">IF(TRIM(Raw_Data!L785)="","No Coupon",TRIM(UPPER(Raw_Data!L785)))</f>
        <v>FREESHIP</v>
      </c>
      <c r="M785" s="2" t="str">
        <f aca="false">PROPER(TRIM(Raw_Data!M785))</f>
        <v>Facebook</v>
      </c>
      <c r="N785" s="4" t="n">
        <f aca="false">ROUND(E785*F785,2)</f>
        <v>438.34</v>
      </c>
      <c r="O785" s="2" t="str">
        <f aca="false">IF(COUNTIF($A$2:$A$1201,A785)&gt;1,"DUPLICATE","Unique")</f>
        <v>Unique</v>
      </c>
      <c r="P785" s="2" t="str">
        <f aca="false">IF(L785="","MISSING","OK")</f>
        <v>OK</v>
      </c>
      <c r="Q785" s="2" t="str">
        <f aca="false">IF(ISNUMBER(B785),"OK","BAD DATE")</f>
        <v>OK</v>
      </c>
      <c r="R785" s="2" t="str">
        <f aca="false">IF(ROUND(F785,2)=F785,"OK","FIX")</f>
        <v>OK</v>
      </c>
    </row>
    <row r="786" customFormat="false" ht="15" hidden="false" customHeight="false" outlineLevel="0" collapsed="false">
      <c r="A786" s="2" t="str">
        <f aca="false">TRIM(UPPER(Raw_Data!A786))</f>
        <v>ORD200784</v>
      </c>
      <c r="B786" s="3" t="n">
        <f aca="false">IF(ISNUMBER(Raw_Data!B786),Raw_Data!B786,DATEVALUE(Raw_Data!B786))</f>
        <v>45793</v>
      </c>
      <c r="C786" s="2" t="str">
        <f aca="false">TRIM(UPPER(Raw_Data!C786))</f>
        <v>C21191</v>
      </c>
      <c r="D786" s="2" t="str">
        <f aca="false">PROPER(TRIM(Raw_Data!D786))</f>
        <v>Laptop</v>
      </c>
      <c r="E786" s="2" t="n">
        <f aca="false">Raw_Data!E786</f>
        <v>1</v>
      </c>
      <c r="F786" s="4" t="n">
        <f aca="false">ROUND(Raw_Data!F786,2)</f>
        <v>325.81</v>
      </c>
      <c r="G786" s="2" t="str">
        <f aca="false">PROPER(TRIM(Raw_Data!G786))</f>
        <v>232 Main St</v>
      </c>
      <c r="H786" s="2" t="str">
        <f aca="false">PROPER(TRIM(Raw_Data!H786))</f>
        <v>Credit Card</v>
      </c>
      <c r="I786" s="2" t="str">
        <f aca="false">PROPER(TRIM(Raw_Data!I786))</f>
        <v>Pending</v>
      </c>
      <c r="J786" s="2" t="str">
        <f aca="false">TRIM(UPPER(Raw_Data!J786))</f>
        <v>TRK85771230</v>
      </c>
      <c r="K786" s="2" t="n">
        <f aca="false">Raw_Data!K786</f>
        <v>1</v>
      </c>
      <c r="L786" s="2" t="str">
        <f aca="false">IF(TRIM(Raw_Data!L786)="","No Coupon",TRIM(UPPER(Raw_Data!L786)))</f>
        <v>WINTER15</v>
      </c>
      <c r="M786" s="2" t="str">
        <f aca="false">PROPER(TRIM(Raw_Data!M786))</f>
        <v>Referral</v>
      </c>
      <c r="N786" s="4" t="n">
        <f aca="false">ROUND(E786*F786,2)</f>
        <v>325.81</v>
      </c>
      <c r="O786" s="2" t="str">
        <f aca="false">IF(COUNTIF($A$2:$A$1201,A786)&gt;1,"DUPLICATE","Unique")</f>
        <v>Unique</v>
      </c>
      <c r="P786" s="2" t="str">
        <f aca="false">IF(L786="","MISSING","OK")</f>
        <v>OK</v>
      </c>
      <c r="Q786" s="2" t="str">
        <f aca="false">IF(ISNUMBER(B786),"OK","BAD DATE")</f>
        <v>OK</v>
      </c>
      <c r="R786" s="2" t="str">
        <f aca="false">IF(ROUND(F786,2)=F786,"OK","FIX")</f>
        <v>OK</v>
      </c>
    </row>
    <row r="787" customFormat="false" ht="15" hidden="false" customHeight="false" outlineLevel="0" collapsed="false">
      <c r="A787" s="2" t="str">
        <f aca="false">TRIM(UPPER(Raw_Data!A787))</f>
        <v>ORD200785</v>
      </c>
      <c r="B787" s="3" t="n">
        <f aca="false">IF(ISNUMBER(Raw_Data!B787),Raw_Data!B787,DATEVALUE(Raw_Data!B787))</f>
        <v>45136</v>
      </c>
      <c r="C787" s="2" t="str">
        <f aca="false">TRIM(UPPER(Raw_Data!C787))</f>
        <v>C45862</v>
      </c>
      <c r="D787" s="2" t="str">
        <f aca="false">PROPER(TRIM(Raw_Data!D787))</f>
        <v>Chair</v>
      </c>
      <c r="E787" s="2" t="n">
        <f aca="false">Raw_Data!E787</f>
        <v>1</v>
      </c>
      <c r="F787" s="4" t="n">
        <f aca="false">ROUND(Raw_Data!F787,2)</f>
        <v>176.1</v>
      </c>
      <c r="G787" s="2" t="str">
        <f aca="false">PROPER(TRIM(Raw_Data!G787))</f>
        <v>342 Main St</v>
      </c>
      <c r="H787" s="2" t="str">
        <f aca="false">PROPER(TRIM(Raw_Data!H787))</f>
        <v>Credit Card</v>
      </c>
      <c r="I787" s="2" t="str">
        <f aca="false">PROPER(TRIM(Raw_Data!I787))</f>
        <v>Pending</v>
      </c>
      <c r="J787" s="2" t="str">
        <f aca="false">TRIM(UPPER(Raw_Data!J787))</f>
        <v>TRK53089983</v>
      </c>
      <c r="K787" s="2" t="n">
        <f aca="false">Raw_Data!K787</f>
        <v>1</v>
      </c>
      <c r="L787" s="2" t="str">
        <f aca="false">IF(TRIM(Raw_Data!L787)="","No Coupon",TRIM(UPPER(Raw_Data!L787)))</f>
        <v>SAVE10</v>
      </c>
      <c r="M787" s="2" t="str">
        <f aca="false">PROPER(TRIM(Raw_Data!M787))</f>
        <v>Instagram</v>
      </c>
      <c r="N787" s="4" t="n">
        <f aca="false">ROUND(E787*F787,2)</f>
        <v>176.1</v>
      </c>
      <c r="O787" s="2" t="str">
        <f aca="false">IF(COUNTIF($A$2:$A$1201,A787)&gt;1,"DUPLICATE","Unique")</f>
        <v>Unique</v>
      </c>
      <c r="P787" s="2" t="str">
        <f aca="false">IF(L787="","MISSING","OK")</f>
        <v>OK</v>
      </c>
      <c r="Q787" s="2" t="str">
        <f aca="false">IF(ISNUMBER(B787),"OK","BAD DATE")</f>
        <v>OK</v>
      </c>
      <c r="R787" s="2" t="str">
        <f aca="false">IF(ROUND(F787,2)=F787,"OK","FIX")</f>
        <v>OK</v>
      </c>
    </row>
    <row r="788" customFormat="false" ht="15" hidden="false" customHeight="false" outlineLevel="0" collapsed="false">
      <c r="A788" s="2" t="str">
        <f aca="false">TRIM(UPPER(Raw_Data!A788))</f>
        <v>ORD200786</v>
      </c>
      <c r="B788" s="3" t="n">
        <f aca="false">IF(ISNUMBER(Raw_Data!B788),Raw_Data!B788,DATEVALUE(Raw_Data!B788))</f>
        <v>45161</v>
      </c>
      <c r="C788" s="2" t="str">
        <f aca="false">TRIM(UPPER(Raw_Data!C788))</f>
        <v>C39130</v>
      </c>
      <c r="D788" s="2" t="str">
        <f aca="false">PROPER(TRIM(Raw_Data!D788))</f>
        <v>Chair</v>
      </c>
      <c r="E788" s="2" t="n">
        <f aca="false">Raw_Data!E788</f>
        <v>5</v>
      </c>
      <c r="F788" s="4" t="n">
        <f aca="false">ROUND(Raw_Data!F788,2)</f>
        <v>45.31</v>
      </c>
      <c r="G788" s="2" t="str">
        <f aca="false">PROPER(TRIM(Raw_Data!G788))</f>
        <v>774 Main St</v>
      </c>
      <c r="H788" s="2" t="str">
        <f aca="false">PROPER(TRIM(Raw_Data!H788))</f>
        <v>Online</v>
      </c>
      <c r="I788" s="2" t="str">
        <f aca="false">PROPER(TRIM(Raw_Data!I788))</f>
        <v>Cancelled</v>
      </c>
      <c r="J788" s="2" t="str">
        <f aca="false">TRIM(UPPER(Raw_Data!J788))</f>
        <v>TRK99583414</v>
      </c>
      <c r="K788" s="2" t="n">
        <f aca="false">Raw_Data!K788</f>
        <v>8</v>
      </c>
      <c r="L788" s="2" t="str">
        <f aca="false">IF(TRIM(Raw_Data!L788)="","No Coupon",TRIM(UPPER(Raw_Data!L788)))</f>
        <v>No Coupon</v>
      </c>
      <c r="M788" s="2" t="str">
        <f aca="false">PROPER(TRIM(Raw_Data!M788))</f>
        <v>Referral</v>
      </c>
      <c r="N788" s="4" t="n">
        <f aca="false">ROUND(E788*F788,2)</f>
        <v>226.55</v>
      </c>
      <c r="O788" s="2" t="str">
        <f aca="false">IF(COUNTIF($A$2:$A$1201,A788)&gt;1,"DUPLICATE","Unique")</f>
        <v>Unique</v>
      </c>
      <c r="P788" s="2" t="str">
        <f aca="false">IF(L788="","MISSING","OK")</f>
        <v>OK</v>
      </c>
      <c r="Q788" s="2" t="str">
        <f aca="false">IF(ISNUMBER(B788),"OK","BAD DATE")</f>
        <v>OK</v>
      </c>
      <c r="R788" s="2" t="str">
        <f aca="false">IF(ROUND(F788,2)=F788,"OK","FIX")</f>
        <v>OK</v>
      </c>
    </row>
    <row r="789" customFormat="false" ht="15" hidden="false" customHeight="false" outlineLevel="0" collapsed="false">
      <c r="A789" s="2" t="str">
        <f aca="false">TRIM(UPPER(Raw_Data!A789))</f>
        <v>ORD200787</v>
      </c>
      <c r="B789" s="3" t="n">
        <f aca="false">IF(ISNUMBER(Raw_Data!B789),Raw_Data!B789,DATEVALUE(Raw_Data!B789))</f>
        <v>45368</v>
      </c>
      <c r="C789" s="2" t="str">
        <f aca="false">TRIM(UPPER(Raw_Data!C789))</f>
        <v>C18167</v>
      </c>
      <c r="D789" s="2" t="str">
        <f aca="false">PROPER(TRIM(Raw_Data!D789))</f>
        <v>Desk</v>
      </c>
      <c r="E789" s="2" t="n">
        <f aca="false">Raw_Data!E789</f>
        <v>4</v>
      </c>
      <c r="F789" s="4" t="n">
        <f aca="false">ROUND(Raw_Data!F789,2)</f>
        <v>221.96</v>
      </c>
      <c r="G789" s="2" t="str">
        <f aca="false">PROPER(TRIM(Raw_Data!G789))</f>
        <v>193 Main St</v>
      </c>
      <c r="H789" s="2" t="str">
        <f aca="false">PROPER(TRIM(Raw_Data!H789))</f>
        <v>Cash</v>
      </c>
      <c r="I789" s="2" t="str">
        <f aca="false">PROPER(TRIM(Raw_Data!I789))</f>
        <v>Delivered</v>
      </c>
      <c r="J789" s="2" t="str">
        <f aca="false">TRIM(UPPER(Raw_Data!J789))</f>
        <v>TRK36841089</v>
      </c>
      <c r="K789" s="2" t="n">
        <f aca="false">Raw_Data!K789</f>
        <v>7</v>
      </c>
      <c r="L789" s="2" t="str">
        <f aca="false">IF(TRIM(Raw_Data!L789)="","No Coupon",TRIM(UPPER(Raw_Data!L789)))</f>
        <v>No Coupon</v>
      </c>
      <c r="M789" s="2" t="str">
        <f aca="false">PROPER(TRIM(Raw_Data!M789))</f>
        <v>Google</v>
      </c>
      <c r="N789" s="4" t="n">
        <f aca="false">ROUND(E789*F789,2)</f>
        <v>887.84</v>
      </c>
      <c r="O789" s="2" t="str">
        <f aca="false">IF(COUNTIF($A$2:$A$1201,A789)&gt;1,"DUPLICATE","Unique")</f>
        <v>Unique</v>
      </c>
      <c r="P789" s="2" t="str">
        <f aca="false">IF(L789="","MISSING","OK")</f>
        <v>OK</v>
      </c>
      <c r="Q789" s="2" t="str">
        <f aca="false">IF(ISNUMBER(B789),"OK","BAD DATE")</f>
        <v>OK</v>
      </c>
      <c r="R789" s="2" t="str">
        <f aca="false">IF(ROUND(F789,2)=F789,"OK","FIX")</f>
        <v>OK</v>
      </c>
    </row>
    <row r="790" customFormat="false" ht="15" hidden="false" customHeight="false" outlineLevel="0" collapsed="false">
      <c r="A790" s="2" t="str">
        <f aca="false">TRIM(UPPER(Raw_Data!A790))</f>
        <v>ORD200788</v>
      </c>
      <c r="B790" s="3" t="n">
        <f aca="false">IF(ISNUMBER(Raw_Data!B790),Raw_Data!B790,DATEVALUE(Raw_Data!B790))</f>
        <v>45232</v>
      </c>
      <c r="C790" s="2" t="str">
        <f aca="false">TRIM(UPPER(Raw_Data!C790))</f>
        <v>C47307</v>
      </c>
      <c r="D790" s="2" t="str">
        <f aca="false">PROPER(TRIM(Raw_Data!D790))</f>
        <v>Chair</v>
      </c>
      <c r="E790" s="2" t="n">
        <f aca="false">Raw_Data!E790</f>
        <v>2</v>
      </c>
      <c r="F790" s="4" t="n">
        <f aca="false">ROUND(Raw_Data!F790,2)</f>
        <v>601.43</v>
      </c>
      <c r="G790" s="2" t="str">
        <f aca="false">PROPER(TRIM(Raw_Data!G790))</f>
        <v>761 Main St</v>
      </c>
      <c r="H790" s="2" t="str">
        <f aca="false">PROPER(TRIM(Raw_Data!H790))</f>
        <v>Online</v>
      </c>
      <c r="I790" s="2" t="str">
        <f aca="false">PROPER(TRIM(Raw_Data!I790))</f>
        <v>Pending</v>
      </c>
      <c r="J790" s="2" t="str">
        <f aca="false">TRIM(UPPER(Raw_Data!J790))</f>
        <v>TRK43516112</v>
      </c>
      <c r="K790" s="2" t="n">
        <f aca="false">Raw_Data!K790</f>
        <v>5</v>
      </c>
      <c r="L790" s="2" t="str">
        <f aca="false">IF(TRIM(Raw_Data!L790)="","No Coupon",TRIM(UPPER(Raw_Data!L790)))</f>
        <v>FREESHIP</v>
      </c>
      <c r="M790" s="2" t="str">
        <f aca="false">PROPER(TRIM(Raw_Data!M790))</f>
        <v>Instagram</v>
      </c>
      <c r="N790" s="4" t="n">
        <f aca="false">ROUND(E790*F790,2)</f>
        <v>1202.86</v>
      </c>
      <c r="O790" s="2" t="str">
        <f aca="false">IF(COUNTIF($A$2:$A$1201,A790)&gt;1,"DUPLICATE","Unique")</f>
        <v>Unique</v>
      </c>
      <c r="P790" s="2" t="str">
        <f aca="false">IF(L790="","MISSING","OK")</f>
        <v>OK</v>
      </c>
      <c r="Q790" s="2" t="str">
        <f aca="false">IF(ISNUMBER(B790),"OK","BAD DATE")</f>
        <v>OK</v>
      </c>
      <c r="R790" s="2" t="str">
        <f aca="false">IF(ROUND(F790,2)=F790,"OK","FIX")</f>
        <v>OK</v>
      </c>
    </row>
    <row r="791" customFormat="false" ht="15" hidden="false" customHeight="false" outlineLevel="0" collapsed="false">
      <c r="A791" s="2" t="str">
        <f aca="false">TRIM(UPPER(Raw_Data!A791))</f>
        <v>ORD200789</v>
      </c>
      <c r="B791" s="3" t="n">
        <f aca="false">IF(ISNUMBER(Raw_Data!B791),Raw_Data!B791,DATEVALUE(Raw_Data!B791))</f>
        <v>45155</v>
      </c>
      <c r="C791" s="2" t="str">
        <f aca="false">TRIM(UPPER(Raw_Data!C791))</f>
        <v>C57276</v>
      </c>
      <c r="D791" s="2" t="str">
        <f aca="false">PROPER(TRIM(Raw_Data!D791))</f>
        <v>Tablet</v>
      </c>
      <c r="E791" s="2" t="n">
        <f aca="false">Raw_Data!E791</f>
        <v>5</v>
      </c>
      <c r="F791" s="4" t="n">
        <f aca="false">ROUND(Raw_Data!F791,2)</f>
        <v>691.28</v>
      </c>
      <c r="G791" s="2" t="str">
        <f aca="false">PROPER(TRIM(Raw_Data!G791))</f>
        <v>183 Main St</v>
      </c>
      <c r="H791" s="2" t="str">
        <f aca="false">PROPER(TRIM(Raw_Data!H791))</f>
        <v>Online</v>
      </c>
      <c r="I791" s="2" t="str">
        <f aca="false">PROPER(TRIM(Raw_Data!I791))</f>
        <v>Delivered</v>
      </c>
      <c r="J791" s="2" t="str">
        <f aca="false">TRIM(UPPER(Raw_Data!J791))</f>
        <v>TRK75899752</v>
      </c>
      <c r="K791" s="2" t="n">
        <f aca="false">Raw_Data!K791</f>
        <v>10</v>
      </c>
      <c r="L791" s="2" t="str">
        <f aca="false">IF(TRIM(Raw_Data!L791)="","No Coupon",TRIM(UPPER(Raw_Data!L791)))</f>
        <v>SAVE10</v>
      </c>
      <c r="M791" s="2" t="str">
        <f aca="false">PROPER(TRIM(Raw_Data!M791))</f>
        <v>Email</v>
      </c>
      <c r="N791" s="4" t="n">
        <f aca="false">ROUND(E791*F791,2)</f>
        <v>3456.4</v>
      </c>
      <c r="O791" s="2" t="str">
        <f aca="false">IF(COUNTIF($A$2:$A$1201,A791)&gt;1,"DUPLICATE","Unique")</f>
        <v>Unique</v>
      </c>
      <c r="P791" s="2" t="str">
        <f aca="false">IF(L791="","MISSING","OK")</f>
        <v>OK</v>
      </c>
      <c r="Q791" s="2" t="str">
        <f aca="false">IF(ISNUMBER(B791),"OK","BAD DATE")</f>
        <v>OK</v>
      </c>
      <c r="R791" s="2" t="str">
        <f aca="false">IF(ROUND(F791,2)=F791,"OK","FIX")</f>
        <v>OK</v>
      </c>
    </row>
    <row r="792" customFormat="false" ht="15" hidden="false" customHeight="false" outlineLevel="0" collapsed="false">
      <c r="A792" s="2" t="str">
        <f aca="false">TRIM(UPPER(Raw_Data!A792))</f>
        <v>ORD200790</v>
      </c>
      <c r="B792" s="3" t="n">
        <f aca="false">IF(ISNUMBER(Raw_Data!B792),Raw_Data!B792,DATEVALUE(Raw_Data!B792))</f>
        <v>45549</v>
      </c>
      <c r="C792" s="2" t="str">
        <f aca="false">TRIM(UPPER(Raw_Data!C792))</f>
        <v>C38928</v>
      </c>
      <c r="D792" s="2" t="str">
        <f aca="false">PROPER(TRIM(Raw_Data!D792))</f>
        <v>Laptop</v>
      </c>
      <c r="E792" s="2" t="n">
        <f aca="false">Raw_Data!E792</f>
        <v>4</v>
      </c>
      <c r="F792" s="4" t="n">
        <f aca="false">ROUND(Raw_Data!F792,2)</f>
        <v>417.89</v>
      </c>
      <c r="G792" s="2" t="str">
        <f aca="false">PROPER(TRIM(Raw_Data!G792))</f>
        <v>302 Main St</v>
      </c>
      <c r="H792" s="2" t="str">
        <f aca="false">PROPER(TRIM(Raw_Data!H792))</f>
        <v>Gift Card</v>
      </c>
      <c r="I792" s="2" t="str">
        <f aca="false">PROPER(TRIM(Raw_Data!I792))</f>
        <v>Pending</v>
      </c>
      <c r="J792" s="2" t="str">
        <f aca="false">TRIM(UPPER(Raw_Data!J792))</f>
        <v>TRK96636009</v>
      </c>
      <c r="K792" s="2" t="n">
        <f aca="false">Raw_Data!K792</f>
        <v>4</v>
      </c>
      <c r="L792" s="2" t="str">
        <f aca="false">IF(TRIM(Raw_Data!L792)="","No Coupon",TRIM(UPPER(Raw_Data!L792)))</f>
        <v>No Coupon</v>
      </c>
      <c r="M792" s="2" t="str">
        <f aca="false">PROPER(TRIM(Raw_Data!M792))</f>
        <v>Google</v>
      </c>
      <c r="N792" s="4" t="n">
        <f aca="false">ROUND(E792*F792,2)</f>
        <v>1671.56</v>
      </c>
      <c r="O792" s="2" t="str">
        <f aca="false">IF(COUNTIF($A$2:$A$1201,A792)&gt;1,"DUPLICATE","Unique")</f>
        <v>Unique</v>
      </c>
      <c r="P792" s="2" t="str">
        <f aca="false">IF(L792="","MISSING","OK")</f>
        <v>OK</v>
      </c>
      <c r="Q792" s="2" t="str">
        <f aca="false">IF(ISNUMBER(B792),"OK","BAD DATE")</f>
        <v>OK</v>
      </c>
      <c r="R792" s="2" t="str">
        <f aca="false">IF(ROUND(F792,2)=F792,"OK","FIX")</f>
        <v>OK</v>
      </c>
    </row>
    <row r="793" customFormat="false" ht="15" hidden="false" customHeight="false" outlineLevel="0" collapsed="false">
      <c r="A793" s="2" t="str">
        <f aca="false">TRIM(UPPER(Raw_Data!A793))</f>
        <v>ORD200791</v>
      </c>
      <c r="B793" s="3" t="n">
        <f aca="false">IF(ISNUMBER(Raw_Data!B793),Raw_Data!B793,DATEVALUE(Raw_Data!B793))</f>
        <v>45304</v>
      </c>
      <c r="C793" s="2" t="str">
        <f aca="false">TRIM(UPPER(Raw_Data!C793))</f>
        <v>C49710</v>
      </c>
      <c r="D793" s="2" t="str">
        <f aca="false">PROPER(TRIM(Raw_Data!D793))</f>
        <v>Chair</v>
      </c>
      <c r="E793" s="2" t="n">
        <f aca="false">Raw_Data!E793</f>
        <v>4</v>
      </c>
      <c r="F793" s="4" t="n">
        <f aca="false">ROUND(Raw_Data!F793,2)</f>
        <v>409.28</v>
      </c>
      <c r="G793" s="2" t="str">
        <f aca="false">PROPER(TRIM(Raw_Data!G793))</f>
        <v>956 Main St</v>
      </c>
      <c r="H793" s="2" t="str">
        <f aca="false">PROPER(TRIM(Raw_Data!H793))</f>
        <v>Cash</v>
      </c>
      <c r="I793" s="2" t="str">
        <f aca="false">PROPER(TRIM(Raw_Data!I793))</f>
        <v>Pending</v>
      </c>
      <c r="J793" s="2" t="str">
        <f aca="false">TRIM(UPPER(Raw_Data!J793))</f>
        <v>TRK92591237</v>
      </c>
      <c r="K793" s="2" t="n">
        <f aca="false">Raw_Data!K793</f>
        <v>8</v>
      </c>
      <c r="L793" s="2" t="str">
        <f aca="false">IF(TRIM(Raw_Data!L793)="","No Coupon",TRIM(UPPER(Raw_Data!L793)))</f>
        <v>No Coupon</v>
      </c>
      <c r="M793" s="2" t="str">
        <f aca="false">PROPER(TRIM(Raw_Data!M793))</f>
        <v>Email</v>
      </c>
      <c r="N793" s="4" t="n">
        <f aca="false">ROUND(E793*F793,2)</f>
        <v>1637.12</v>
      </c>
      <c r="O793" s="2" t="str">
        <f aca="false">IF(COUNTIF($A$2:$A$1201,A793)&gt;1,"DUPLICATE","Unique")</f>
        <v>Unique</v>
      </c>
      <c r="P793" s="2" t="str">
        <f aca="false">IF(L793="","MISSING","OK")</f>
        <v>OK</v>
      </c>
      <c r="Q793" s="2" t="str">
        <f aca="false">IF(ISNUMBER(B793),"OK","BAD DATE")</f>
        <v>OK</v>
      </c>
      <c r="R793" s="2" t="str">
        <f aca="false">IF(ROUND(F793,2)=F793,"OK","FIX")</f>
        <v>OK</v>
      </c>
    </row>
    <row r="794" customFormat="false" ht="15" hidden="false" customHeight="false" outlineLevel="0" collapsed="false">
      <c r="A794" s="2" t="str">
        <f aca="false">TRIM(UPPER(Raw_Data!A794))</f>
        <v>ORD200792</v>
      </c>
      <c r="B794" s="3" t="n">
        <f aca="false">IF(ISNUMBER(Raw_Data!B794),Raw_Data!B794,DATEVALUE(Raw_Data!B794))</f>
        <v>45093</v>
      </c>
      <c r="C794" s="2" t="str">
        <f aca="false">TRIM(UPPER(Raw_Data!C794))</f>
        <v>C41709</v>
      </c>
      <c r="D794" s="2" t="str">
        <f aca="false">PROPER(TRIM(Raw_Data!D794))</f>
        <v>Desk</v>
      </c>
      <c r="E794" s="2" t="n">
        <f aca="false">Raw_Data!E794</f>
        <v>2</v>
      </c>
      <c r="F794" s="4" t="n">
        <f aca="false">ROUND(Raw_Data!F794,2)</f>
        <v>356.35</v>
      </c>
      <c r="G794" s="2" t="str">
        <f aca="false">PROPER(TRIM(Raw_Data!G794))</f>
        <v>746 Main St</v>
      </c>
      <c r="H794" s="2" t="str">
        <f aca="false">PROPER(TRIM(Raw_Data!H794))</f>
        <v>Debit Card</v>
      </c>
      <c r="I794" s="2" t="str">
        <f aca="false">PROPER(TRIM(Raw_Data!I794))</f>
        <v>Returned</v>
      </c>
      <c r="J794" s="2" t="str">
        <f aca="false">TRIM(UPPER(Raw_Data!J794))</f>
        <v>TRK90995294</v>
      </c>
      <c r="K794" s="2" t="n">
        <f aca="false">Raw_Data!K794</f>
        <v>6</v>
      </c>
      <c r="L794" s="2" t="str">
        <f aca="false">IF(TRIM(Raw_Data!L794)="","No Coupon",TRIM(UPPER(Raw_Data!L794)))</f>
        <v>WINTER15</v>
      </c>
      <c r="M794" s="2" t="str">
        <f aca="false">PROPER(TRIM(Raw_Data!M794))</f>
        <v>Facebook</v>
      </c>
      <c r="N794" s="4" t="n">
        <f aca="false">ROUND(E794*F794,2)</f>
        <v>712.7</v>
      </c>
      <c r="O794" s="2" t="str">
        <f aca="false">IF(COUNTIF($A$2:$A$1201,A794)&gt;1,"DUPLICATE","Unique")</f>
        <v>Unique</v>
      </c>
      <c r="P794" s="2" t="str">
        <f aca="false">IF(L794="","MISSING","OK")</f>
        <v>OK</v>
      </c>
      <c r="Q794" s="2" t="str">
        <f aca="false">IF(ISNUMBER(B794),"OK","BAD DATE")</f>
        <v>OK</v>
      </c>
      <c r="R794" s="2" t="str">
        <f aca="false">IF(ROUND(F794,2)=F794,"OK","FIX")</f>
        <v>OK</v>
      </c>
    </row>
    <row r="795" customFormat="false" ht="15" hidden="false" customHeight="false" outlineLevel="0" collapsed="false">
      <c r="A795" s="2" t="str">
        <f aca="false">TRIM(UPPER(Raw_Data!A795))</f>
        <v>ORD200793</v>
      </c>
      <c r="B795" s="3" t="n">
        <f aca="false">IF(ISNUMBER(Raw_Data!B795),Raw_Data!B795,DATEVALUE(Raw_Data!B795))</f>
        <v>45397</v>
      </c>
      <c r="C795" s="2" t="str">
        <f aca="false">TRIM(UPPER(Raw_Data!C795))</f>
        <v>C91255</v>
      </c>
      <c r="D795" s="2" t="str">
        <f aca="false">PROPER(TRIM(Raw_Data!D795))</f>
        <v>Chair</v>
      </c>
      <c r="E795" s="2" t="n">
        <f aca="false">Raw_Data!E795</f>
        <v>5</v>
      </c>
      <c r="F795" s="4" t="n">
        <f aca="false">ROUND(Raw_Data!F795,2)</f>
        <v>170.22</v>
      </c>
      <c r="G795" s="2" t="str">
        <f aca="false">PROPER(TRIM(Raw_Data!G795))</f>
        <v>769 Main St</v>
      </c>
      <c r="H795" s="2" t="str">
        <f aca="false">PROPER(TRIM(Raw_Data!H795))</f>
        <v>Debit Card</v>
      </c>
      <c r="I795" s="2" t="str">
        <f aca="false">PROPER(TRIM(Raw_Data!I795))</f>
        <v>Delivered</v>
      </c>
      <c r="J795" s="2" t="str">
        <f aca="false">TRIM(UPPER(Raw_Data!J795))</f>
        <v>TRK69599961</v>
      </c>
      <c r="K795" s="2" t="n">
        <f aca="false">Raw_Data!K795</f>
        <v>8</v>
      </c>
      <c r="L795" s="2" t="str">
        <f aca="false">IF(TRIM(Raw_Data!L795)="","No Coupon",TRIM(UPPER(Raw_Data!L795)))</f>
        <v>No Coupon</v>
      </c>
      <c r="M795" s="2" t="str">
        <f aca="false">PROPER(TRIM(Raw_Data!M795))</f>
        <v>Referral</v>
      </c>
      <c r="N795" s="4" t="n">
        <f aca="false">ROUND(E795*F795,2)</f>
        <v>851.1</v>
      </c>
      <c r="O795" s="2" t="str">
        <f aca="false">IF(COUNTIF($A$2:$A$1201,A795)&gt;1,"DUPLICATE","Unique")</f>
        <v>Unique</v>
      </c>
      <c r="P795" s="2" t="str">
        <f aca="false">IF(L795="","MISSING","OK")</f>
        <v>OK</v>
      </c>
      <c r="Q795" s="2" t="str">
        <f aca="false">IF(ISNUMBER(B795),"OK","BAD DATE")</f>
        <v>OK</v>
      </c>
      <c r="R795" s="2" t="str">
        <f aca="false">IF(ROUND(F795,2)=F795,"OK","FIX")</f>
        <v>OK</v>
      </c>
    </row>
    <row r="796" customFormat="false" ht="15" hidden="false" customHeight="false" outlineLevel="0" collapsed="false">
      <c r="A796" s="2" t="str">
        <f aca="false">TRIM(UPPER(Raw_Data!A796))</f>
        <v>ORD200794</v>
      </c>
      <c r="B796" s="3" t="n">
        <f aca="false">IF(ISNUMBER(Raw_Data!B796),Raw_Data!B796,DATEVALUE(Raw_Data!B796))</f>
        <v>44994</v>
      </c>
      <c r="C796" s="2" t="str">
        <f aca="false">TRIM(UPPER(Raw_Data!C796))</f>
        <v>C76653</v>
      </c>
      <c r="D796" s="2" t="str">
        <f aca="false">PROPER(TRIM(Raw_Data!D796))</f>
        <v>Printer</v>
      </c>
      <c r="E796" s="2" t="n">
        <f aca="false">Raw_Data!E796</f>
        <v>4</v>
      </c>
      <c r="F796" s="4" t="n">
        <f aca="false">ROUND(Raw_Data!F796,2)</f>
        <v>384.85</v>
      </c>
      <c r="G796" s="2" t="str">
        <f aca="false">PROPER(TRIM(Raw_Data!G796))</f>
        <v>988 Main St</v>
      </c>
      <c r="H796" s="2" t="str">
        <f aca="false">PROPER(TRIM(Raw_Data!H796))</f>
        <v>Online</v>
      </c>
      <c r="I796" s="2" t="str">
        <f aca="false">PROPER(TRIM(Raw_Data!I796))</f>
        <v>Delivered</v>
      </c>
      <c r="J796" s="2" t="str">
        <f aca="false">TRIM(UPPER(Raw_Data!J796))</f>
        <v>TRK77052196</v>
      </c>
      <c r="K796" s="2" t="n">
        <f aca="false">Raw_Data!K796</f>
        <v>9</v>
      </c>
      <c r="L796" s="2" t="str">
        <f aca="false">IF(TRIM(Raw_Data!L796)="","No Coupon",TRIM(UPPER(Raw_Data!L796)))</f>
        <v>FREESHIP</v>
      </c>
      <c r="M796" s="2" t="str">
        <f aca="false">PROPER(TRIM(Raw_Data!M796))</f>
        <v>Instagram</v>
      </c>
      <c r="N796" s="4" t="n">
        <f aca="false">ROUND(E796*F796,2)</f>
        <v>1539.4</v>
      </c>
      <c r="O796" s="2" t="str">
        <f aca="false">IF(COUNTIF($A$2:$A$1201,A796)&gt;1,"DUPLICATE","Unique")</f>
        <v>Unique</v>
      </c>
      <c r="P796" s="2" t="str">
        <f aca="false">IF(L796="","MISSING","OK")</f>
        <v>OK</v>
      </c>
      <c r="Q796" s="2" t="str">
        <f aca="false">IF(ISNUMBER(B796),"OK","BAD DATE")</f>
        <v>OK</v>
      </c>
      <c r="R796" s="2" t="str">
        <f aca="false">IF(ROUND(F796,2)=F796,"OK","FIX")</f>
        <v>OK</v>
      </c>
    </row>
    <row r="797" customFormat="false" ht="15" hidden="false" customHeight="false" outlineLevel="0" collapsed="false">
      <c r="A797" s="2" t="str">
        <f aca="false">TRIM(UPPER(Raw_Data!A797))</f>
        <v>ORD200795</v>
      </c>
      <c r="B797" s="3" t="n">
        <f aca="false">IF(ISNUMBER(Raw_Data!B797),Raw_Data!B797,DATEVALUE(Raw_Data!B797))</f>
        <v>45616</v>
      </c>
      <c r="C797" s="2" t="str">
        <f aca="false">TRIM(UPPER(Raw_Data!C797))</f>
        <v>C95667</v>
      </c>
      <c r="D797" s="2" t="str">
        <f aca="false">PROPER(TRIM(Raw_Data!D797))</f>
        <v>Laptop</v>
      </c>
      <c r="E797" s="2" t="n">
        <f aca="false">Raw_Data!E797</f>
        <v>4</v>
      </c>
      <c r="F797" s="4" t="n">
        <f aca="false">ROUND(Raw_Data!F797,2)</f>
        <v>115.77</v>
      </c>
      <c r="G797" s="2" t="str">
        <f aca="false">PROPER(TRIM(Raw_Data!G797))</f>
        <v>586 Main St</v>
      </c>
      <c r="H797" s="2" t="str">
        <f aca="false">PROPER(TRIM(Raw_Data!H797))</f>
        <v>Online</v>
      </c>
      <c r="I797" s="2" t="str">
        <f aca="false">PROPER(TRIM(Raw_Data!I797))</f>
        <v>Pending</v>
      </c>
      <c r="J797" s="2" t="str">
        <f aca="false">TRIM(UPPER(Raw_Data!J797))</f>
        <v>TRK41266666</v>
      </c>
      <c r="K797" s="2" t="n">
        <f aca="false">Raw_Data!K797</f>
        <v>7</v>
      </c>
      <c r="L797" s="2" t="str">
        <f aca="false">IF(TRIM(Raw_Data!L797)="","No Coupon",TRIM(UPPER(Raw_Data!L797)))</f>
        <v>SAVE10</v>
      </c>
      <c r="M797" s="2" t="str">
        <f aca="false">PROPER(TRIM(Raw_Data!M797))</f>
        <v>Instagram</v>
      </c>
      <c r="N797" s="4" t="n">
        <f aca="false">ROUND(E797*F797,2)</f>
        <v>463.08</v>
      </c>
      <c r="O797" s="2" t="str">
        <f aca="false">IF(COUNTIF($A$2:$A$1201,A797)&gt;1,"DUPLICATE","Unique")</f>
        <v>Unique</v>
      </c>
      <c r="P797" s="2" t="str">
        <f aca="false">IF(L797="","MISSING","OK")</f>
        <v>OK</v>
      </c>
      <c r="Q797" s="2" t="str">
        <f aca="false">IF(ISNUMBER(B797),"OK","BAD DATE")</f>
        <v>OK</v>
      </c>
      <c r="R797" s="2" t="str">
        <f aca="false">IF(ROUND(F797,2)=F797,"OK","FIX")</f>
        <v>OK</v>
      </c>
    </row>
    <row r="798" customFormat="false" ht="15" hidden="false" customHeight="false" outlineLevel="0" collapsed="false">
      <c r="A798" s="2" t="str">
        <f aca="false">TRIM(UPPER(Raw_Data!A798))</f>
        <v>ORD200796</v>
      </c>
      <c r="B798" s="3" t="n">
        <f aca="false">IF(ISNUMBER(Raw_Data!B798),Raw_Data!B798,DATEVALUE(Raw_Data!B798))</f>
        <v>45776</v>
      </c>
      <c r="C798" s="2" t="str">
        <f aca="false">TRIM(UPPER(Raw_Data!C798))</f>
        <v>C33313</v>
      </c>
      <c r="D798" s="2" t="str">
        <f aca="false">PROPER(TRIM(Raw_Data!D798))</f>
        <v>Phone</v>
      </c>
      <c r="E798" s="2" t="n">
        <f aca="false">Raw_Data!E798</f>
        <v>3</v>
      </c>
      <c r="F798" s="4" t="n">
        <f aca="false">ROUND(Raw_Data!F798,2)</f>
        <v>579.55</v>
      </c>
      <c r="G798" s="2" t="str">
        <f aca="false">PROPER(TRIM(Raw_Data!G798))</f>
        <v>882 Main St</v>
      </c>
      <c r="H798" s="2" t="str">
        <f aca="false">PROPER(TRIM(Raw_Data!H798))</f>
        <v>Gift Card</v>
      </c>
      <c r="I798" s="2" t="str">
        <f aca="false">PROPER(TRIM(Raw_Data!I798))</f>
        <v>Returned</v>
      </c>
      <c r="J798" s="2" t="str">
        <f aca="false">TRIM(UPPER(Raw_Data!J798))</f>
        <v>TRK13349970</v>
      </c>
      <c r="K798" s="2" t="n">
        <f aca="false">Raw_Data!K798</f>
        <v>8</v>
      </c>
      <c r="L798" s="2" t="str">
        <f aca="false">IF(TRIM(Raw_Data!L798)="","No Coupon",TRIM(UPPER(Raw_Data!L798)))</f>
        <v>WINTER15</v>
      </c>
      <c r="M798" s="2" t="str">
        <f aca="false">PROPER(TRIM(Raw_Data!M798))</f>
        <v>Facebook</v>
      </c>
      <c r="N798" s="4" t="n">
        <f aca="false">ROUND(E798*F798,2)</f>
        <v>1738.65</v>
      </c>
      <c r="O798" s="2" t="str">
        <f aca="false">IF(COUNTIF($A$2:$A$1201,A798)&gt;1,"DUPLICATE","Unique")</f>
        <v>Unique</v>
      </c>
      <c r="P798" s="2" t="str">
        <f aca="false">IF(L798="","MISSING","OK")</f>
        <v>OK</v>
      </c>
      <c r="Q798" s="2" t="str">
        <f aca="false">IF(ISNUMBER(B798),"OK","BAD DATE")</f>
        <v>OK</v>
      </c>
      <c r="R798" s="2" t="str">
        <f aca="false">IF(ROUND(F798,2)=F798,"OK","FIX")</f>
        <v>OK</v>
      </c>
    </row>
    <row r="799" customFormat="false" ht="15" hidden="false" customHeight="false" outlineLevel="0" collapsed="false">
      <c r="A799" s="2" t="str">
        <f aca="false">TRIM(UPPER(Raw_Data!A799))</f>
        <v>ORD200797</v>
      </c>
      <c r="B799" s="3" t="n">
        <f aca="false">IF(ISNUMBER(Raw_Data!B799),Raw_Data!B799,DATEVALUE(Raw_Data!B799))</f>
        <v>44984</v>
      </c>
      <c r="C799" s="2" t="str">
        <f aca="false">TRIM(UPPER(Raw_Data!C799))</f>
        <v>C36825</v>
      </c>
      <c r="D799" s="2" t="str">
        <f aca="false">PROPER(TRIM(Raw_Data!D799))</f>
        <v>Laptop</v>
      </c>
      <c r="E799" s="2" t="n">
        <f aca="false">Raw_Data!E799</f>
        <v>2</v>
      </c>
      <c r="F799" s="4" t="n">
        <f aca="false">ROUND(Raw_Data!F799,2)</f>
        <v>438.76</v>
      </c>
      <c r="G799" s="2" t="str">
        <f aca="false">PROPER(TRIM(Raw_Data!G799))</f>
        <v>426 Main St</v>
      </c>
      <c r="H799" s="2" t="str">
        <f aca="false">PROPER(TRIM(Raw_Data!H799))</f>
        <v>Debit Card</v>
      </c>
      <c r="I799" s="2" t="str">
        <f aca="false">PROPER(TRIM(Raw_Data!I799))</f>
        <v>Returned</v>
      </c>
      <c r="J799" s="2" t="str">
        <f aca="false">TRIM(UPPER(Raw_Data!J799))</f>
        <v>TRK72557318</v>
      </c>
      <c r="K799" s="2" t="n">
        <f aca="false">Raw_Data!K799</f>
        <v>2</v>
      </c>
      <c r="L799" s="2" t="str">
        <f aca="false">IF(TRIM(Raw_Data!L799)="","No Coupon",TRIM(UPPER(Raw_Data!L799)))</f>
        <v>No Coupon</v>
      </c>
      <c r="M799" s="2" t="str">
        <f aca="false">PROPER(TRIM(Raw_Data!M799))</f>
        <v>Facebook</v>
      </c>
      <c r="N799" s="4" t="n">
        <f aca="false">ROUND(E799*F799,2)</f>
        <v>877.52</v>
      </c>
      <c r="O799" s="2" t="str">
        <f aca="false">IF(COUNTIF($A$2:$A$1201,A799)&gt;1,"DUPLICATE","Unique")</f>
        <v>Unique</v>
      </c>
      <c r="P799" s="2" t="str">
        <f aca="false">IF(L799="","MISSING","OK")</f>
        <v>OK</v>
      </c>
      <c r="Q799" s="2" t="str">
        <f aca="false">IF(ISNUMBER(B799),"OK","BAD DATE")</f>
        <v>OK</v>
      </c>
      <c r="R799" s="2" t="str">
        <f aca="false">IF(ROUND(F799,2)=F799,"OK","FIX")</f>
        <v>OK</v>
      </c>
    </row>
    <row r="800" customFormat="false" ht="15" hidden="false" customHeight="false" outlineLevel="0" collapsed="false">
      <c r="A800" s="2" t="str">
        <f aca="false">TRIM(UPPER(Raw_Data!A800))</f>
        <v>ORD200798</v>
      </c>
      <c r="B800" s="3" t="n">
        <f aca="false">IF(ISNUMBER(Raw_Data!B800),Raw_Data!B800,DATEVALUE(Raw_Data!B800))</f>
        <v>45796</v>
      </c>
      <c r="C800" s="2" t="str">
        <f aca="false">TRIM(UPPER(Raw_Data!C800))</f>
        <v>C20861</v>
      </c>
      <c r="D800" s="2" t="str">
        <f aca="false">PROPER(TRIM(Raw_Data!D800))</f>
        <v>Phone</v>
      </c>
      <c r="E800" s="2" t="n">
        <f aca="false">Raw_Data!E800</f>
        <v>5</v>
      </c>
      <c r="F800" s="4" t="n">
        <f aca="false">ROUND(Raw_Data!F800,2)</f>
        <v>488.35</v>
      </c>
      <c r="G800" s="2" t="str">
        <f aca="false">PROPER(TRIM(Raw_Data!G800))</f>
        <v>968 Main St</v>
      </c>
      <c r="H800" s="2" t="str">
        <f aca="false">PROPER(TRIM(Raw_Data!H800))</f>
        <v>Debit Card</v>
      </c>
      <c r="I800" s="2" t="str">
        <f aca="false">PROPER(TRIM(Raw_Data!I800))</f>
        <v>Returned</v>
      </c>
      <c r="J800" s="2" t="str">
        <f aca="false">TRIM(UPPER(Raw_Data!J800))</f>
        <v>TRK89372013</v>
      </c>
      <c r="K800" s="2" t="n">
        <f aca="false">Raw_Data!K800</f>
        <v>9</v>
      </c>
      <c r="L800" s="2" t="str">
        <f aca="false">IF(TRIM(Raw_Data!L800)="","No Coupon",TRIM(UPPER(Raw_Data!L800)))</f>
        <v>FREESHIP</v>
      </c>
      <c r="M800" s="2" t="str">
        <f aca="false">PROPER(TRIM(Raw_Data!M800))</f>
        <v>Email</v>
      </c>
      <c r="N800" s="4" t="n">
        <f aca="false">ROUND(E800*F800,2)</f>
        <v>2441.75</v>
      </c>
      <c r="O800" s="2" t="str">
        <f aca="false">IF(COUNTIF($A$2:$A$1201,A800)&gt;1,"DUPLICATE","Unique")</f>
        <v>Unique</v>
      </c>
      <c r="P800" s="2" t="str">
        <f aca="false">IF(L800="","MISSING","OK")</f>
        <v>OK</v>
      </c>
      <c r="Q800" s="2" t="str">
        <f aca="false">IF(ISNUMBER(B800),"OK","BAD DATE")</f>
        <v>OK</v>
      </c>
      <c r="R800" s="2" t="str">
        <f aca="false">IF(ROUND(F800,2)=F800,"OK","FIX")</f>
        <v>OK</v>
      </c>
    </row>
    <row r="801" customFormat="false" ht="15" hidden="false" customHeight="false" outlineLevel="0" collapsed="false">
      <c r="A801" s="2" t="str">
        <f aca="false">TRIM(UPPER(Raw_Data!A801))</f>
        <v>ORD200799</v>
      </c>
      <c r="B801" s="3" t="n">
        <f aca="false">IF(ISNUMBER(Raw_Data!B801),Raw_Data!B801,DATEVALUE(Raw_Data!B801))</f>
        <v>45032</v>
      </c>
      <c r="C801" s="2" t="str">
        <f aca="false">TRIM(UPPER(Raw_Data!C801))</f>
        <v>C26364</v>
      </c>
      <c r="D801" s="2" t="str">
        <f aca="false">PROPER(TRIM(Raw_Data!D801))</f>
        <v>Laptop</v>
      </c>
      <c r="E801" s="2" t="n">
        <f aca="false">Raw_Data!E801</f>
        <v>4</v>
      </c>
      <c r="F801" s="4" t="n">
        <f aca="false">ROUND(Raw_Data!F801,2)</f>
        <v>328.56</v>
      </c>
      <c r="G801" s="2" t="str">
        <f aca="false">PROPER(TRIM(Raw_Data!G801))</f>
        <v>803 Main St</v>
      </c>
      <c r="H801" s="2" t="str">
        <f aca="false">PROPER(TRIM(Raw_Data!H801))</f>
        <v>Debit Card</v>
      </c>
      <c r="I801" s="2" t="str">
        <f aca="false">PROPER(TRIM(Raw_Data!I801))</f>
        <v>Returned</v>
      </c>
      <c r="J801" s="2" t="str">
        <f aca="false">TRIM(UPPER(Raw_Data!J801))</f>
        <v>TRK78924436</v>
      </c>
      <c r="K801" s="2" t="n">
        <f aca="false">Raw_Data!K801</f>
        <v>4</v>
      </c>
      <c r="L801" s="2" t="str">
        <f aca="false">IF(TRIM(Raw_Data!L801)="","No Coupon",TRIM(UPPER(Raw_Data!L801)))</f>
        <v>FREESHIP</v>
      </c>
      <c r="M801" s="2" t="str">
        <f aca="false">PROPER(TRIM(Raw_Data!M801))</f>
        <v>Email</v>
      </c>
      <c r="N801" s="4" t="n">
        <f aca="false">ROUND(E801*F801,2)</f>
        <v>1314.24</v>
      </c>
      <c r="O801" s="2" t="str">
        <f aca="false">IF(COUNTIF($A$2:$A$1201,A801)&gt;1,"DUPLICATE","Unique")</f>
        <v>Unique</v>
      </c>
      <c r="P801" s="2" t="str">
        <f aca="false">IF(L801="","MISSING","OK")</f>
        <v>OK</v>
      </c>
      <c r="Q801" s="2" t="str">
        <f aca="false">IF(ISNUMBER(B801),"OK","BAD DATE")</f>
        <v>OK</v>
      </c>
      <c r="R801" s="2" t="str">
        <f aca="false">IF(ROUND(F801,2)=F801,"OK","FIX")</f>
        <v>OK</v>
      </c>
    </row>
    <row r="802" customFormat="false" ht="15" hidden="false" customHeight="false" outlineLevel="0" collapsed="false">
      <c r="A802" s="2" t="str">
        <f aca="false">TRIM(UPPER(Raw_Data!A802))</f>
        <v>ORD200800</v>
      </c>
      <c r="B802" s="3" t="n">
        <f aca="false">IF(ISNUMBER(Raw_Data!B802),Raw_Data!B802,DATEVALUE(Raw_Data!B802))</f>
        <v>45744</v>
      </c>
      <c r="C802" s="2" t="str">
        <f aca="false">TRIM(UPPER(Raw_Data!C802))</f>
        <v>C34686</v>
      </c>
      <c r="D802" s="2" t="str">
        <f aca="false">PROPER(TRIM(Raw_Data!D802))</f>
        <v>Tablet</v>
      </c>
      <c r="E802" s="2" t="n">
        <f aca="false">Raw_Data!E802</f>
        <v>1</v>
      </c>
      <c r="F802" s="4" t="n">
        <f aca="false">ROUND(Raw_Data!F802,2)</f>
        <v>68.39</v>
      </c>
      <c r="G802" s="2" t="str">
        <f aca="false">PROPER(TRIM(Raw_Data!G802))</f>
        <v>412 Main St</v>
      </c>
      <c r="H802" s="2" t="str">
        <f aca="false">PROPER(TRIM(Raw_Data!H802))</f>
        <v>Online</v>
      </c>
      <c r="I802" s="2" t="str">
        <f aca="false">PROPER(TRIM(Raw_Data!I802))</f>
        <v>Returned</v>
      </c>
      <c r="J802" s="2" t="str">
        <f aca="false">TRIM(UPPER(Raw_Data!J802))</f>
        <v>TRK99468332</v>
      </c>
      <c r="K802" s="2" t="n">
        <f aca="false">Raw_Data!K802</f>
        <v>3</v>
      </c>
      <c r="L802" s="2" t="str">
        <f aca="false">IF(TRIM(Raw_Data!L802)="","No Coupon",TRIM(UPPER(Raw_Data!L802)))</f>
        <v>WINTER15</v>
      </c>
      <c r="M802" s="2" t="str">
        <f aca="false">PROPER(TRIM(Raw_Data!M802))</f>
        <v>Facebook</v>
      </c>
      <c r="N802" s="4" t="n">
        <f aca="false">ROUND(E802*F802,2)</f>
        <v>68.39</v>
      </c>
      <c r="O802" s="2" t="str">
        <f aca="false">IF(COUNTIF($A$2:$A$1201,A802)&gt;1,"DUPLICATE","Unique")</f>
        <v>Unique</v>
      </c>
      <c r="P802" s="2" t="str">
        <f aca="false">IF(L802="","MISSING","OK")</f>
        <v>OK</v>
      </c>
      <c r="Q802" s="2" t="str">
        <f aca="false">IF(ISNUMBER(B802),"OK","BAD DATE")</f>
        <v>OK</v>
      </c>
      <c r="R802" s="2" t="str">
        <f aca="false">IF(ROUND(F802,2)=F802,"OK","FIX")</f>
        <v>OK</v>
      </c>
    </row>
    <row r="803" customFormat="false" ht="15" hidden="false" customHeight="false" outlineLevel="0" collapsed="false">
      <c r="A803" s="2" t="str">
        <f aca="false">TRIM(UPPER(Raw_Data!A803))</f>
        <v>ORD200801</v>
      </c>
      <c r="B803" s="3" t="n">
        <f aca="false">IF(ISNUMBER(Raw_Data!B803),Raw_Data!B803,DATEVALUE(Raw_Data!B803))</f>
        <v>45049</v>
      </c>
      <c r="C803" s="2" t="str">
        <f aca="false">TRIM(UPPER(Raw_Data!C803))</f>
        <v>C97593</v>
      </c>
      <c r="D803" s="2" t="str">
        <f aca="false">PROPER(TRIM(Raw_Data!D803))</f>
        <v>Printer</v>
      </c>
      <c r="E803" s="2" t="n">
        <f aca="false">Raw_Data!E803</f>
        <v>4</v>
      </c>
      <c r="F803" s="4" t="n">
        <f aca="false">ROUND(Raw_Data!F803,2)</f>
        <v>595.62</v>
      </c>
      <c r="G803" s="2" t="str">
        <f aca="false">PROPER(TRIM(Raw_Data!G803))</f>
        <v>738 Main St</v>
      </c>
      <c r="H803" s="2" t="str">
        <f aca="false">PROPER(TRIM(Raw_Data!H803))</f>
        <v>Debit Card</v>
      </c>
      <c r="I803" s="2" t="str">
        <f aca="false">PROPER(TRIM(Raw_Data!I803))</f>
        <v>Pending</v>
      </c>
      <c r="J803" s="2" t="str">
        <f aca="false">TRIM(UPPER(Raw_Data!J803))</f>
        <v>TRK58443593</v>
      </c>
      <c r="K803" s="2" t="n">
        <f aca="false">Raw_Data!K803</f>
        <v>8</v>
      </c>
      <c r="L803" s="2" t="str">
        <f aca="false">IF(TRIM(Raw_Data!L803)="","No Coupon",TRIM(UPPER(Raw_Data!L803)))</f>
        <v>FREESHIP</v>
      </c>
      <c r="M803" s="2" t="str">
        <f aca="false">PROPER(TRIM(Raw_Data!M803))</f>
        <v>Facebook</v>
      </c>
      <c r="N803" s="4" t="n">
        <f aca="false">ROUND(E803*F803,2)</f>
        <v>2382.48</v>
      </c>
      <c r="O803" s="2" t="str">
        <f aca="false">IF(COUNTIF($A$2:$A$1201,A803)&gt;1,"DUPLICATE","Unique")</f>
        <v>Unique</v>
      </c>
      <c r="P803" s="2" t="str">
        <f aca="false">IF(L803="","MISSING","OK")</f>
        <v>OK</v>
      </c>
      <c r="Q803" s="2" t="str">
        <f aca="false">IF(ISNUMBER(B803),"OK","BAD DATE")</f>
        <v>OK</v>
      </c>
      <c r="R803" s="2" t="str">
        <f aca="false">IF(ROUND(F803,2)=F803,"OK","FIX")</f>
        <v>OK</v>
      </c>
    </row>
    <row r="804" customFormat="false" ht="15" hidden="false" customHeight="false" outlineLevel="0" collapsed="false">
      <c r="A804" s="2" t="str">
        <f aca="false">TRIM(UPPER(Raw_Data!A804))</f>
        <v>ORD200802</v>
      </c>
      <c r="B804" s="3" t="n">
        <f aca="false">IF(ISNUMBER(Raw_Data!B804),Raw_Data!B804,DATEVALUE(Raw_Data!B804))</f>
        <v>45339</v>
      </c>
      <c r="C804" s="2" t="str">
        <f aca="false">TRIM(UPPER(Raw_Data!C804))</f>
        <v>C84331</v>
      </c>
      <c r="D804" s="2" t="str">
        <f aca="false">PROPER(TRIM(Raw_Data!D804))</f>
        <v>Chair</v>
      </c>
      <c r="E804" s="2" t="n">
        <f aca="false">Raw_Data!E804</f>
        <v>5</v>
      </c>
      <c r="F804" s="4" t="n">
        <f aca="false">ROUND(Raw_Data!F804,2)</f>
        <v>644.64</v>
      </c>
      <c r="G804" s="2" t="str">
        <f aca="false">PROPER(TRIM(Raw_Data!G804))</f>
        <v>205 Main St</v>
      </c>
      <c r="H804" s="2" t="str">
        <f aca="false">PROPER(TRIM(Raw_Data!H804))</f>
        <v>Gift Card</v>
      </c>
      <c r="I804" s="2" t="str">
        <f aca="false">PROPER(TRIM(Raw_Data!I804))</f>
        <v>Cancelled</v>
      </c>
      <c r="J804" s="2" t="str">
        <f aca="false">TRIM(UPPER(Raw_Data!J804))</f>
        <v>TRK34440714</v>
      </c>
      <c r="K804" s="2" t="n">
        <f aca="false">Raw_Data!K804</f>
        <v>6</v>
      </c>
      <c r="L804" s="2" t="str">
        <f aca="false">IF(TRIM(Raw_Data!L804)="","No Coupon",TRIM(UPPER(Raw_Data!L804)))</f>
        <v>FREESHIP</v>
      </c>
      <c r="M804" s="2" t="str">
        <f aca="false">PROPER(TRIM(Raw_Data!M804))</f>
        <v>Email</v>
      </c>
      <c r="N804" s="4" t="n">
        <f aca="false">ROUND(E804*F804,2)</f>
        <v>3223.2</v>
      </c>
      <c r="O804" s="2" t="str">
        <f aca="false">IF(COUNTIF($A$2:$A$1201,A804)&gt;1,"DUPLICATE","Unique")</f>
        <v>Unique</v>
      </c>
      <c r="P804" s="2" t="str">
        <f aca="false">IF(L804="","MISSING","OK")</f>
        <v>OK</v>
      </c>
      <c r="Q804" s="2" t="str">
        <f aca="false">IF(ISNUMBER(B804),"OK","BAD DATE")</f>
        <v>OK</v>
      </c>
      <c r="R804" s="2" t="str">
        <f aca="false">IF(ROUND(F804,2)=F804,"OK","FIX")</f>
        <v>OK</v>
      </c>
    </row>
    <row r="805" customFormat="false" ht="15" hidden="false" customHeight="false" outlineLevel="0" collapsed="false">
      <c r="A805" s="2" t="str">
        <f aca="false">TRIM(UPPER(Raw_Data!A805))</f>
        <v>ORD200803</v>
      </c>
      <c r="B805" s="3" t="n">
        <f aca="false">IF(ISNUMBER(Raw_Data!B805),Raw_Data!B805,DATEVALUE(Raw_Data!B805))</f>
        <v>45158</v>
      </c>
      <c r="C805" s="2" t="str">
        <f aca="false">TRIM(UPPER(Raw_Data!C805))</f>
        <v>C88775</v>
      </c>
      <c r="D805" s="2" t="str">
        <f aca="false">PROPER(TRIM(Raw_Data!D805))</f>
        <v>Monitor</v>
      </c>
      <c r="E805" s="2" t="n">
        <f aca="false">Raw_Data!E805</f>
        <v>5</v>
      </c>
      <c r="F805" s="4" t="n">
        <f aca="false">ROUND(Raw_Data!F805,2)</f>
        <v>397.81</v>
      </c>
      <c r="G805" s="2" t="str">
        <f aca="false">PROPER(TRIM(Raw_Data!G805))</f>
        <v>223 Main St</v>
      </c>
      <c r="H805" s="2" t="str">
        <f aca="false">PROPER(TRIM(Raw_Data!H805))</f>
        <v>Debit Card</v>
      </c>
      <c r="I805" s="2" t="str">
        <f aca="false">PROPER(TRIM(Raw_Data!I805))</f>
        <v>Returned</v>
      </c>
      <c r="J805" s="2" t="str">
        <f aca="false">TRIM(UPPER(Raw_Data!J805))</f>
        <v>TRK45098068</v>
      </c>
      <c r="K805" s="2" t="n">
        <f aca="false">Raw_Data!K805</f>
        <v>5</v>
      </c>
      <c r="L805" s="2" t="str">
        <f aca="false">IF(TRIM(Raw_Data!L805)="","No Coupon",TRIM(UPPER(Raw_Data!L805)))</f>
        <v>SAVE10</v>
      </c>
      <c r="M805" s="2" t="str">
        <f aca="false">PROPER(TRIM(Raw_Data!M805))</f>
        <v>Referral</v>
      </c>
      <c r="N805" s="4" t="n">
        <f aca="false">ROUND(E805*F805,2)</f>
        <v>1989.05</v>
      </c>
      <c r="O805" s="2" t="str">
        <f aca="false">IF(COUNTIF($A$2:$A$1201,A805)&gt;1,"DUPLICATE","Unique")</f>
        <v>Unique</v>
      </c>
      <c r="P805" s="2" t="str">
        <f aca="false">IF(L805="","MISSING","OK")</f>
        <v>OK</v>
      </c>
      <c r="Q805" s="2" t="str">
        <f aca="false">IF(ISNUMBER(B805),"OK","BAD DATE")</f>
        <v>OK</v>
      </c>
      <c r="R805" s="2" t="str">
        <f aca="false">IF(ROUND(F805,2)=F805,"OK","FIX")</f>
        <v>OK</v>
      </c>
    </row>
    <row r="806" customFormat="false" ht="15" hidden="false" customHeight="false" outlineLevel="0" collapsed="false">
      <c r="A806" s="2" t="str">
        <f aca="false">TRIM(UPPER(Raw_Data!A806))</f>
        <v>ORD200804</v>
      </c>
      <c r="B806" s="3" t="n">
        <f aca="false">IF(ISNUMBER(Raw_Data!B806),Raw_Data!B806,DATEVALUE(Raw_Data!B806))</f>
        <v>45292</v>
      </c>
      <c r="C806" s="2" t="str">
        <f aca="false">TRIM(UPPER(Raw_Data!C806))</f>
        <v>C76362</v>
      </c>
      <c r="D806" s="2" t="str">
        <f aca="false">PROPER(TRIM(Raw_Data!D806))</f>
        <v>Chair</v>
      </c>
      <c r="E806" s="2" t="n">
        <f aca="false">Raw_Data!E806</f>
        <v>3</v>
      </c>
      <c r="F806" s="4" t="n">
        <f aca="false">ROUND(Raw_Data!F806,2)</f>
        <v>236.5</v>
      </c>
      <c r="G806" s="2" t="str">
        <f aca="false">PROPER(TRIM(Raw_Data!G806))</f>
        <v>916 Main St</v>
      </c>
      <c r="H806" s="2" t="str">
        <f aca="false">PROPER(TRIM(Raw_Data!H806))</f>
        <v>Online</v>
      </c>
      <c r="I806" s="2" t="str">
        <f aca="false">PROPER(TRIM(Raw_Data!I806))</f>
        <v>Delivered</v>
      </c>
      <c r="J806" s="2" t="str">
        <f aca="false">TRIM(UPPER(Raw_Data!J806))</f>
        <v>TRK11868618</v>
      </c>
      <c r="K806" s="2" t="n">
        <f aca="false">Raw_Data!K806</f>
        <v>8</v>
      </c>
      <c r="L806" s="2" t="str">
        <f aca="false">IF(TRIM(Raw_Data!L806)="","No Coupon",TRIM(UPPER(Raw_Data!L806)))</f>
        <v>FREESHIP</v>
      </c>
      <c r="M806" s="2" t="str">
        <f aca="false">PROPER(TRIM(Raw_Data!M806))</f>
        <v>Email</v>
      </c>
      <c r="N806" s="4" t="n">
        <f aca="false">ROUND(E806*F806,2)</f>
        <v>709.5</v>
      </c>
      <c r="O806" s="2" t="str">
        <f aca="false">IF(COUNTIF($A$2:$A$1201,A806)&gt;1,"DUPLICATE","Unique")</f>
        <v>Unique</v>
      </c>
      <c r="P806" s="2" t="str">
        <f aca="false">IF(L806="","MISSING","OK")</f>
        <v>OK</v>
      </c>
      <c r="Q806" s="2" t="str">
        <f aca="false">IF(ISNUMBER(B806),"OK","BAD DATE")</f>
        <v>OK</v>
      </c>
      <c r="R806" s="2" t="str">
        <f aca="false">IF(ROUND(F806,2)=F806,"OK","FIX")</f>
        <v>OK</v>
      </c>
    </row>
    <row r="807" customFormat="false" ht="15" hidden="false" customHeight="false" outlineLevel="0" collapsed="false">
      <c r="A807" s="2" t="str">
        <f aca="false">TRIM(UPPER(Raw_Data!A807))</f>
        <v>ORD200805</v>
      </c>
      <c r="B807" s="3" t="n">
        <f aca="false">IF(ISNUMBER(Raw_Data!B807),Raw_Data!B807,DATEVALUE(Raw_Data!B807))</f>
        <v>45580</v>
      </c>
      <c r="C807" s="2" t="str">
        <f aca="false">TRIM(UPPER(Raw_Data!C807))</f>
        <v>C59278</v>
      </c>
      <c r="D807" s="2" t="str">
        <f aca="false">PROPER(TRIM(Raw_Data!D807))</f>
        <v>Laptop</v>
      </c>
      <c r="E807" s="2" t="n">
        <f aca="false">Raw_Data!E807</f>
        <v>5</v>
      </c>
      <c r="F807" s="4" t="n">
        <f aca="false">ROUND(Raw_Data!F807,2)</f>
        <v>472.01</v>
      </c>
      <c r="G807" s="2" t="str">
        <f aca="false">PROPER(TRIM(Raw_Data!G807))</f>
        <v>178 Main St</v>
      </c>
      <c r="H807" s="2" t="str">
        <f aca="false">PROPER(TRIM(Raw_Data!H807))</f>
        <v>Gift Card</v>
      </c>
      <c r="I807" s="2" t="str">
        <f aca="false">PROPER(TRIM(Raw_Data!I807))</f>
        <v>Cancelled</v>
      </c>
      <c r="J807" s="2" t="str">
        <f aca="false">TRIM(UPPER(Raw_Data!J807))</f>
        <v>TRK14590037</v>
      </c>
      <c r="K807" s="2" t="n">
        <f aca="false">Raw_Data!K807</f>
        <v>10</v>
      </c>
      <c r="L807" s="2" t="str">
        <f aca="false">IF(TRIM(Raw_Data!L807)="","No Coupon",TRIM(UPPER(Raw_Data!L807)))</f>
        <v>SAVE10</v>
      </c>
      <c r="M807" s="2" t="str">
        <f aca="false">PROPER(TRIM(Raw_Data!M807))</f>
        <v>Email</v>
      </c>
      <c r="N807" s="4" t="n">
        <f aca="false">ROUND(E807*F807,2)</f>
        <v>2360.05</v>
      </c>
      <c r="O807" s="2" t="str">
        <f aca="false">IF(COUNTIF($A$2:$A$1201,A807)&gt;1,"DUPLICATE","Unique")</f>
        <v>Unique</v>
      </c>
      <c r="P807" s="2" t="str">
        <f aca="false">IF(L807="","MISSING","OK")</f>
        <v>OK</v>
      </c>
      <c r="Q807" s="2" t="str">
        <f aca="false">IF(ISNUMBER(B807),"OK","BAD DATE")</f>
        <v>OK</v>
      </c>
      <c r="R807" s="2" t="str">
        <f aca="false">IF(ROUND(F807,2)=F807,"OK","FIX")</f>
        <v>OK</v>
      </c>
    </row>
    <row r="808" customFormat="false" ht="15" hidden="false" customHeight="false" outlineLevel="0" collapsed="false">
      <c r="A808" s="2" t="str">
        <f aca="false">TRIM(UPPER(Raw_Data!A808))</f>
        <v>ORD200806</v>
      </c>
      <c r="B808" s="3" t="n">
        <f aca="false">IF(ISNUMBER(Raw_Data!B808),Raw_Data!B808,DATEVALUE(Raw_Data!B808))</f>
        <v>45170</v>
      </c>
      <c r="C808" s="2" t="str">
        <f aca="false">TRIM(UPPER(Raw_Data!C808))</f>
        <v>C55819</v>
      </c>
      <c r="D808" s="2" t="str">
        <f aca="false">PROPER(TRIM(Raw_Data!D808))</f>
        <v>Chair</v>
      </c>
      <c r="E808" s="2" t="n">
        <f aca="false">Raw_Data!E808</f>
        <v>5</v>
      </c>
      <c r="F808" s="4" t="n">
        <f aca="false">ROUND(Raw_Data!F808,2)</f>
        <v>253.75</v>
      </c>
      <c r="G808" s="2" t="str">
        <f aca="false">PROPER(TRIM(Raw_Data!G808))</f>
        <v>740 Main St</v>
      </c>
      <c r="H808" s="2" t="str">
        <f aca="false">PROPER(TRIM(Raw_Data!H808))</f>
        <v>Online</v>
      </c>
      <c r="I808" s="2" t="str">
        <f aca="false">PROPER(TRIM(Raw_Data!I808))</f>
        <v>Pending</v>
      </c>
      <c r="J808" s="2" t="str">
        <f aca="false">TRIM(UPPER(Raw_Data!J808))</f>
        <v>TRK13775054</v>
      </c>
      <c r="K808" s="2" t="n">
        <f aca="false">Raw_Data!K808</f>
        <v>9</v>
      </c>
      <c r="L808" s="2" t="str">
        <f aca="false">IF(TRIM(Raw_Data!L808)="","No Coupon",TRIM(UPPER(Raw_Data!L808)))</f>
        <v>WINTER15</v>
      </c>
      <c r="M808" s="2" t="str">
        <f aca="false">PROPER(TRIM(Raw_Data!M808))</f>
        <v>Instagram</v>
      </c>
      <c r="N808" s="4" t="n">
        <f aca="false">ROUND(E808*F808,2)</f>
        <v>1268.75</v>
      </c>
      <c r="O808" s="2" t="str">
        <f aca="false">IF(COUNTIF($A$2:$A$1201,A808)&gt;1,"DUPLICATE","Unique")</f>
        <v>Unique</v>
      </c>
      <c r="P808" s="2" t="str">
        <f aca="false">IF(L808="","MISSING","OK")</f>
        <v>OK</v>
      </c>
      <c r="Q808" s="2" t="str">
        <f aca="false">IF(ISNUMBER(B808),"OK","BAD DATE")</f>
        <v>OK</v>
      </c>
      <c r="R808" s="2" t="str">
        <f aca="false">IF(ROUND(F808,2)=F808,"OK","FIX")</f>
        <v>OK</v>
      </c>
    </row>
    <row r="809" customFormat="false" ht="15" hidden="false" customHeight="false" outlineLevel="0" collapsed="false">
      <c r="A809" s="2" t="str">
        <f aca="false">TRIM(UPPER(Raw_Data!A809))</f>
        <v>ORD200807</v>
      </c>
      <c r="B809" s="3" t="n">
        <f aca="false">IF(ISNUMBER(Raw_Data!B809),Raw_Data!B809,DATEVALUE(Raw_Data!B809))</f>
        <v>45606</v>
      </c>
      <c r="C809" s="2" t="str">
        <f aca="false">TRIM(UPPER(Raw_Data!C809))</f>
        <v>C82344</v>
      </c>
      <c r="D809" s="2" t="str">
        <f aca="false">PROPER(TRIM(Raw_Data!D809))</f>
        <v>Monitor</v>
      </c>
      <c r="E809" s="2" t="n">
        <f aca="false">Raw_Data!E809</f>
        <v>3</v>
      </c>
      <c r="F809" s="4" t="n">
        <f aca="false">ROUND(Raw_Data!F809,2)</f>
        <v>676.21</v>
      </c>
      <c r="G809" s="2" t="str">
        <f aca="false">PROPER(TRIM(Raw_Data!G809))</f>
        <v>260 Main St</v>
      </c>
      <c r="H809" s="2" t="str">
        <f aca="false">PROPER(TRIM(Raw_Data!H809))</f>
        <v>Online</v>
      </c>
      <c r="I809" s="2" t="str">
        <f aca="false">PROPER(TRIM(Raw_Data!I809))</f>
        <v>Delivered</v>
      </c>
      <c r="J809" s="2" t="str">
        <f aca="false">TRIM(UPPER(Raw_Data!J809))</f>
        <v>TRK70957219</v>
      </c>
      <c r="K809" s="2" t="n">
        <f aca="false">Raw_Data!K809</f>
        <v>5</v>
      </c>
      <c r="L809" s="2" t="str">
        <f aca="false">IF(TRIM(Raw_Data!L809)="","No Coupon",TRIM(UPPER(Raw_Data!L809)))</f>
        <v>SAVE10</v>
      </c>
      <c r="M809" s="2" t="str">
        <f aca="false">PROPER(TRIM(Raw_Data!M809))</f>
        <v>Google</v>
      </c>
      <c r="N809" s="4" t="n">
        <f aca="false">ROUND(E809*F809,2)</f>
        <v>2028.63</v>
      </c>
      <c r="O809" s="2" t="str">
        <f aca="false">IF(COUNTIF($A$2:$A$1201,A809)&gt;1,"DUPLICATE","Unique")</f>
        <v>Unique</v>
      </c>
      <c r="P809" s="2" t="str">
        <f aca="false">IF(L809="","MISSING","OK")</f>
        <v>OK</v>
      </c>
      <c r="Q809" s="2" t="str">
        <f aca="false">IF(ISNUMBER(B809),"OK","BAD DATE")</f>
        <v>OK</v>
      </c>
      <c r="R809" s="2" t="str">
        <f aca="false">IF(ROUND(F809,2)=F809,"OK","FIX")</f>
        <v>OK</v>
      </c>
    </row>
    <row r="810" customFormat="false" ht="15" hidden="false" customHeight="false" outlineLevel="0" collapsed="false">
      <c r="A810" s="2" t="str">
        <f aca="false">TRIM(UPPER(Raw_Data!A810))</f>
        <v>ORD200808</v>
      </c>
      <c r="B810" s="3" t="n">
        <f aca="false">IF(ISNUMBER(Raw_Data!B810),Raw_Data!B810,DATEVALUE(Raw_Data!B810))</f>
        <v>45335</v>
      </c>
      <c r="C810" s="2" t="str">
        <f aca="false">TRIM(UPPER(Raw_Data!C810))</f>
        <v>C65565</v>
      </c>
      <c r="D810" s="2" t="str">
        <f aca="false">PROPER(TRIM(Raw_Data!D810))</f>
        <v>Desk</v>
      </c>
      <c r="E810" s="2" t="n">
        <f aca="false">Raw_Data!E810</f>
        <v>3</v>
      </c>
      <c r="F810" s="4" t="n">
        <f aca="false">ROUND(Raw_Data!F810,2)</f>
        <v>134.05</v>
      </c>
      <c r="G810" s="2" t="str">
        <f aca="false">PROPER(TRIM(Raw_Data!G810))</f>
        <v>192 Main St</v>
      </c>
      <c r="H810" s="2" t="str">
        <f aca="false">PROPER(TRIM(Raw_Data!H810))</f>
        <v>Credit Card</v>
      </c>
      <c r="I810" s="2" t="str">
        <f aca="false">PROPER(TRIM(Raw_Data!I810))</f>
        <v>Shipped</v>
      </c>
      <c r="J810" s="2" t="str">
        <f aca="false">TRIM(UPPER(Raw_Data!J810))</f>
        <v>TRK80383756</v>
      </c>
      <c r="K810" s="2" t="n">
        <f aca="false">Raw_Data!K810</f>
        <v>3</v>
      </c>
      <c r="L810" s="2" t="str">
        <f aca="false">IF(TRIM(Raw_Data!L810)="","No Coupon",TRIM(UPPER(Raw_Data!L810)))</f>
        <v>No Coupon</v>
      </c>
      <c r="M810" s="2" t="str">
        <f aca="false">PROPER(TRIM(Raw_Data!M810))</f>
        <v>Google</v>
      </c>
      <c r="N810" s="4" t="n">
        <f aca="false">ROUND(E810*F810,2)</f>
        <v>402.15</v>
      </c>
      <c r="O810" s="2" t="str">
        <f aca="false">IF(COUNTIF($A$2:$A$1201,A810)&gt;1,"DUPLICATE","Unique")</f>
        <v>Unique</v>
      </c>
      <c r="P810" s="2" t="str">
        <f aca="false">IF(L810="","MISSING","OK")</f>
        <v>OK</v>
      </c>
      <c r="Q810" s="2" t="str">
        <f aca="false">IF(ISNUMBER(B810),"OK","BAD DATE")</f>
        <v>OK</v>
      </c>
      <c r="R810" s="2" t="str">
        <f aca="false">IF(ROUND(F810,2)=F810,"OK","FIX")</f>
        <v>OK</v>
      </c>
    </row>
    <row r="811" customFormat="false" ht="15" hidden="false" customHeight="false" outlineLevel="0" collapsed="false">
      <c r="A811" s="2" t="str">
        <f aca="false">TRIM(UPPER(Raw_Data!A811))</f>
        <v>ORD200809</v>
      </c>
      <c r="B811" s="3" t="n">
        <f aca="false">IF(ISNUMBER(Raw_Data!B811),Raw_Data!B811,DATEVALUE(Raw_Data!B811))</f>
        <v>45391</v>
      </c>
      <c r="C811" s="2" t="str">
        <f aca="false">TRIM(UPPER(Raw_Data!C811))</f>
        <v>C80416</v>
      </c>
      <c r="D811" s="2" t="str">
        <f aca="false">PROPER(TRIM(Raw_Data!D811))</f>
        <v>Desk</v>
      </c>
      <c r="E811" s="2" t="n">
        <f aca="false">Raw_Data!E811</f>
        <v>5</v>
      </c>
      <c r="F811" s="4" t="n">
        <f aca="false">ROUND(Raw_Data!F811,2)</f>
        <v>217.43</v>
      </c>
      <c r="G811" s="2" t="str">
        <f aca="false">PROPER(TRIM(Raw_Data!G811))</f>
        <v>752 Main St</v>
      </c>
      <c r="H811" s="2" t="str">
        <f aca="false">PROPER(TRIM(Raw_Data!H811))</f>
        <v>Debit Card</v>
      </c>
      <c r="I811" s="2" t="str">
        <f aca="false">PROPER(TRIM(Raw_Data!I811))</f>
        <v>Shipped</v>
      </c>
      <c r="J811" s="2" t="str">
        <f aca="false">TRIM(UPPER(Raw_Data!J811))</f>
        <v>TRK54385892</v>
      </c>
      <c r="K811" s="2" t="n">
        <f aca="false">Raw_Data!K811</f>
        <v>10</v>
      </c>
      <c r="L811" s="2" t="str">
        <f aca="false">IF(TRIM(Raw_Data!L811)="","No Coupon",TRIM(UPPER(Raw_Data!L811)))</f>
        <v>SAVE10</v>
      </c>
      <c r="M811" s="2" t="str">
        <f aca="false">PROPER(TRIM(Raw_Data!M811))</f>
        <v>Instagram</v>
      </c>
      <c r="N811" s="4" t="n">
        <f aca="false">ROUND(E811*F811,2)</f>
        <v>1087.15</v>
      </c>
      <c r="O811" s="2" t="str">
        <f aca="false">IF(COUNTIF($A$2:$A$1201,A811)&gt;1,"DUPLICATE","Unique")</f>
        <v>Unique</v>
      </c>
      <c r="P811" s="2" t="str">
        <f aca="false">IF(L811="","MISSING","OK")</f>
        <v>OK</v>
      </c>
      <c r="Q811" s="2" t="str">
        <f aca="false">IF(ISNUMBER(B811),"OK","BAD DATE")</f>
        <v>OK</v>
      </c>
      <c r="R811" s="2" t="str">
        <f aca="false">IF(ROUND(F811,2)=F811,"OK","FIX")</f>
        <v>OK</v>
      </c>
    </row>
    <row r="812" customFormat="false" ht="15" hidden="false" customHeight="false" outlineLevel="0" collapsed="false">
      <c r="A812" s="2" t="str">
        <f aca="false">TRIM(UPPER(Raw_Data!A812))</f>
        <v>ORD200810</v>
      </c>
      <c r="B812" s="3" t="n">
        <f aca="false">IF(ISNUMBER(Raw_Data!B812),Raw_Data!B812,DATEVALUE(Raw_Data!B812))</f>
        <v>45077</v>
      </c>
      <c r="C812" s="2" t="str">
        <f aca="false">TRIM(UPPER(Raw_Data!C812))</f>
        <v>C23637</v>
      </c>
      <c r="D812" s="2" t="str">
        <f aca="false">PROPER(TRIM(Raw_Data!D812))</f>
        <v>Tablet</v>
      </c>
      <c r="E812" s="2" t="n">
        <f aca="false">Raw_Data!E812</f>
        <v>1</v>
      </c>
      <c r="F812" s="4" t="n">
        <f aca="false">ROUND(Raw_Data!F812,2)</f>
        <v>553.56</v>
      </c>
      <c r="G812" s="2" t="str">
        <f aca="false">PROPER(TRIM(Raw_Data!G812))</f>
        <v>644 Main St</v>
      </c>
      <c r="H812" s="2" t="str">
        <f aca="false">PROPER(TRIM(Raw_Data!H812))</f>
        <v>Credit Card</v>
      </c>
      <c r="I812" s="2" t="str">
        <f aca="false">PROPER(TRIM(Raw_Data!I812))</f>
        <v>Cancelled</v>
      </c>
      <c r="J812" s="2" t="str">
        <f aca="false">TRIM(UPPER(Raw_Data!J812))</f>
        <v>TRK16749863</v>
      </c>
      <c r="K812" s="2" t="n">
        <f aca="false">Raw_Data!K812</f>
        <v>5</v>
      </c>
      <c r="L812" s="2" t="str">
        <f aca="false">IF(TRIM(Raw_Data!L812)="","No Coupon",TRIM(UPPER(Raw_Data!L812)))</f>
        <v>No Coupon</v>
      </c>
      <c r="M812" s="2" t="str">
        <f aca="false">PROPER(TRIM(Raw_Data!M812))</f>
        <v>Referral</v>
      </c>
      <c r="N812" s="4" t="n">
        <f aca="false">ROUND(E812*F812,2)</f>
        <v>553.56</v>
      </c>
      <c r="O812" s="2" t="str">
        <f aca="false">IF(COUNTIF($A$2:$A$1201,A812)&gt;1,"DUPLICATE","Unique")</f>
        <v>Unique</v>
      </c>
      <c r="P812" s="2" t="str">
        <f aca="false">IF(L812="","MISSING","OK")</f>
        <v>OK</v>
      </c>
      <c r="Q812" s="2" t="str">
        <f aca="false">IF(ISNUMBER(B812),"OK","BAD DATE")</f>
        <v>OK</v>
      </c>
      <c r="R812" s="2" t="str">
        <f aca="false">IF(ROUND(F812,2)=F812,"OK","FIX")</f>
        <v>OK</v>
      </c>
    </row>
    <row r="813" customFormat="false" ht="15" hidden="false" customHeight="false" outlineLevel="0" collapsed="false">
      <c r="A813" s="2" t="str">
        <f aca="false">TRIM(UPPER(Raw_Data!A813))</f>
        <v>ORD200811</v>
      </c>
      <c r="B813" s="3" t="n">
        <f aca="false">IF(ISNUMBER(Raw_Data!B813),Raw_Data!B813,DATEVALUE(Raw_Data!B813))</f>
        <v>45235</v>
      </c>
      <c r="C813" s="2" t="str">
        <f aca="false">TRIM(UPPER(Raw_Data!C813))</f>
        <v>C24769</v>
      </c>
      <c r="D813" s="2" t="str">
        <f aca="false">PROPER(TRIM(Raw_Data!D813))</f>
        <v>Laptop</v>
      </c>
      <c r="E813" s="2" t="n">
        <f aca="false">Raw_Data!E813</f>
        <v>2</v>
      </c>
      <c r="F813" s="4" t="n">
        <f aca="false">ROUND(Raw_Data!F813,2)</f>
        <v>28.55</v>
      </c>
      <c r="G813" s="2" t="str">
        <f aca="false">PROPER(TRIM(Raw_Data!G813))</f>
        <v>864 Main St</v>
      </c>
      <c r="H813" s="2" t="str">
        <f aca="false">PROPER(TRIM(Raw_Data!H813))</f>
        <v>Gift Card</v>
      </c>
      <c r="I813" s="2" t="str">
        <f aca="false">PROPER(TRIM(Raw_Data!I813))</f>
        <v>Shipped</v>
      </c>
      <c r="J813" s="2" t="str">
        <f aca="false">TRIM(UPPER(Raw_Data!J813))</f>
        <v>TRK44538305</v>
      </c>
      <c r="K813" s="2" t="n">
        <f aca="false">Raw_Data!K813</f>
        <v>7</v>
      </c>
      <c r="L813" s="2" t="str">
        <f aca="false">IF(TRIM(Raw_Data!L813)="","No Coupon",TRIM(UPPER(Raw_Data!L813)))</f>
        <v>SAVE10</v>
      </c>
      <c r="M813" s="2" t="str">
        <f aca="false">PROPER(TRIM(Raw_Data!M813))</f>
        <v>Email</v>
      </c>
      <c r="N813" s="4" t="n">
        <f aca="false">ROUND(E813*F813,2)</f>
        <v>57.1</v>
      </c>
      <c r="O813" s="2" t="str">
        <f aca="false">IF(COUNTIF($A$2:$A$1201,A813)&gt;1,"DUPLICATE","Unique")</f>
        <v>Unique</v>
      </c>
      <c r="P813" s="2" t="str">
        <f aca="false">IF(L813="","MISSING","OK")</f>
        <v>OK</v>
      </c>
      <c r="Q813" s="2" t="str">
        <f aca="false">IF(ISNUMBER(B813),"OK","BAD DATE")</f>
        <v>OK</v>
      </c>
      <c r="R813" s="2" t="str">
        <f aca="false">IF(ROUND(F813,2)=F813,"OK","FIX")</f>
        <v>OK</v>
      </c>
    </row>
    <row r="814" customFormat="false" ht="15" hidden="false" customHeight="false" outlineLevel="0" collapsed="false">
      <c r="A814" s="2" t="str">
        <f aca="false">TRIM(UPPER(Raw_Data!A814))</f>
        <v>ORD200812</v>
      </c>
      <c r="B814" s="3" t="n">
        <f aca="false">IF(ISNUMBER(Raw_Data!B814),Raw_Data!B814,DATEVALUE(Raw_Data!B814))</f>
        <v>45317</v>
      </c>
      <c r="C814" s="2" t="str">
        <f aca="false">TRIM(UPPER(Raw_Data!C814))</f>
        <v>C81547</v>
      </c>
      <c r="D814" s="2" t="str">
        <f aca="false">PROPER(TRIM(Raw_Data!D814))</f>
        <v>Phone</v>
      </c>
      <c r="E814" s="2" t="n">
        <f aca="false">Raw_Data!E814</f>
        <v>2</v>
      </c>
      <c r="F814" s="4" t="n">
        <f aca="false">ROUND(Raw_Data!F814,2)</f>
        <v>255.26</v>
      </c>
      <c r="G814" s="2" t="str">
        <f aca="false">PROPER(TRIM(Raw_Data!G814))</f>
        <v>803 Main St</v>
      </c>
      <c r="H814" s="2" t="str">
        <f aca="false">PROPER(TRIM(Raw_Data!H814))</f>
        <v>Credit Card</v>
      </c>
      <c r="I814" s="2" t="str">
        <f aca="false">PROPER(TRIM(Raw_Data!I814))</f>
        <v>Cancelled</v>
      </c>
      <c r="J814" s="2" t="str">
        <f aca="false">TRIM(UPPER(Raw_Data!J814))</f>
        <v>TRK88437123</v>
      </c>
      <c r="K814" s="2" t="n">
        <f aca="false">Raw_Data!K814</f>
        <v>6</v>
      </c>
      <c r="L814" s="2" t="str">
        <f aca="false">IF(TRIM(Raw_Data!L814)="","No Coupon",TRIM(UPPER(Raw_Data!L814)))</f>
        <v>FREESHIP</v>
      </c>
      <c r="M814" s="2" t="str">
        <f aca="false">PROPER(TRIM(Raw_Data!M814))</f>
        <v>Google</v>
      </c>
      <c r="N814" s="4" t="n">
        <f aca="false">ROUND(E814*F814,2)</f>
        <v>510.52</v>
      </c>
      <c r="O814" s="2" t="str">
        <f aca="false">IF(COUNTIF($A$2:$A$1201,A814)&gt;1,"DUPLICATE","Unique")</f>
        <v>Unique</v>
      </c>
      <c r="P814" s="2" t="str">
        <f aca="false">IF(L814="","MISSING","OK")</f>
        <v>OK</v>
      </c>
      <c r="Q814" s="2" t="str">
        <f aca="false">IF(ISNUMBER(B814),"OK","BAD DATE")</f>
        <v>OK</v>
      </c>
      <c r="R814" s="2" t="str">
        <f aca="false">IF(ROUND(F814,2)=F814,"OK","FIX")</f>
        <v>OK</v>
      </c>
    </row>
    <row r="815" customFormat="false" ht="15" hidden="false" customHeight="false" outlineLevel="0" collapsed="false">
      <c r="A815" s="2" t="str">
        <f aca="false">TRIM(UPPER(Raw_Data!A815))</f>
        <v>ORD200813</v>
      </c>
      <c r="B815" s="3" t="n">
        <f aca="false">IF(ISNUMBER(Raw_Data!B815),Raw_Data!B815,DATEVALUE(Raw_Data!B815))</f>
        <v>45731</v>
      </c>
      <c r="C815" s="2" t="str">
        <f aca="false">TRIM(UPPER(Raw_Data!C815))</f>
        <v>C12813</v>
      </c>
      <c r="D815" s="2" t="str">
        <f aca="false">PROPER(TRIM(Raw_Data!D815))</f>
        <v>Laptop</v>
      </c>
      <c r="E815" s="2" t="n">
        <f aca="false">Raw_Data!E815</f>
        <v>5</v>
      </c>
      <c r="F815" s="4" t="n">
        <f aca="false">ROUND(Raw_Data!F815,2)</f>
        <v>292.54</v>
      </c>
      <c r="G815" s="2" t="str">
        <f aca="false">PROPER(TRIM(Raw_Data!G815))</f>
        <v>263 Main St</v>
      </c>
      <c r="H815" s="2" t="str">
        <f aca="false">PROPER(TRIM(Raw_Data!H815))</f>
        <v>Debit Card</v>
      </c>
      <c r="I815" s="2" t="str">
        <f aca="false">PROPER(TRIM(Raw_Data!I815))</f>
        <v>Cancelled</v>
      </c>
      <c r="J815" s="2" t="str">
        <f aca="false">TRIM(UPPER(Raw_Data!J815))</f>
        <v>TRK36131660</v>
      </c>
      <c r="K815" s="2" t="n">
        <f aca="false">Raw_Data!K815</f>
        <v>8</v>
      </c>
      <c r="L815" s="2" t="str">
        <f aca="false">IF(TRIM(Raw_Data!L815)="","No Coupon",TRIM(UPPER(Raw_Data!L815)))</f>
        <v>FREESHIP</v>
      </c>
      <c r="M815" s="2" t="str">
        <f aca="false">PROPER(TRIM(Raw_Data!M815))</f>
        <v>Email</v>
      </c>
      <c r="N815" s="4" t="n">
        <f aca="false">ROUND(E815*F815,2)</f>
        <v>1462.7</v>
      </c>
      <c r="O815" s="2" t="str">
        <f aca="false">IF(COUNTIF($A$2:$A$1201,A815)&gt;1,"DUPLICATE","Unique")</f>
        <v>Unique</v>
      </c>
      <c r="P815" s="2" t="str">
        <f aca="false">IF(L815="","MISSING","OK")</f>
        <v>OK</v>
      </c>
      <c r="Q815" s="2" t="str">
        <f aca="false">IF(ISNUMBER(B815),"OK","BAD DATE")</f>
        <v>OK</v>
      </c>
      <c r="R815" s="2" t="str">
        <f aca="false">IF(ROUND(F815,2)=F815,"OK","FIX")</f>
        <v>OK</v>
      </c>
    </row>
    <row r="816" customFormat="false" ht="15" hidden="false" customHeight="false" outlineLevel="0" collapsed="false">
      <c r="A816" s="2" t="str">
        <f aca="false">TRIM(UPPER(Raw_Data!A816))</f>
        <v>ORD200814</v>
      </c>
      <c r="B816" s="3" t="n">
        <f aca="false">IF(ISNUMBER(Raw_Data!B816),Raw_Data!B816,DATEVALUE(Raw_Data!B816))</f>
        <v>45637</v>
      </c>
      <c r="C816" s="2" t="str">
        <f aca="false">TRIM(UPPER(Raw_Data!C816))</f>
        <v>C50732</v>
      </c>
      <c r="D816" s="2" t="str">
        <f aca="false">PROPER(TRIM(Raw_Data!D816))</f>
        <v>Chair</v>
      </c>
      <c r="E816" s="2" t="n">
        <f aca="false">Raw_Data!E816</f>
        <v>4</v>
      </c>
      <c r="F816" s="4" t="n">
        <f aca="false">ROUND(Raw_Data!F816,2)</f>
        <v>147.51</v>
      </c>
      <c r="G816" s="2" t="str">
        <f aca="false">PROPER(TRIM(Raw_Data!G816))</f>
        <v>979 Main St</v>
      </c>
      <c r="H816" s="2" t="str">
        <f aca="false">PROPER(TRIM(Raw_Data!H816))</f>
        <v>Debit Card</v>
      </c>
      <c r="I816" s="2" t="str">
        <f aca="false">PROPER(TRIM(Raw_Data!I816))</f>
        <v>Pending</v>
      </c>
      <c r="J816" s="2" t="str">
        <f aca="false">TRIM(UPPER(Raw_Data!J816))</f>
        <v>TRK21082461</v>
      </c>
      <c r="K816" s="2" t="n">
        <f aca="false">Raw_Data!K816</f>
        <v>4</v>
      </c>
      <c r="L816" s="2" t="str">
        <f aca="false">IF(TRIM(Raw_Data!L816)="","No Coupon",TRIM(UPPER(Raw_Data!L816)))</f>
        <v>WINTER15</v>
      </c>
      <c r="M816" s="2" t="str">
        <f aca="false">PROPER(TRIM(Raw_Data!M816))</f>
        <v>Instagram</v>
      </c>
      <c r="N816" s="4" t="n">
        <f aca="false">ROUND(E816*F816,2)</f>
        <v>590.04</v>
      </c>
      <c r="O816" s="2" t="str">
        <f aca="false">IF(COUNTIF($A$2:$A$1201,A816)&gt;1,"DUPLICATE","Unique")</f>
        <v>Unique</v>
      </c>
      <c r="P816" s="2" t="str">
        <f aca="false">IF(L816="","MISSING","OK")</f>
        <v>OK</v>
      </c>
      <c r="Q816" s="2" t="str">
        <f aca="false">IF(ISNUMBER(B816),"OK","BAD DATE")</f>
        <v>OK</v>
      </c>
      <c r="R816" s="2" t="str">
        <f aca="false">IF(ROUND(F816,2)=F816,"OK","FIX")</f>
        <v>OK</v>
      </c>
    </row>
    <row r="817" customFormat="false" ht="15" hidden="false" customHeight="false" outlineLevel="0" collapsed="false">
      <c r="A817" s="2" t="str">
        <f aca="false">TRIM(UPPER(Raw_Data!A817))</f>
        <v>ORD200815</v>
      </c>
      <c r="B817" s="3" t="n">
        <f aca="false">IF(ISNUMBER(Raw_Data!B817),Raw_Data!B817,DATEVALUE(Raw_Data!B817))</f>
        <v>45508</v>
      </c>
      <c r="C817" s="2" t="str">
        <f aca="false">TRIM(UPPER(Raw_Data!C817))</f>
        <v>C41320</v>
      </c>
      <c r="D817" s="2" t="str">
        <f aca="false">PROPER(TRIM(Raw_Data!D817))</f>
        <v>Printer</v>
      </c>
      <c r="E817" s="2" t="n">
        <f aca="false">Raw_Data!E817</f>
        <v>3</v>
      </c>
      <c r="F817" s="4" t="n">
        <f aca="false">ROUND(Raw_Data!F817,2)</f>
        <v>569.84</v>
      </c>
      <c r="G817" s="2" t="str">
        <f aca="false">PROPER(TRIM(Raw_Data!G817))</f>
        <v>920 Main St</v>
      </c>
      <c r="H817" s="2" t="str">
        <f aca="false">PROPER(TRIM(Raw_Data!H817))</f>
        <v>Gift Card</v>
      </c>
      <c r="I817" s="2" t="str">
        <f aca="false">PROPER(TRIM(Raw_Data!I817))</f>
        <v>Cancelled</v>
      </c>
      <c r="J817" s="2" t="str">
        <f aca="false">TRIM(UPPER(Raw_Data!J817))</f>
        <v>TRK77539180</v>
      </c>
      <c r="K817" s="2" t="n">
        <f aca="false">Raw_Data!K817</f>
        <v>8</v>
      </c>
      <c r="L817" s="2" t="str">
        <f aca="false">IF(TRIM(Raw_Data!L817)="","No Coupon",TRIM(UPPER(Raw_Data!L817)))</f>
        <v>WINTER15</v>
      </c>
      <c r="M817" s="2" t="str">
        <f aca="false">PROPER(TRIM(Raw_Data!M817))</f>
        <v>Instagram</v>
      </c>
      <c r="N817" s="4" t="n">
        <f aca="false">ROUND(E817*F817,2)</f>
        <v>1709.52</v>
      </c>
      <c r="O817" s="2" t="str">
        <f aca="false">IF(COUNTIF($A$2:$A$1201,A817)&gt;1,"DUPLICATE","Unique")</f>
        <v>Unique</v>
      </c>
      <c r="P817" s="2" t="str">
        <f aca="false">IF(L817="","MISSING","OK")</f>
        <v>OK</v>
      </c>
      <c r="Q817" s="2" t="str">
        <f aca="false">IF(ISNUMBER(B817),"OK","BAD DATE")</f>
        <v>OK</v>
      </c>
      <c r="R817" s="2" t="str">
        <f aca="false">IF(ROUND(F817,2)=F817,"OK","FIX")</f>
        <v>OK</v>
      </c>
    </row>
    <row r="818" customFormat="false" ht="15" hidden="false" customHeight="false" outlineLevel="0" collapsed="false">
      <c r="A818" s="2" t="str">
        <f aca="false">TRIM(UPPER(Raw_Data!A818))</f>
        <v>ORD200816</v>
      </c>
      <c r="B818" s="3" t="n">
        <f aca="false">IF(ISNUMBER(Raw_Data!B818),Raw_Data!B818,DATEVALUE(Raw_Data!B818))</f>
        <v>45343</v>
      </c>
      <c r="C818" s="2" t="str">
        <f aca="false">TRIM(UPPER(Raw_Data!C818))</f>
        <v>C55286</v>
      </c>
      <c r="D818" s="2" t="str">
        <f aca="false">PROPER(TRIM(Raw_Data!D818))</f>
        <v>Tablet</v>
      </c>
      <c r="E818" s="2" t="n">
        <f aca="false">Raw_Data!E818</f>
        <v>5</v>
      </c>
      <c r="F818" s="4" t="n">
        <f aca="false">ROUND(Raw_Data!F818,2)</f>
        <v>574.79</v>
      </c>
      <c r="G818" s="2" t="str">
        <f aca="false">PROPER(TRIM(Raw_Data!G818))</f>
        <v>497 Main St</v>
      </c>
      <c r="H818" s="2" t="str">
        <f aca="false">PROPER(TRIM(Raw_Data!H818))</f>
        <v>Credit Card</v>
      </c>
      <c r="I818" s="2" t="str">
        <f aca="false">PROPER(TRIM(Raw_Data!I818))</f>
        <v>Pending</v>
      </c>
      <c r="J818" s="2" t="str">
        <f aca="false">TRIM(UPPER(Raw_Data!J818))</f>
        <v>TRK39058734</v>
      </c>
      <c r="K818" s="2" t="n">
        <f aca="false">Raw_Data!K818</f>
        <v>8</v>
      </c>
      <c r="L818" s="2" t="str">
        <f aca="false">IF(TRIM(Raw_Data!L818)="","No Coupon",TRIM(UPPER(Raw_Data!L818)))</f>
        <v>WINTER15</v>
      </c>
      <c r="M818" s="2" t="str">
        <f aca="false">PROPER(TRIM(Raw_Data!M818))</f>
        <v>Referral</v>
      </c>
      <c r="N818" s="4" t="n">
        <f aca="false">ROUND(E818*F818,2)</f>
        <v>2873.95</v>
      </c>
      <c r="O818" s="2" t="str">
        <f aca="false">IF(COUNTIF($A$2:$A$1201,A818)&gt;1,"DUPLICATE","Unique")</f>
        <v>Unique</v>
      </c>
      <c r="P818" s="2" t="str">
        <f aca="false">IF(L818="","MISSING","OK")</f>
        <v>OK</v>
      </c>
      <c r="Q818" s="2" t="str">
        <f aca="false">IF(ISNUMBER(B818),"OK","BAD DATE")</f>
        <v>OK</v>
      </c>
      <c r="R818" s="2" t="str">
        <f aca="false">IF(ROUND(F818,2)=F818,"OK","FIX")</f>
        <v>OK</v>
      </c>
    </row>
    <row r="819" customFormat="false" ht="15" hidden="false" customHeight="false" outlineLevel="0" collapsed="false">
      <c r="A819" s="2" t="str">
        <f aca="false">TRIM(UPPER(Raw_Data!A819))</f>
        <v>ORD200817</v>
      </c>
      <c r="B819" s="3" t="n">
        <f aca="false">IF(ISNUMBER(Raw_Data!B819),Raw_Data!B819,DATEVALUE(Raw_Data!B819))</f>
        <v>45204</v>
      </c>
      <c r="C819" s="2" t="str">
        <f aca="false">TRIM(UPPER(Raw_Data!C819))</f>
        <v>C87994</v>
      </c>
      <c r="D819" s="2" t="str">
        <f aca="false">PROPER(TRIM(Raw_Data!D819))</f>
        <v>Chair</v>
      </c>
      <c r="E819" s="2" t="n">
        <f aca="false">Raw_Data!E819</f>
        <v>4</v>
      </c>
      <c r="F819" s="4" t="n">
        <f aca="false">ROUND(Raw_Data!F819,2)</f>
        <v>598.19</v>
      </c>
      <c r="G819" s="2" t="str">
        <f aca="false">PROPER(TRIM(Raw_Data!G819))</f>
        <v>430 Main St</v>
      </c>
      <c r="H819" s="2" t="str">
        <f aca="false">PROPER(TRIM(Raw_Data!H819))</f>
        <v>Credit Card</v>
      </c>
      <c r="I819" s="2" t="str">
        <f aca="false">PROPER(TRIM(Raw_Data!I819))</f>
        <v>Delivered</v>
      </c>
      <c r="J819" s="2" t="str">
        <f aca="false">TRIM(UPPER(Raw_Data!J819))</f>
        <v>TRK98883971</v>
      </c>
      <c r="K819" s="2" t="n">
        <f aca="false">Raw_Data!K819</f>
        <v>7</v>
      </c>
      <c r="L819" s="2" t="str">
        <f aca="false">IF(TRIM(Raw_Data!L819)="","No Coupon",TRIM(UPPER(Raw_Data!L819)))</f>
        <v>WINTER15</v>
      </c>
      <c r="M819" s="2" t="str">
        <f aca="false">PROPER(TRIM(Raw_Data!M819))</f>
        <v>Email</v>
      </c>
      <c r="N819" s="4" t="n">
        <f aca="false">ROUND(E819*F819,2)</f>
        <v>2392.76</v>
      </c>
      <c r="O819" s="2" t="str">
        <f aca="false">IF(COUNTIF($A$2:$A$1201,A819)&gt;1,"DUPLICATE","Unique")</f>
        <v>Unique</v>
      </c>
      <c r="P819" s="2" t="str">
        <f aca="false">IF(L819="","MISSING","OK")</f>
        <v>OK</v>
      </c>
      <c r="Q819" s="2" t="str">
        <f aca="false">IF(ISNUMBER(B819),"OK","BAD DATE")</f>
        <v>OK</v>
      </c>
      <c r="R819" s="2" t="str">
        <f aca="false">IF(ROUND(F819,2)=F819,"OK","FIX")</f>
        <v>OK</v>
      </c>
    </row>
    <row r="820" customFormat="false" ht="15" hidden="false" customHeight="false" outlineLevel="0" collapsed="false">
      <c r="A820" s="2" t="str">
        <f aca="false">TRIM(UPPER(Raw_Data!A820))</f>
        <v>ORD200818</v>
      </c>
      <c r="B820" s="3" t="n">
        <f aca="false">IF(ISNUMBER(Raw_Data!B820),Raw_Data!B820,DATEVALUE(Raw_Data!B820))</f>
        <v>44987</v>
      </c>
      <c r="C820" s="2" t="str">
        <f aca="false">TRIM(UPPER(Raw_Data!C820))</f>
        <v>C25580</v>
      </c>
      <c r="D820" s="2" t="str">
        <f aca="false">PROPER(TRIM(Raw_Data!D820))</f>
        <v>Phone</v>
      </c>
      <c r="E820" s="2" t="n">
        <f aca="false">Raw_Data!E820</f>
        <v>4</v>
      </c>
      <c r="F820" s="4" t="n">
        <f aca="false">ROUND(Raw_Data!F820,2)</f>
        <v>390.84</v>
      </c>
      <c r="G820" s="2" t="str">
        <f aca="false">PROPER(TRIM(Raw_Data!G820))</f>
        <v>860 Main St</v>
      </c>
      <c r="H820" s="2" t="str">
        <f aca="false">PROPER(TRIM(Raw_Data!H820))</f>
        <v>Credit Card</v>
      </c>
      <c r="I820" s="2" t="str">
        <f aca="false">PROPER(TRIM(Raw_Data!I820))</f>
        <v>Cancelled</v>
      </c>
      <c r="J820" s="2" t="str">
        <f aca="false">TRIM(UPPER(Raw_Data!J820))</f>
        <v>TRK58781638</v>
      </c>
      <c r="K820" s="2" t="n">
        <f aca="false">Raw_Data!K820</f>
        <v>9</v>
      </c>
      <c r="L820" s="2" t="str">
        <f aca="false">IF(TRIM(Raw_Data!L820)="","No Coupon",TRIM(UPPER(Raw_Data!L820)))</f>
        <v>WINTER15</v>
      </c>
      <c r="M820" s="2" t="str">
        <f aca="false">PROPER(TRIM(Raw_Data!M820))</f>
        <v>Referral</v>
      </c>
      <c r="N820" s="4" t="n">
        <f aca="false">ROUND(E820*F820,2)</f>
        <v>1563.36</v>
      </c>
      <c r="O820" s="2" t="str">
        <f aca="false">IF(COUNTIF($A$2:$A$1201,A820)&gt;1,"DUPLICATE","Unique")</f>
        <v>Unique</v>
      </c>
      <c r="P820" s="2" t="str">
        <f aca="false">IF(L820="","MISSING","OK")</f>
        <v>OK</v>
      </c>
      <c r="Q820" s="2" t="str">
        <f aca="false">IF(ISNUMBER(B820),"OK","BAD DATE")</f>
        <v>OK</v>
      </c>
      <c r="R820" s="2" t="str">
        <f aca="false">IF(ROUND(F820,2)=F820,"OK","FIX")</f>
        <v>OK</v>
      </c>
    </row>
    <row r="821" customFormat="false" ht="15" hidden="false" customHeight="false" outlineLevel="0" collapsed="false">
      <c r="A821" s="2" t="str">
        <f aca="false">TRIM(UPPER(Raw_Data!A821))</f>
        <v>ORD200819</v>
      </c>
      <c r="B821" s="3" t="n">
        <f aca="false">IF(ISNUMBER(Raw_Data!B821),Raw_Data!B821,DATEVALUE(Raw_Data!B821))</f>
        <v>45563</v>
      </c>
      <c r="C821" s="2" t="str">
        <f aca="false">TRIM(UPPER(Raw_Data!C821))</f>
        <v>C66196</v>
      </c>
      <c r="D821" s="2" t="str">
        <f aca="false">PROPER(TRIM(Raw_Data!D821))</f>
        <v>Phone</v>
      </c>
      <c r="E821" s="2" t="n">
        <f aca="false">Raw_Data!E821</f>
        <v>2</v>
      </c>
      <c r="F821" s="4" t="n">
        <f aca="false">ROUND(Raw_Data!F821,2)</f>
        <v>398.45</v>
      </c>
      <c r="G821" s="2" t="str">
        <f aca="false">PROPER(TRIM(Raw_Data!G821))</f>
        <v>650 Main St</v>
      </c>
      <c r="H821" s="2" t="str">
        <f aca="false">PROPER(TRIM(Raw_Data!H821))</f>
        <v>Debit Card</v>
      </c>
      <c r="I821" s="2" t="str">
        <f aca="false">PROPER(TRIM(Raw_Data!I821))</f>
        <v>Cancelled</v>
      </c>
      <c r="J821" s="2" t="str">
        <f aca="false">TRIM(UPPER(Raw_Data!J821))</f>
        <v>TRK38104650</v>
      </c>
      <c r="K821" s="2" t="n">
        <f aca="false">Raw_Data!K821</f>
        <v>7</v>
      </c>
      <c r="L821" s="2" t="str">
        <f aca="false">IF(TRIM(Raw_Data!L821)="","No Coupon",TRIM(UPPER(Raw_Data!L821)))</f>
        <v>SAVE10</v>
      </c>
      <c r="M821" s="2" t="str">
        <f aca="false">PROPER(TRIM(Raw_Data!M821))</f>
        <v>Google</v>
      </c>
      <c r="N821" s="4" t="n">
        <f aca="false">ROUND(E821*F821,2)</f>
        <v>796.9</v>
      </c>
      <c r="O821" s="2" t="str">
        <f aca="false">IF(COUNTIF($A$2:$A$1201,A821)&gt;1,"DUPLICATE","Unique")</f>
        <v>Unique</v>
      </c>
      <c r="P821" s="2" t="str">
        <f aca="false">IF(L821="","MISSING","OK")</f>
        <v>OK</v>
      </c>
      <c r="Q821" s="2" t="str">
        <f aca="false">IF(ISNUMBER(B821),"OK","BAD DATE")</f>
        <v>OK</v>
      </c>
      <c r="R821" s="2" t="str">
        <f aca="false">IF(ROUND(F821,2)=F821,"OK","FIX")</f>
        <v>OK</v>
      </c>
    </row>
    <row r="822" customFormat="false" ht="15" hidden="false" customHeight="false" outlineLevel="0" collapsed="false">
      <c r="A822" s="2" t="str">
        <f aca="false">TRIM(UPPER(Raw_Data!A822))</f>
        <v>ORD200820</v>
      </c>
      <c r="B822" s="3" t="n">
        <f aca="false">IF(ISNUMBER(Raw_Data!B822),Raw_Data!B822,DATEVALUE(Raw_Data!B822))</f>
        <v>45073</v>
      </c>
      <c r="C822" s="2" t="str">
        <f aca="false">TRIM(UPPER(Raw_Data!C822))</f>
        <v>C35377</v>
      </c>
      <c r="D822" s="2" t="str">
        <f aca="false">PROPER(TRIM(Raw_Data!D822))</f>
        <v>Phone</v>
      </c>
      <c r="E822" s="2" t="n">
        <f aca="false">Raw_Data!E822</f>
        <v>5</v>
      </c>
      <c r="F822" s="4" t="n">
        <f aca="false">ROUND(Raw_Data!F822,2)</f>
        <v>623.81</v>
      </c>
      <c r="G822" s="2" t="str">
        <f aca="false">PROPER(TRIM(Raw_Data!G822))</f>
        <v>171 Main St</v>
      </c>
      <c r="H822" s="2" t="str">
        <f aca="false">PROPER(TRIM(Raw_Data!H822))</f>
        <v>Cash</v>
      </c>
      <c r="I822" s="2" t="str">
        <f aca="false">PROPER(TRIM(Raw_Data!I822))</f>
        <v>Returned</v>
      </c>
      <c r="J822" s="2" t="str">
        <f aca="false">TRIM(UPPER(Raw_Data!J822))</f>
        <v>TRK17342157</v>
      </c>
      <c r="K822" s="2" t="n">
        <f aca="false">Raw_Data!K822</f>
        <v>6</v>
      </c>
      <c r="L822" s="2" t="str">
        <f aca="false">IF(TRIM(Raw_Data!L822)="","No Coupon",TRIM(UPPER(Raw_Data!L822)))</f>
        <v>FREESHIP</v>
      </c>
      <c r="M822" s="2" t="str">
        <f aca="false">PROPER(TRIM(Raw_Data!M822))</f>
        <v>Email</v>
      </c>
      <c r="N822" s="4" t="n">
        <f aca="false">ROUND(E822*F822,2)</f>
        <v>3119.05</v>
      </c>
      <c r="O822" s="2" t="str">
        <f aca="false">IF(COUNTIF($A$2:$A$1201,A822)&gt;1,"DUPLICATE","Unique")</f>
        <v>Unique</v>
      </c>
      <c r="P822" s="2" t="str">
        <f aca="false">IF(L822="","MISSING","OK")</f>
        <v>OK</v>
      </c>
      <c r="Q822" s="2" t="str">
        <f aca="false">IF(ISNUMBER(B822),"OK","BAD DATE")</f>
        <v>OK</v>
      </c>
      <c r="R822" s="2" t="str">
        <f aca="false">IF(ROUND(F822,2)=F822,"OK","FIX")</f>
        <v>OK</v>
      </c>
    </row>
    <row r="823" customFormat="false" ht="15" hidden="false" customHeight="false" outlineLevel="0" collapsed="false">
      <c r="A823" s="2" t="str">
        <f aca="false">TRIM(UPPER(Raw_Data!A823))</f>
        <v>ORD200821</v>
      </c>
      <c r="B823" s="3" t="n">
        <f aca="false">IF(ISNUMBER(Raw_Data!B823),Raw_Data!B823,DATEVALUE(Raw_Data!B823))</f>
        <v>45640</v>
      </c>
      <c r="C823" s="2" t="str">
        <f aca="false">TRIM(UPPER(Raw_Data!C823))</f>
        <v>C40771</v>
      </c>
      <c r="D823" s="2" t="str">
        <f aca="false">PROPER(TRIM(Raw_Data!D823))</f>
        <v>Laptop</v>
      </c>
      <c r="E823" s="2" t="n">
        <f aca="false">Raw_Data!E823</f>
        <v>4</v>
      </c>
      <c r="F823" s="4" t="n">
        <f aca="false">ROUND(Raw_Data!F823,2)</f>
        <v>174.49</v>
      </c>
      <c r="G823" s="2" t="str">
        <f aca="false">PROPER(TRIM(Raw_Data!G823))</f>
        <v>259 Main St</v>
      </c>
      <c r="H823" s="2" t="str">
        <f aca="false">PROPER(TRIM(Raw_Data!H823))</f>
        <v>Credit Card</v>
      </c>
      <c r="I823" s="2" t="str">
        <f aca="false">PROPER(TRIM(Raw_Data!I823))</f>
        <v>Delivered</v>
      </c>
      <c r="J823" s="2" t="str">
        <f aca="false">TRIM(UPPER(Raw_Data!J823))</f>
        <v>TRK56310345</v>
      </c>
      <c r="K823" s="2" t="n">
        <f aca="false">Raw_Data!K823</f>
        <v>5</v>
      </c>
      <c r="L823" s="2" t="str">
        <f aca="false">IF(TRIM(Raw_Data!L823)="","No Coupon",TRIM(UPPER(Raw_Data!L823)))</f>
        <v>SAVE10</v>
      </c>
      <c r="M823" s="2" t="str">
        <f aca="false">PROPER(TRIM(Raw_Data!M823))</f>
        <v>Facebook</v>
      </c>
      <c r="N823" s="4" t="n">
        <f aca="false">ROUND(E823*F823,2)</f>
        <v>697.96</v>
      </c>
      <c r="O823" s="2" t="str">
        <f aca="false">IF(COUNTIF($A$2:$A$1201,A823)&gt;1,"DUPLICATE","Unique")</f>
        <v>Unique</v>
      </c>
      <c r="P823" s="2" t="str">
        <f aca="false">IF(L823="","MISSING","OK")</f>
        <v>OK</v>
      </c>
      <c r="Q823" s="2" t="str">
        <f aca="false">IF(ISNUMBER(B823),"OK","BAD DATE")</f>
        <v>OK</v>
      </c>
      <c r="R823" s="2" t="str">
        <f aca="false">IF(ROUND(F823,2)=F823,"OK","FIX")</f>
        <v>OK</v>
      </c>
    </row>
    <row r="824" customFormat="false" ht="15" hidden="false" customHeight="false" outlineLevel="0" collapsed="false">
      <c r="A824" s="2" t="str">
        <f aca="false">TRIM(UPPER(Raw_Data!A824))</f>
        <v>ORD200822</v>
      </c>
      <c r="B824" s="3" t="n">
        <f aca="false">IF(ISNUMBER(Raw_Data!B824),Raw_Data!B824,DATEVALUE(Raw_Data!B824))</f>
        <v>45731</v>
      </c>
      <c r="C824" s="2" t="str">
        <f aca="false">TRIM(UPPER(Raw_Data!C824))</f>
        <v>C20624</v>
      </c>
      <c r="D824" s="2" t="str">
        <f aca="false">PROPER(TRIM(Raw_Data!D824))</f>
        <v>Phone</v>
      </c>
      <c r="E824" s="2" t="n">
        <f aca="false">Raw_Data!E824</f>
        <v>1</v>
      </c>
      <c r="F824" s="4" t="n">
        <f aca="false">ROUND(Raw_Data!F824,2)</f>
        <v>479.56</v>
      </c>
      <c r="G824" s="2" t="str">
        <f aca="false">PROPER(TRIM(Raw_Data!G824))</f>
        <v>923 Main St</v>
      </c>
      <c r="H824" s="2" t="str">
        <f aca="false">PROPER(TRIM(Raw_Data!H824))</f>
        <v>Gift Card</v>
      </c>
      <c r="I824" s="2" t="str">
        <f aca="false">PROPER(TRIM(Raw_Data!I824))</f>
        <v>Returned</v>
      </c>
      <c r="J824" s="2" t="str">
        <f aca="false">TRIM(UPPER(Raw_Data!J824))</f>
        <v>TRK45123395</v>
      </c>
      <c r="K824" s="2" t="n">
        <f aca="false">Raw_Data!K824</f>
        <v>1</v>
      </c>
      <c r="L824" s="2" t="str">
        <f aca="false">IF(TRIM(Raw_Data!L824)="","No Coupon",TRIM(UPPER(Raw_Data!L824)))</f>
        <v>SAVE10</v>
      </c>
      <c r="M824" s="2" t="str">
        <f aca="false">PROPER(TRIM(Raw_Data!M824))</f>
        <v>Google</v>
      </c>
      <c r="N824" s="4" t="n">
        <f aca="false">ROUND(E824*F824,2)</f>
        <v>479.56</v>
      </c>
      <c r="O824" s="2" t="str">
        <f aca="false">IF(COUNTIF($A$2:$A$1201,A824)&gt;1,"DUPLICATE","Unique")</f>
        <v>Unique</v>
      </c>
      <c r="P824" s="2" t="str">
        <f aca="false">IF(L824="","MISSING","OK")</f>
        <v>OK</v>
      </c>
      <c r="Q824" s="2" t="str">
        <f aca="false">IF(ISNUMBER(B824),"OK","BAD DATE")</f>
        <v>OK</v>
      </c>
      <c r="R824" s="2" t="str">
        <f aca="false">IF(ROUND(F824,2)=F824,"OK","FIX")</f>
        <v>OK</v>
      </c>
    </row>
    <row r="825" customFormat="false" ht="15" hidden="false" customHeight="false" outlineLevel="0" collapsed="false">
      <c r="A825" s="2" t="str">
        <f aca="false">TRIM(UPPER(Raw_Data!A825))</f>
        <v>ORD200823</v>
      </c>
      <c r="B825" s="3" t="n">
        <f aca="false">IF(ISNUMBER(Raw_Data!B825),Raw_Data!B825,DATEVALUE(Raw_Data!B825))</f>
        <v>45572</v>
      </c>
      <c r="C825" s="2" t="str">
        <f aca="false">TRIM(UPPER(Raw_Data!C825))</f>
        <v>C27070</v>
      </c>
      <c r="D825" s="2" t="str">
        <f aca="false">PROPER(TRIM(Raw_Data!D825))</f>
        <v>Laptop</v>
      </c>
      <c r="E825" s="2" t="n">
        <f aca="false">Raw_Data!E825</f>
        <v>4</v>
      </c>
      <c r="F825" s="4" t="n">
        <f aca="false">ROUND(Raw_Data!F825,2)</f>
        <v>653.13</v>
      </c>
      <c r="G825" s="2" t="str">
        <f aca="false">PROPER(TRIM(Raw_Data!G825))</f>
        <v>973 Main St</v>
      </c>
      <c r="H825" s="2" t="str">
        <f aca="false">PROPER(TRIM(Raw_Data!H825))</f>
        <v>Credit Card</v>
      </c>
      <c r="I825" s="2" t="str">
        <f aca="false">PROPER(TRIM(Raw_Data!I825))</f>
        <v>Shipped</v>
      </c>
      <c r="J825" s="2" t="str">
        <f aca="false">TRIM(UPPER(Raw_Data!J825))</f>
        <v>TRK83842481</v>
      </c>
      <c r="K825" s="2" t="n">
        <f aca="false">Raw_Data!K825</f>
        <v>8</v>
      </c>
      <c r="L825" s="2" t="str">
        <f aca="false">IF(TRIM(Raw_Data!L825)="","No Coupon",TRIM(UPPER(Raw_Data!L825)))</f>
        <v>WINTER15</v>
      </c>
      <c r="M825" s="2" t="str">
        <f aca="false">PROPER(TRIM(Raw_Data!M825))</f>
        <v>Instagram</v>
      </c>
      <c r="N825" s="4" t="n">
        <f aca="false">ROUND(E825*F825,2)</f>
        <v>2612.52</v>
      </c>
      <c r="O825" s="2" t="str">
        <f aca="false">IF(COUNTIF($A$2:$A$1201,A825)&gt;1,"DUPLICATE","Unique")</f>
        <v>Unique</v>
      </c>
      <c r="P825" s="2" t="str">
        <f aca="false">IF(L825="","MISSING","OK")</f>
        <v>OK</v>
      </c>
      <c r="Q825" s="2" t="str">
        <f aca="false">IF(ISNUMBER(B825),"OK","BAD DATE")</f>
        <v>OK</v>
      </c>
      <c r="R825" s="2" t="str">
        <f aca="false">IF(ROUND(F825,2)=F825,"OK","FIX")</f>
        <v>OK</v>
      </c>
    </row>
    <row r="826" customFormat="false" ht="15" hidden="false" customHeight="false" outlineLevel="0" collapsed="false">
      <c r="A826" s="2" t="str">
        <f aca="false">TRIM(UPPER(Raw_Data!A826))</f>
        <v>ORD200824</v>
      </c>
      <c r="B826" s="3" t="n">
        <f aca="false">IF(ISNUMBER(Raw_Data!B826),Raw_Data!B826,DATEVALUE(Raw_Data!B826))</f>
        <v>45167</v>
      </c>
      <c r="C826" s="2" t="str">
        <f aca="false">TRIM(UPPER(Raw_Data!C826))</f>
        <v>C18826</v>
      </c>
      <c r="D826" s="2" t="str">
        <f aca="false">PROPER(TRIM(Raw_Data!D826))</f>
        <v>Monitor</v>
      </c>
      <c r="E826" s="2" t="n">
        <f aca="false">Raw_Data!E826</f>
        <v>3</v>
      </c>
      <c r="F826" s="4" t="n">
        <f aca="false">ROUND(Raw_Data!F826,2)</f>
        <v>481.1</v>
      </c>
      <c r="G826" s="2" t="str">
        <f aca="false">PROPER(TRIM(Raw_Data!G826))</f>
        <v>664 Main St</v>
      </c>
      <c r="H826" s="2" t="str">
        <f aca="false">PROPER(TRIM(Raw_Data!H826))</f>
        <v>Credit Card</v>
      </c>
      <c r="I826" s="2" t="str">
        <f aca="false">PROPER(TRIM(Raw_Data!I826))</f>
        <v>Returned</v>
      </c>
      <c r="J826" s="2" t="str">
        <f aca="false">TRIM(UPPER(Raw_Data!J826))</f>
        <v>TRK12530495</v>
      </c>
      <c r="K826" s="2" t="n">
        <f aca="false">Raw_Data!K826</f>
        <v>3</v>
      </c>
      <c r="L826" s="2" t="str">
        <f aca="false">IF(TRIM(Raw_Data!L826)="","No Coupon",TRIM(UPPER(Raw_Data!L826)))</f>
        <v>FREESHIP</v>
      </c>
      <c r="M826" s="2" t="str">
        <f aca="false">PROPER(TRIM(Raw_Data!M826))</f>
        <v>Facebook</v>
      </c>
      <c r="N826" s="4" t="n">
        <f aca="false">ROUND(E826*F826,2)</f>
        <v>1443.3</v>
      </c>
      <c r="O826" s="2" t="str">
        <f aca="false">IF(COUNTIF($A$2:$A$1201,A826)&gt;1,"DUPLICATE","Unique")</f>
        <v>Unique</v>
      </c>
      <c r="P826" s="2" t="str">
        <f aca="false">IF(L826="","MISSING","OK")</f>
        <v>OK</v>
      </c>
      <c r="Q826" s="2" t="str">
        <f aca="false">IF(ISNUMBER(B826),"OK","BAD DATE")</f>
        <v>OK</v>
      </c>
      <c r="R826" s="2" t="str">
        <f aca="false">IF(ROUND(F826,2)=F826,"OK","FIX")</f>
        <v>OK</v>
      </c>
    </row>
    <row r="827" customFormat="false" ht="15" hidden="false" customHeight="false" outlineLevel="0" collapsed="false">
      <c r="A827" s="2" t="str">
        <f aca="false">TRIM(UPPER(Raw_Data!A827))</f>
        <v>ORD200825</v>
      </c>
      <c r="B827" s="3" t="n">
        <f aca="false">IF(ISNUMBER(Raw_Data!B827),Raw_Data!B827,DATEVALUE(Raw_Data!B827))</f>
        <v>45742</v>
      </c>
      <c r="C827" s="2" t="str">
        <f aca="false">TRIM(UPPER(Raw_Data!C827))</f>
        <v>C23899</v>
      </c>
      <c r="D827" s="2" t="str">
        <f aca="false">PROPER(TRIM(Raw_Data!D827))</f>
        <v>Desk</v>
      </c>
      <c r="E827" s="2" t="n">
        <f aca="false">Raw_Data!E827</f>
        <v>5</v>
      </c>
      <c r="F827" s="4" t="n">
        <f aca="false">ROUND(Raw_Data!F827,2)</f>
        <v>271.69</v>
      </c>
      <c r="G827" s="2" t="str">
        <f aca="false">PROPER(TRIM(Raw_Data!G827))</f>
        <v>543 Main St</v>
      </c>
      <c r="H827" s="2" t="str">
        <f aca="false">PROPER(TRIM(Raw_Data!H827))</f>
        <v>Online</v>
      </c>
      <c r="I827" s="2" t="str">
        <f aca="false">PROPER(TRIM(Raw_Data!I827))</f>
        <v>Returned</v>
      </c>
      <c r="J827" s="2" t="str">
        <f aca="false">TRIM(UPPER(Raw_Data!J827))</f>
        <v>TRK88914760</v>
      </c>
      <c r="K827" s="2" t="n">
        <f aca="false">Raw_Data!K827</f>
        <v>7</v>
      </c>
      <c r="L827" s="2" t="str">
        <f aca="false">IF(TRIM(Raw_Data!L827)="","No Coupon",TRIM(UPPER(Raw_Data!L827)))</f>
        <v>FREESHIP</v>
      </c>
      <c r="M827" s="2" t="str">
        <f aca="false">PROPER(TRIM(Raw_Data!M827))</f>
        <v>Instagram</v>
      </c>
      <c r="N827" s="4" t="n">
        <f aca="false">ROUND(E827*F827,2)</f>
        <v>1358.45</v>
      </c>
      <c r="O827" s="2" t="str">
        <f aca="false">IF(COUNTIF($A$2:$A$1201,A827)&gt;1,"DUPLICATE","Unique")</f>
        <v>Unique</v>
      </c>
      <c r="P827" s="2" t="str">
        <f aca="false">IF(L827="","MISSING","OK")</f>
        <v>OK</v>
      </c>
      <c r="Q827" s="2" t="str">
        <f aca="false">IF(ISNUMBER(B827),"OK","BAD DATE")</f>
        <v>OK</v>
      </c>
      <c r="R827" s="2" t="str">
        <f aca="false">IF(ROUND(F827,2)=F827,"OK","FIX")</f>
        <v>OK</v>
      </c>
    </row>
    <row r="828" customFormat="false" ht="15" hidden="false" customHeight="false" outlineLevel="0" collapsed="false">
      <c r="A828" s="2" t="str">
        <f aca="false">TRIM(UPPER(Raw_Data!A828))</f>
        <v>ORD200826</v>
      </c>
      <c r="B828" s="3" t="n">
        <f aca="false">IF(ISNUMBER(Raw_Data!B828),Raw_Data!B828,DATEVALUE(Raw_Data!B828))</f>
        <v>45724</v>
      </c>
      <c r="C828" s="2" t="str">
        <f aca="false">TRIM(UPPER(Raw_Data!C828))</f>
        <v>C43249</v>
      </c>
      <c r="D828" s="2" t="str">
        <f aca="false">PROPER(TRIM(Raw_Data!D828))</f>
        <v>Printer</v>
      </c>
      <c r="E828" s="2" t="n">
        <f aca="false">Raw_Data!E828</f>
        <v>3</v>
      </c>
      <c r="F828" s="4" t="n">
        <f aca="false">ROUND(Raw_Data!F828,2)</f>
        <v>463.81</v>
      </c>
      <c r="G828" s="2" t="str">
        <f aca="false">PROPER(TRIM(Raw_Data!G828))</f>
        <v>283 Main St</v>
      </c>
      <c r="H828" s="2" t="str">
        <f aca="false">PROPER(TRIM(Raw_Data!H828))</f>
        <v>Online</v>
      </c>
      <c r="I828" s="2" t="str">
        <f aca="false">PROPER(TRIM(Raw_Data!I828))</f>
        <v>Returned</v>
      </c>
      <c r="J828" s="2" t="str">
        <f aca="false">TRIM(UPPER(Raw_Data!J828))</f>
        <v>TRK32469820</v>
      </c>
      <c r="K828" s="2" t="n">
        <f aca="false">Raw_Data!K828</f>
        <v>8</v>
      </c>
      <c r="L828" s="2" t="str">
        <f aca="false">IF(TRIM(Raw_Data!L828)="","No Coupon",TRIM(UPPER(Raw_Data!L828)))</f>
        <v>WINTER15</v>
      </c>
      <c r="M828" s="2" t="str">
        <f aca="false">PROPER(TRIM(Raw_Data!M828))</f>
        <v>Email</v>
      </c>
      <c r="N828" s="4" t="n">
        <f aca="false">ROUND(E828*F828,2)</f>
        <v>1391.43</v>
      </c>
      <c r="O828" s="2" t="str">
        <f aca="false">IF(COUNTIF($A$2:$A$1201,A828)&gt;1,"DUPLICATE","Unique")</f>
        <v>Unique</v>
      </c>
      <c r="P828" s="2" t="str">
        <f aca="false">IF(L828="","MISSING","OK")</f>
        <v>OK</v>
      </c>
      <c r="Q828" s="2" t="str">
        <f aca="false">IF(ISNUMBER(B828),"OK","BAD DATE")</f>
        <v>OK</v>
      </c>
      <c r="R828" s="2" t="str">
        <f aca="false">IF(ROUND(F828,2)=F828,"OK","FIX")</f>
        <v>OK</v>
      </c>
    </row>
    <row r="829" customFormat="false" ht="15" hidden="false" customHeight="false" outlineLevel="0" collapsed="false">
      <c r="A829" s="2" t="str">
        <f aca="false">TRIM(UPPER(Raw_Data!A829))</f>
        <v>ORD200827</v>
      </c>
      <c r="B829" s="3" t="n">
        <f aca="false">IF(ISNUMBER(Raw_Data!B829),Raw_Data!B829,DATEVALUE(Raw_Data!B829))</f>
        <v>45071</v>
      </c>
      <c r="C829" s="2" t="str">
        <f aca="false">TRIM(UPPER(Raw_Data!C829))</f>
        <v>C95856</v>
      </c>
      <c r="D829" s="2" t="str">
        <f aca="false">PROPER(TRIM(Raw_Data!D829))</f>
        <v>Tablet</v>
      </c>
      <c r="E829" s="2" t="n">
        <f aca="false">Raw_Data!E829</f>
        <v>2</v>
      </c>
      <c r="F829" s="4" t="n">
        <f aca="false">ROUND(Raw_Data!F829,2)</f>
        <v>639.88</v>
      </c>
      <c r="G829" s="2" t="str">
        <f aca="false">PROPER(TRIM(Raw_Data!G829))</f>
        <v>432 Main St</v>
      </c>
      <c r="H829" s="2" t="str">
        <f aca="false">PROPER(TRIM(Raw_Data!H829))</f>
        <v>Cash</v>
      </c>
      <c r="I829" s="2" t="str">
        <f aca="false">PROPER(TRIM(Raw_Data!I829))</f>
        <v>Delivered</v>
      </c>
      <c r="J829" s="2" t="str">
        <f aca="false">TRIM(UPPER(Raw_Data!J829))</f>
        <v>TRK58829625</v>
      </c>
      <c r="K829" s="2" t="n">
        <f aca="false">Raw_Data!K829</f>
        <v>5</v>
      </c>
      <c r="L829" s="2" t="str">
        <f aca="false">IF(TRIM(Raw_Data!L829)="","No Coupon",TRIM(UPPER(Raw_Data!L829)))</f>
        <v>WINTER15</v>
      </c>
      <c r="M829" s="2" t="str">
        <f aca="false">PROPER(TRIM(Raw_Data!M829))</f>
        <v>Instagram</v>
      </c>
      <c r="N829" s="4" t="n">
        <f aca="false">ROUND(E829*F829,2)</f>
        <v>1279.76</v>
      </c>
      <c r="O829" s="2" t="str">
        <f aca="false">IF(COUNTIF($A$2:$A$1201,A829)&gt;1,"DUPLICATE","Unique")</f>
        <v>Unique</v>
      </c>
      <c r="P829" s="2" t="str">
        <f aca="false">IF(L829="","MISSING","OK")</f>
        <v>OK</v>
      </c>
      <c r="Q829" s="2" t="str">
        <f aca="false">IF(ISNUMBER(B829),"OK","BAD DATE")</f>
        <v>OK</v>
      </c>
      <c r="R829" s="2" t="str">
        <f aca="false">IF(ROUND(F829,2)=F829,"OK","FIX")</f>
        <v>OK</v>
      </c>
    </row>
    <row r="830" customFormat="false" ht="15" hidden="false" customHeight="false" outlineLevel="0" collapsed="false">
      <c r="A830" s="2" t="str">
        <f aca="false">TRIM(UPPER(Raw_Data!A830))</f>
        <v>ORD200828</v>
      </c>
      <c r="B830" s="3" t="n">
        <f aca="false">IF(ISNUMBER(Raw_Data!B830),Raw_Data!B830,DATEVALUE(Raw_Data!B830))</f>
        <v>45497</v>
      </c>
      <c r="C830" s="2" t="str">
        <f aca="false">TRIM(UPPER(Raw_Data!C830))</f>
        <v>C86266</v>
      </c>
      <c r="D830" s="2" t="str">
        <f aca="false">PROPER(TRIM(Raw_Data!D830))</f>
        <v>Chair</v>
      </c>
      <c r="E830" s="2" t="n">
        <f aca="false">Raw_Data!E830</f>
        <v>4</v>
      </c>
      <c r="F830" s="4" t="n">
        <f aca="false">ROUND(Raw_Data!F830,2)</f>
        <v>404.58</v>
      </c>
      <c r="G830" s="2" t="str">
        <f aca="false">PROPER(TRIM(Raw_Data!G830))</f>
        <v>510 Main St</v>
      </c>
      <c r="H830" s="2" t="str">
        <f aca="false">PROPER(TRIM(Raw_Data!H830))</f>
        <v>Cash</v>
      </c>
      <c r="I830" s="2" t="str">
        <f aca="false">PROPER(TRIM(Raw_Data!I830))</f>
        <v>Shipped</v>
      </c>
      <c r="J830" s="2" t="str">
        <f aca="false">TRIM(UPPER(Raw_Data!J830))</f>
        <v>TRK64576020</v>
      </c>
      <c r="K830" s="2" t="n">
        <f aca="false">Raw_Data!K830</f>
        <v>5</v>
      </c>
      <c r="L830" s="2" t="str">
        <f aca="false">IF(TRIM(Raw_Data!L830)="","No Coupon",TRIM(UPPER(Raw_Data!L830)))</f>
        <v>FREESHIP</v>
      </c>
      <c r="M830" s="2" t="str">
        <f aca="false">PROPER(TRIM(Raw_Data!M830))</f>
        <v>Instagram</v>
      </c>
      <c r="N830" s="4" t="n">
        <f aca="false">ROUND(E830*F830,2)</f>
        <v>1618.32</v>
      </c>
      <c r="O830" s="2" t="str">
        <f aca="false">IF(COUNTIF($A$2:$A$1201,A830)&gt;1,"DUPLICATE","Unique")</f>
        <v>Unique</v>
      </c>
      <c r="P830" s="2" t="str">
        <f aca="false">IF(L830="","MISSING","OK")</f>
        <v>OK</v>
      </c>
      <c r="Q830" s="2" t="str">
        <f aca="false">IF(ISNUMBER(B830),"OK","BAD DATE")</f>
        <v>OK</v>
      </c>
      <c r="R830" s="2" t="str">
        <f aca="false">IF(ROUND(F830,2)=F830,"OK","FIX")</f>
        <v>OK</v>
      </c>
    </row>
    <row r="831" customFormat="false" ht="15" hidden="false" customHeight="false" outlineLevel="0" collapsed="false">
      <c r="A831" s="2" t="str">
        <f aca="false">TRIM(UPPER(Raw_Data!A831))</f>
        <v>ORD200829</v>
      </c>
      <c r="B831" s="3" t="n">
        <f aca="false">IF(ISNUMBER(Raw_Data!B831),Raw_Data!B831,DATEVALUE(Raw_Data!B831))</f>
        <v>44962</v>
      </c>
      <c r="C831" s="2" t="str">
        <f aca="false">TRIM(UPPER(Raw_Data!C831))</f>
        <v>C39551</v>
      </c>
      <c r="D831" s="2" t="str">
        <f aca="false">PROPER(TRIM(Raw_Data!D831))</f>
        <v>Monitor</v>
      </c>
      <c r="E831" s="2" t="n">
        <f aca="false">Raw_Data!E831</f>
        <v>1</v>
      </c>
      <c r="F831" s="4" t="n">
        <f aca="false">ROUND(Raw_Data!F831,2)</f>
        <v>76.93</v>
      </c>
      <c r="G831" s="2" t="str">
        <f aca="false">PROPER(TRIM(Raw_Data!G831))</f>
        <v>685 Main St</v>
      </c>
      <c r="H831" s="2" t="str">
        <f aca="false">PROPER(TRIM(Raw_Data!H831))</f>
        <v>Debit Card</v>
      </c>
      <c r="I831" s="2" t="str">
        <f aca="false">PROPER(TRIM(Raw_Data!I831))</f>
        <v>Delivered</v>
      </c>
      <c r="J831" s="2" t="str">
        <f aca="false">TRIM(UPPER(Raw_Data!J831))</f>
        <v>TRK68358007</v>
      </c>
      <c r="K831" s="2" t="n">
        <f aca="false">Raw_Data!K831</f>
        <v>6</v>
      </c>
      <c r="L831" s="2" t="str">
        <f aca="false">IF(TRIM(Raw_Data!L831)="","No Coupon",TRIM(UPPER(Raw_Data!L831)))</f>
        <v>WINTER15</v>
      </c>
      <c r="M831" s="2" t="str">
        <f aca="false">PROPER(TRIM(Raw_Data!M831))</f>
        <v>Instagram</v>
      </c>
      <c r="N831" s="4" t="n">
        <f aca="false">ROUND(E831*F831,2)</f>
        <v>76.93</v>
      </c>
      <c r="O831" s="2" t="str">
        <f aca="false">IF(COUNTIF($A$2:$A$1201,A831)&gt;1,"DUPLICATE","Unique")</f>
        <v>Unique</v>
      </c>
      <c r="P831" s="2" t="str">
        <f aca="false">IF(L831="","MISSING","OK")</f>
        <v>OK</v>
      </c>
      <c r="Q831" s="2" t="str">
        <f aca="false">IF(ISNUMBER(B831),"OK","BAD DATE")</f>
        <v>OK</v>
      </c>
      <c r="R831" s="2" t="str">
        <f aca="false">IF(ROUND(F831,2)=F831,"OK","FIX")</f>
        <v>OK</v>
      </c>
    </row>
    <row r="832" customFormat="false" ht="15" hidden="false" customHeight="false" outlineLevel="0" collapsed="false">
      <c r="A832" s="2" t="str">
        <f aca="false">TRIM(UPPER(Raw_Data!A832))</f>
        <v>ORD200830</v>
      </c>
      <c r="B832" s="3" t="n">
        <f aca="false">IF(ISNUMBER(Raw_Data!B832),Raw_Data!B832,DATEVALUE(Raw_Data!B832))</f>
        <v>45637</v>
      </c>
      <c r="C832" s="2" t="str">
        <f aca="false">TRIM(UPPER(Raw_Data!C832))</f>
        <v>C90310</v>
      </c>
      <c r="D832" s="2" t="str">
        <f aca="false">PROPER(TRIM(Raw_Data!D832))</f>
        <v>Tablet</v>
      </c>
      <c r="E832" s="2" t="n">
        <f aca="false">Raw_Data!E832</f>
        <v>4</v>
      </c>
      <c r="F832" s="4" t="n">
        <f aca="false">ROUND(Raw_Data!F832,2)</f>
        <v>190.64</v>
      </c>
      <c r="G832" s="2" t="str">
        <f aca="false">PROPER(TRIM(Raw_Data!G832))</f>
        <v>853 Main St</v>
      </c>
      <c r="H832" s="2" t="str">
        <f aca="false">PROPER(TRIM(Raw_Data!H832))</f>
        <v>Cash</v>
      </c>
      <c r="I832" s="2" t="str">
        <f aca="false">PROPER(TRIM(Raw_Data!I832))</f>
        <v>Delivered</v>
      </c>
      <c r="J832" s="2" t="str">
        <f aca="false">TRIM(UPPER(Raw_Data!J832))</f>
        <v>TRK70028457</v>
      </c>
      <c r="K832" s="2" t="n">
        <f aca="false">Raw_Data!K832</f>
        <v>5</v>
      </c>
      <c r="L832" s="2" t="str">
        <f aca="false">IF(TRIM(Raw_Data!L832)="","No Coupon",TRIM(UPPER(Raw_Data!L832)))</f>
        <v>SAVE10</v>
      </c>
      <c r="M832" s="2" t="str">
        <f aca="false">PROPER(TRIM(Raw_Data!M832))</f>
        <v>Email</v>
      </c>
      <c r="N832" s="4" t="n">
        <f aca="false">ROUND(E832*F832,2)</f>
        <v>762.56</v>
      </c>
      <c r="O832" s="2" t="str">
        <f aca="false">IF(COUNTIF($A$2:$A$1201,A832)&gt;1,"DUPLICATE","Unique")</f>
        <v>Unique</v>
      </c>
      <c r="P832" s="2" t="str">
        <f aca="false">IF(L832="","MISSING","OK")</f>
        <v>OK</v>
      </c>
      <c r="Q832" s="2" t="str">
        <f aca="false">IF(ISNUMBER(B832),"OK","BAD DATE")</f>
        <v>OK</v>
      </c>
      <c r="R832" s="2" t="str">
        <f aca="false">IF(ROUND(F832,2)=F832,"OK","FIX")</f>
        <v>OK</v>
      </c>
    </row>
    <row r="833" customFormat="false" ht="15" hidden="false" customHeight="false" outlineLevel="0" collapsed="false">
      <c r="A833" s="2" t="str">
        <f aca="false">TRIM(UPPER(Raw_Data!A833))</f>
        <v>ORD200831</v>
      </c>
      <c r="B833" s="3" t="n">
        <f aca="false">IF(ISNUMBER(Raw_Data!B833),Raw_Data!B833,DATEVALUE(Raw_Data!B833))</f>
        <v>45278</v>
      </c>
      <c r="C833" s="2" t="str">
        <f aca="false">TRIM(UPPER(Raw_Data!C833))</f>
        <v>C20124</v>
      </c>
      <c r="D833" s="2" t="str">
        <f aca="false">PROPER(TRIM(Raw_Data!D833))</f>
        <v>Printer</v>
      </c>
      <c r="E833" s="2" t="n">
        <f aca="false">Raw_Data!E833</f>
        <v>2</v>
      </c>
      <c r="F833" s="4" t="n">
        <f aca="false">ROUND(Raw_Data!F833,2)</f>
        <v>88.73</v>
      </c>
      <c r="G833" s="2" t="str">
        <f aca="false">PROPER(TRIM(Raw_Data!G833))</f>
        <v>140 Main St</v>
      </c>
      <c r="H833" s="2" t="str">
        <f aca="false">PROPER(TRIM(Raw_Data!H833))</f>
        <v>Online</v>
      </c>
      <c r="I833" s="2" t="str">
        <f aca="false">PROPER(TRIM(Raw_Data!I833))</f>
        <v>Pending</v>
      </c>
      <c r="J833" s="2" t="str">
        <f aca="false">TRIM(UPPER(Raw_Data!J833))</f>
        <v>TRK61346824</v>
      </c>
      <c r="K833" s="2" t="n">
        <f aca="false">Raw_Data!K833</f>
        <v>5</v>
      </c>
      <c r="L833" s="2" t="str">
        <f aca="false">IF(TRIM(Raw_Data!L833)="","No Coupon",TRIM(UPPER(Raw_Data!L833)))</f>
        <v>No Coupon</v>
      </c>
      <c r="M833" s="2" t="str">
        <f aca="false">PROPER(TRIM(Raw_Data!M833))</f>
        <v>Google</v>
      </c>
      <c r="N833" s="4" t="n">
        <f aca="false">ROUND(E833*F833,2)</f>
        <v>177.46</v>
      </c>
      <c r="O833" s="2" t="str">
        <f aca="false">IF(COUNTIF($A$2:$A$1201,A833)&gt;1,"DUPLICATE","Unique")</f>
        <v>Unique</v>
      </c>
      <c r="P833" s="2" t="str">
        <f aca="false">IF(L833="","MISSING","OK")</f>
        <v>OK</v>
      </c>
      <c r="Q833" s="2" t="str">
        <f aca="false">IF(ISNUMBER(B833),"OK","BAD DATE")</f>
        <v>OK</v>
      </c>
      <c r="R833" s="2" t="str">
        <f aca="false">IF(ROUND(F833,2)=F833,"OK","FIX")</f>
        <v>OK</v>
      </c>
    </row>
    <row r="834" customFormat="false" ht="15" hidden="false" customHeight="false" outlineLevel="0" collapsed="false">
      <c r="A834" s="2" t="str">
        <f aca="false">TRIM(UPPER(Raw_Data!A834))</f>
        <v>ORD200832</v>
      </c>
      <c r="B834" s="3" t="n">
        <f aca="false">IF(ISNUMBER(Raw_Data!B834),Raw_Data!B834,DATEVALUE(Raw_Data!B834))</f>
        <v>45363</v>
      </c>
      <c r="C834" s="2" t="str">
        <f aca="false">TRIM(UPPER(Raw_Data!C834))</f>
        <v>C63372</v>
      </c>
      <c r="D834" s="2" t="str">
        <f aca="false">PROPER(TRIM(Raw_Data!D834))</f>
        <v>Chair</v>
      </c>
      <c r="E834" s="2" t="n">
        <f aca="false">Raw_Data!E834</f>
        <v>5</v>
      </c>
      <c r="F834" s="4" t="n">
        <f aca="false">ROUND(Raw_Data!F834,2)</f>
        <v>485.71</v>
      </c>
      <c r="G834" s="2" t="str">
        <f aca="false">PROPER(TRIM(Raw_Data!G834))</f>
        <v>903 Main St</v>
      </c>
      <c r="H834" s="2" t="str">
        <f aca="false">PROPER(TRIM(Raw_Data!H834))</f>
        <v>Online</v>
      </c>
      <c r="I834" s="2" t="str">
        <f aca="false">PROPER(TRIM(Raw_Data!I834))</f>
        <v>Pending</v>
      </c>
      <c r="J834" s="2" t="str">
        <f aca="false">TRIM(UPPER(Raw_Data!J834))</f>
        <v>TRK14661811</v>
      </c>
      <c r="K834" s="2" t="n">
        <f aca="false">Raw_Data!K834</f>
        <v>10</v>
      </c>
      <c r="L834" s="2" t="str">
        <f aca="false">IF(TRIM(Raw_Data!L834)="","No Coupon",TRIM(UPPER(Raw_Data!L834)))</f>
        <v>SAVE10</v>
      </c>
      <c r="M834" s="2" t="str">
        <f aca="false">PROPER(TRIM(Raw_Data!M834))</f>
        <v>Referral</v>
      </c>
      <c r="N834" s="4" t="n">
        <f aca="false">ROUND(E834*F834,2)</f>
        <v>2428.55</v>
      </c>
      <c r="O834" s="2" t="str">
        <f aca="false">IF(COUNTIF($A$2:$A$1201,A834)&gt;1,"DUPLICATE","Unique")</f>
        <v>Unique</v>
      </c>
      <c r="P834" s="2" t="str">
        <f aca="false">IF(L834="","MISSING","OK")</f>
        <v>OK</v>
      </c>
      <c r="Q834" s="2" t="str">
        <f aca="false">IF(ISNUMBER(B834),"OK","BAD DATE")</f>
        <v>OK</v>
      </c>
      <c r="R834" s="2" t="str">
        <f aca="false">IF(ROUND(F834,2)=F834,"OK","FIX")</f>
        <v>OK</v>
      </c>
    </row>
    <row r="835" customFormat="false" ht="15" hidden="false" customHeight="false" outlineLevel="0" collapsed="false">
      <c r="A835" s="2" t="str">
        <f aca="false">TRIM(UPPER(Raw_Data!A835))</f>
        <v>ORD200833</v>
      </c>
      <c r="B835" s="3" t="n">
        <f aca="false">IF(ISNUMBER(Raw_Data!B835),Raw_Data!B835,DATEVALUE(Raw_Data!B835))</f>
        <v>45730</v>
      </c>
      <c r="C835" s="2" t="str">
        <f aca="false">TRIM(UPPER(Raw_Data!C835))</f>
        <v>C90595</v>
      </c>
      <c r="D835" s="2" t="str">
        <f aca="false">PROPER(TRIM(Raw_Data!D835))</f>
        <v>Phone</v>
      </c>
      <c r="E835" s="2" t="n">
        <f aca="false">Raw_Data!E835</f>
        <v>5</v>
      </c>
      <c r="F835" s="4" t="n">
        <f aca="false">ROUND(Raw_Data!F835,2)</f>
        <v>78.29</v>
      </c>
      <c r="G835" s="2" t="str">
        <f aca="false">PROPER(TRIM(Raw_Data!G835))</f>
        <v>508 Main St</v>
      </c>
      <c r="H835" s="2" t="str">
        <f aca="false">PROPER(TRIM(Raw_Data!H835))</f>
        <v>Credit Card</v>
      </c>
      <c r="I835" s="2" t="str">
        <f aca="false">PROPER(TRIM(Raw_Data!I835))</f>
        <v>Shipped</v>
      </c>
      <c r="J835" s="2" t="str">
        <f aca="false">TRIM(UPPER(Raw_Data!J835))</f>
        <v>TRK96573803</v>
      </c>
      <c r="K835" s="2" t="n">
        <f aca="false">Raw_Data!K835</f>
        <v>5</v>
      </c>
      <c r="L835" s="2" t="str">
        <f aca="false">IF(TRIM(Raw_Data!L835)="","No Coupon",TRIM(UPPER(Raw_Data!L835)))</f>
        <v>WINTER15</v>
      </c>
      <c r="M835" s="2" t="str">
        <f aca="false">PROPER(TRIM(Raw_Data!M835))</f>
        <v>Referral</v>
      </c>
      <c r="N835" s="4" t="n">
        <f aca="false">ROUND(E835*F835,2)</f>
        <v>391.45</v>
      </c>
      <c r="O835" s="2" t="str">
        <f aca="false">IF(COUNTIF($A$2:$A$1201,A835)&gt;1,"DUPLICATE","Unique")</f>
        <v>Unique</v>
      </c>
      <c r="P835" s="2" t="str">
        <f aca="false">IF(L835="","MISSING","OK")</f>
        <v>OK</v>
      </c>
      <c r="Q835" s="2" t="str">
        <f aca="false">IF(ISNUMBER(B835),"OK","BAD DATE")</f>
        <v>OK</v>
      </c>
      <c r="R835" s="2" t="str">
        <f aca="false">IF(ROUND(F835,2)=F835,"OK","FIX")</f>
        <v>OK</v>
      </c>
    </row>
    <row r="836" customFormat="false" ht="15" hidden="false" customHeight="false" outlineLevel="0" collapsed="false">
      <c r="A836" s="2" t="str">
        <f aca="false">TRIM(UPPER(Raw_Data!A836))</f>
        <v>ORD200834</v>
      </c>
      <c r="B836" s="3" t="n">
        <f aca="false">IF(ISNUMBER(Raw_Data!B836),Raw_Data!B836,DATEVALUE(Raw_Data!B836))</f>
        <v>45393</v>
      </c>
      <c r="C836" s="2" t="str">
        <f aca="false">TRIM(UPPER(Raw_Data!C836))</f>
        <v>C98483</v>
      </c>
      <c r="D836" s="2" t="str">
        <f aca="false">PROPER(TRIM(Raw_Data!D836))</f>
        <v>Printer</v>
      </c>
      <c r="E836" s="2" t="n">
        <f aca="false">Raw_Data!E836</f>
        <v>5</v>
      </c>
      <c r="F836" s="4" t="n">
        <f aca="false">ROUND(Raw_Data!F836,2)</f>
        <v>22.14</v>
      </c>
      <c r="G836" s="2" t="str">
        <f aca="false">PROPER(TRIM(Raw_Data!G836))</f>
        <v>456 Main St</v>
      </c>
      <c r="H836" s="2" t="str">
        <f aca="false">PROPER(TRIM(Raw_Data!H836))</f>
        <v>Cash</v>
      </c>
      <c r="I836" s="2" t="str">
        <f aca="false">PROPER(TRIM(Raw_Data!I836))</f>
        <v>Returned</v>
      </c>
      <c r="J836" s="2" t="str">
        <f aca="false">TRIM(UPPER(Raw_Data!J836))</f>
        <v>TRK22084320</v>
      </c>
      <c r="K836" s="2" t="n">
        <f aca="false">Raw_Data!K836</f>
        <v>10</v>
      </c>
      <c r="L836" s="2" t="str">
        <f aca="false">IF(TRIM(Raw_Data!L836)="","No Coupon",TRIM(UPPER(Raw_Data!L836)))</f>
        <v>No Coupon</v>
      </c>
      <c r="M836" s="2" t="str">
        <f aca="false">PROPER(TRIM(Raw_Data!M836))</f>
        <v>Instagram</v>
      </c>
      <c r="N836" s="4" t="n">
        <f aca="false">ROUND(E836*F836,2)</f>
        <v>110.7</v>
      </c>
      <c r="O836" s="2" t="str">
        <f aca="false">IF(COUNTIF($A$2:$A$1201,A836)&gt;1,"DUPLICATE","Unique")</f>
        <v>Unique</v>
      </c>
      <c r="P836" s="2" t="str">
        <f aca="false">IF(L836="","MISSING","OK")</f>
        <v>OK</v>
      </c>
      <c r="Q836" s="2" t="str">
        <f aca="false">IF(ISNUMBER(B836),"OK","BAD DATE")</f>
        <v>OK</v>
      </c>
      <c r="R836" s="2" t="str">
        <f aca="false">IF(ROUND(F836,2)=F836,"OK","FIX")</f>
        <v>OK</v>
      </c>
    </row>
    <row r="837" customFormat="false" ht="15" hidden="false" customHeight="false" outlineLevel="0" collapsed="false">
      <c r="A837" s="2" t="str">
        <f aca="false">TRIM(UPPER(Raw_Data!A837))</f>
        <v>ORD200835</v>
      </c>
      <c r="B837" s="3" t="n">
        <f aca="false">IF(ISNUMBER(Raw_Data!B837),Raw_Data!B837,DATEVALUE(Raw_Data!B837))</f>
        <v>45377</v>
      </c>
      <c r="C837" s="2" t="str">
        <f aca="false">TRIM(UPPER(Raw_Data!C837))</f>
        <v>C16429</v>
      </c>
      <c r="D837" s="2" t="str">
        <f aca="false">PROPER(TRIM(Raw_Data!D837))</f>
        <v>Desk</v>
      </c>
      <c r="E837" s="2" t="n">
        <f aca="false">Raw_Data!E837</f>
        <v>1</v>
      </c>
      <c r="F837" s="4" t="n">
        <f aca="false">ROUND(Raw_Data!F837,2)</f>
        <v>679.65</v>
      </c>
      <c r="G837" s="2" t="str">
        <f aca="false">PROPER(TRIM(Raw_Data!G837))</f>
        <v>390 Main St</v>
      </c>
      <c r="H837" s="2" t="str">
        <f aca="false">PROPER(TRIM(Raw_Data!H837))</f>
        <v>Debit Card</v>
      </c>
      <c r="I837" s="2" t="str">
        <f aca="false">PROPER(TRIM(Raw_Data!I837))</f>
        <v>Shipped</v>
      </c>
      <c r="J837" s="2" t="str">
        <f aca="false">TRIM(UPPER(Raw_Data!J837))</f>
        <v>TRK73888013</v>
      </c>
      <c r="K837" s="2" t="n">
        <f aca="false">Raw_Data!K837</f>
        <v>6</v>
      </c>
      <c r="L837" s="2" t="str">
        <f aca="false">IF(TRIM(Raw_Data!L837)="","No Coupon",TRIM(UPPER(Raw_Data!L837)))</f>
        <v>FREESHIP</v>
      </c>
      <c r="M837" s="2" t="str">
        <f aca="false">PROPER(TRIM(Raw_Data!M837))</f>
        <v>Google</v>
      </c>
      <c r="N837" s="4" t="n">
        <f aca="false">ROUND(E837*F837,2)</f>
        <v>679.65</v>
      </c>
      <c r="O837" s="2" t="str">
        <f aca="false">IF(COUNTIF($A$2:$A$1201,A837)&gt;1,"DUPLICATE","Unique")</f>
        <v>Unique</v>
      </c>
      <c r="P837" s="2" t="str">
        <f aca="false">IF(L837="","MISSING","OK")</f>
        <v>OK</v>
      </c>
      <c r="Q837" s="2" t="str">
        <f aca="false">IF(ISNUMBER(B837),"OK","BAD DATE")</f>
        <v>OK</v>
      </c>
      <c r="R837" s="2" t="str">
        <f aca="false">IF(ROUND(F837,2)=F837,"OK","FIX")</f>
        <v>OK</v>
      </c>
    </row>
    <row r="838" customFormat="false" ht="15" hidden="false" customHeight="false" outlineLevel="0" collapsed="false">
      <c r="A838" s="2" t="str">
        <f aca="false">TRIM(UPPER(Raw_Data!A838))</f>
        <v>ORD200836</v>
      </c>
      <c r="B838" s="3" t="n">
        <f aca="false">IF(ISNUMBER(Raw_Data!B838),Raw_Data!B838,DATEVALUE(Raw_Data!B838))</f>
        <v>44959</v>
      </c>
      <c r="C838" s="2" t="str">
        <f aca="false">TRIM(UPPER(Raw_Data!C838))</f>
        <v>C31810</v>
      </c>
      <c r="D838" s="2" t="str">
        <f aca="false">PROPER(TRIM(Raw_Data!D838))</f>
        <v>Phone</v>
      </c>
      <c r="E838" s="2" t="n">
        <f aca="false">Raw_Data!E838</f>
        <v>1</v>
      </c>
      <c r="F838" s="4" t="n">
        <f aca="false">ROUND(Raw_Data!F838,2)</f>
        <v>178.44</v>
      </c>
      <c r="G838" s="2" t="str">
        <f aca="false">PROPER(TRIM(Raw_Data!G838))</f>
        <v>328 Main St</v>
      </c>
      <c r="H838" s="2" t="str">
        <f aca="false">PROPER(TRIM(Raw_Data!H838))</f>
        <v>Credit Card</v>
      </c>
      <c r="I838" s="2" t="str">
        <f aca="false">PROPER(TRIM(Raw_Data!I838))</f>
        <v>Cancelled</v>
      </c>
      <c r="J838" s="2" t="str">
        <f aca="false">TRIM(UPPER(Raw_Data!J838))</f>
        <v>TRK58725886</v>
      </c>
      <c r="K838" s="2" t="n">
        <f aca="false">Raw_Data!K838</f>
        <v>2</v>
      </c>
      <c r="L838" s="2" t="str">
        <f aca="false">IF(TRIM(Raw_Data!L838)="","No Coupon",TRIM(UPPER(Raw_Data!L838)))</f>
        <v>FREESHIP</v>
      </c>
      <c r="M838" s="2" t="str">
        <f aca="false">PROPER(TRIM(Raw_Data!M838))</f>
        <v>Google</v>
      </c>
      <c r="N838" s="4" t="n">
        <f aca="false">ROUND(E838*F838,2)</f>
        <v>178.44</v>
      </c>
      <c r="O838" s="2" t="str">
        <f aca="false">IF(COUNTIF($A$2:$A$1201,A838)&gt;1,"DUPLICATE","Unique")</f>
        <v>Unique</v>
      </c>
      <c r="P838" s="2" t="str">
        <f aca="false">IF(L838="","MISSING","OK")</f>
        <v>OK</v>
      </c>
      <c r="Q838" s="2" t="str">
        <f aca="false">IF(ISNUMBER(B838),"OK","BAD DATE")</f>
        <v>OK</v>
      </c>
      <c r="R838" s="2" t="str">
        <f aca="false">IF(ROUND(F838,2)=F838,"OK","FIX")</f>
        <v>OK</v>
      </c>
    </row>
    <row r="839" customFormat="false" ht="15" hidden="false" customHeight="false" outlineLevel="0" collapsed="false">
      <c r="A839" s="2" t="str">
        <f aca="false">TRIM(UPPER(Raw_Data!A839))</f>
        <v>ORD200837</v>
      </c>
      <c r="B839" s="3" t="n">
        <f aca="false">IF(ISNUMBER(Raw_Data!B839),Raw_Data!B839,DATEVALUE(Raw_Data!B839))</f>
        <v>45822</v>
      </c>
      <c r="C839" s="2" t="str">
        <f aca="false">TRIM(UPPER(Raw_Data!C839))</f>
        <v>C88029</v>
      </c>
      <c r="D839" s="2" t="str">
        <f aca="false">PROPER(TRIM(Raw_Data!D839))</f>
        <v>Chair</v>
      </c>
      <c r="E839" s="2" t="n">
        <f aca="false">Raw_Data!E839</f>
        <v>5</v>
      </c>
      <c r="F839" s="4" t="n">
        <f aca="false">ROUND(Raw_Data!F839,2)</f>
        <v>655.55</v>
      </c>
      <c r="G839" s="2" t="str">
        <f aca="false">PROPER(TRIM(Raw_Data!G839))</f>
        <v>282 Main St</v>
      </c>
      <c r="H839" s="2" t="str">
        <f aca="false">PROPER(TRIM(Raw_Data!H839))</f>
        <v>Online</v>
      </c>
      <c r="I839" s="2" t="str">
        <f aca="false">PROPER(TRIM(Raw_Data!I839))</f>
        <v>Delivered</v>
      </c>
      <c r="J839" s="2" t="str">
        <f aca="false">TRIM(UPPER(Raw_Data!J839))</f>
        <v>TRK59701278</v>
      </c>
      <c r="K839" s="2" t="n">
        <f aca="false">Raw_Data!K839</f>
        <v>5</v>
      </c>
      <c r="L839" s="2" t="str">
        <f aca="false">IF(TRIM(Raw_Data!L839)="","No Coupon",TRIM(UPPER(Raw_Data!L839)))</f>
        <v>No Coupon</v>
      </c>
      <c r="M839" s="2" t="str">
        <f aca="false">PROPER(TRIM(Raw_Data!M839))</f>
        <v>Email</v>
      </c>
      <c r="N839" s="4" t="n">
        <f aca="false">ROUND(E839*F839,2)</f>
        <v>3277.75</v>
      </c>
      <c r="O839" s="2" t="str">
        <f aca="false">IF(COUNTIF($A$2:$A$1201,A839)&gt;1,"DUPLICATE","Unique")</f>
        <v>Unique</v>
      </c>
      <c r="P839" s="2" t="str">
        <f aca="false">IF(L839="","MISSING","OK")</f>
        <v>OK</v>
      </c>
      <c r="Q839" s="2" t="str">
        <f aca="false">IF(ISNUMBER(B839),"OK","BAD DATE")</f>
        <v>OK</v>
      </c>
      <c r="R839" s="2" t="str">
        <f aca="false">IF(ROUND(F839,2)=F839,"OK","FIX")</f>
        <v>OK</v>
      </c>
    </row>
    <row r="840" customFormat="false" ht="15" hidden="false" customHeight="false" outlineLevel="0" collapsed="false">
      <c r="A840" s="2" t="str">
        <f aca="false">TRIM(UPPER(Raw_Data!A840))</f>
        <v>ORD200838</v>
      </c>
      <c r="B840" s="3" t="n">
        <f aca="false">IF(ISNUMBER(Raw_Data!B840),Raw_Data!B840,DATEVALUE(Raw_Data!B840))</f>
        <v>45393</v>
      </c>
      <c r="C840" s="2" t="str">
        <f aca="false">TRIM(UPPER(Raw_Data!C840))</f>
        <v>C57798</v>
      </c>
      <c r="D840" s="2" t="str">
        <f aca="false">PROPER(TRIM(Raw_Data!D840))</f>
        <v>Desk</v>
      </c>
      <c r="E840" s="2" t="n">
        <f aca="false">Raw_Data!E840</f>
        <v>4</v>
      </c>
      <c r="F840" s="4" t="n">
        <f aca="false">ROUND(Raw_Data!F840,2)</f>
        <v>577.08</v>
      </c>
      <c r="G840" s="2" t="str">
        <f aca="false">PROPER(TRIM(Raw_Data!G840))</f>
        <v>384 Main St</v>
      </c>
      <c r="H840" s="2" t="str">
        <f aca="false">PROPER(TRIM(Raw_Data!H840))</f>
        <v>Online</v>
      </c>
      <c r="I840" s="2" t="str">
        <f aca="false">PROPER(TRIM(Raw_Data!I840))</f>
        <v>Pending</v>
      </c>
      <c r="J840" s="2" t="str">
        <f aca="false">TRIM(UPPER(Raw_Data!J840))</f>
        <v>TRK68797566</v>
      </c>
      <c r="K840" s="2" t="n">
        <f aca="false">Raw_Data!K840</f>
        <v>8</v>
      </c>
      <c r="L840" s="2" t="str">
        <f aca="false">IF(TRIM(Raw_Data!L840)="","No Coupon",TRIM(UPPER(Raw_Data!L840)))</f>
        <v>No Coupon</v>
      </c>
      <c r="M840" s="2" t="str">
        <f aca="false">PROPER(TRIM(Raw_Data!M840))</f>
        <v>Facebook</v>
      </c>
      <c r="N840" s="4" t="n">
        <f aca="false">ROUND(E840*F840,2)</f>
        <v>2308.32</v>
      </c>
      <c r="O840" s="2" t="str">
        <f aca="false">IF(COUNTIF($A$2:$A$1201,A840)&gt;1,"DUPLICATE","Unique")</f>
        <v>Unique</v>
      </c>
      <c r="P840" s="2" t="str">
        <f aca="false">IF(L840="","MISSING","OK")</f>
        <v>OK</v>
      </c>
      <c r="Q840" s="2" t="str">
        <f aca="false">IF(ISNUMBER(B840),"OK","BAD DATE")</f>
        <v>OK</v>
      </c>
      <c r="R840" s="2" t="str">
        <f aca="false">IF(ROUND(F840,2)=F840,"OK","FIX")</f>
        <v>OK</v>
      </c>
    </row>
    <row r="841" customFormat="false" ht="15" hidden="false" customHeight="false" outlineLevel="0" collapsed="false">
      <c r="A841" s="2" t="str">
        <f aca="false">TRIM(UPPER(Raw_Data!A841))</f>
        <v>ORD200839</v>
      </c>
      <c r="B841" s="3" t="n">
        <f aca="false">IF(ISNUMBER(Raw_Data!B841),Raw_Data!B841,DATEVALUE(Raw_Data!B841))</f>
        <v>45162</v>
      </c>
      <c r="C841" s="2" t="str">
        <f aca="false">TRIM(UPPER(Raw_Data!C841))</f>
        <v>C82858</v>
      </c>
      <c r="D841" s="2" t="str">
        <f aca="false">PROPER(TRIM(Raw_Data!D841))</f>
        <v>Chair</v>
      </c>
      <c r="E841" s="2" t="n">
        <f aca="false">Raw_Data!E841</f>
        <v>3</v>
      </c>
      <c r="F841" s="4" t="n">
        <f aca="false">ROUND(Raw_Data!F841,2)</f>
        <v>197.97</v>
      </c>
      <c r="G841" s="2" t="str">
        <f aca="false">PROPER(TRIM(Raw_Data!G841))</f>
        <v>551 Main St</v>
      </c>
      <c r="H841" s="2" t="str">
        <f aca="false">PROPER(TRIM(Raw_Data!H841))</f>
        <v>Online</v>
      </c>
      <c r="I841" s="2" t="str">
        <f aca="false">PROPER(TRIM(Raw_Data!I841))</f>
        <v>Cancelled</v>
      </c>
      <c r="J841" s="2" t="str">
        <f aca="false">TRIM(UPPER(Raw_Data!J841))</f>
        <v>TRK90618490</v>
      </c>
      <c r="K841" s="2" t="n">
        <f aca="false">Raw_Data!K841</f>
        <v>5</v>
      </c>
      <c r="L841" s="2" t="str">
        <f aca="false">IF(TRIM(Raw_Data!L841)="","No Coupon",TRIM(UPPER(Raw_Data!L841)))</f>
        <v>No Coupon</v>
      </c>
      <c r="M841" s="2" t="str">
        <f aca="false">PROPER(TRIM(Raw_Data!M841))</f>
        <v>Google</v>
      </c>
      <c r="N841" s="4" t="n">
        <f aca="false">ROUND(E841*F841,2)</f>
        <v>593.91</v>
      </c>
      <c r="O841" s="2" t="str">
        <f aca="false">IF(COUNTIF($A$2:$A$1201,A841)&gt;1,"DUPLICATE","Unique")</f>
        <v>Unique</v>
      </c>
      <c r="P841" s="2" t="str">
        <f aca="false">IF(L841="","MISSING","OK")</f>
        <v>OK</v>
      </c>
      <c r="Q841" s="2" t="str">
        <f aca="false">IF(ISNUMBER(B841),"OK","BAD DATE")</f>
        <v>OK</v>
      </c>
      <c r="R841" s="2" t="str">
        <f aca="false">IF(ROUND(F841,2)=F841,"OK","FIX")</f>
        <v>OK</v>
      </c>
    </row>
    <row r="842" customFormat="false" ht="15" hidden="false" customHeight="false" outlineLevel="0" collapsed="false">
      <c r="A842" s="2" t="str">
        <f aca="false">TRIM(UPPER(Raw_Data!A842))</f>
        <v>ORD200840</v>
      </c>
      <c r="B842" s="3" t="n">
        <f aca="false">IF(ISNUMBER(Raw_Data!B842),Raw_Data!B842,DATEVALUE(Raw_Data!B842))</f>
        <v>45305</v>
      </c>
      <c r="C842" s="2" t="str">
        <f aca="false">TRIM(UPPER(Raw_Data!C842))</f>
        <v>C60699</v>
      </c>
      <c r="D842" s="2" t="str">
        <f aca="false">PROPER(TRIM(Raw_Data!D842))</f>
        <v>Chair</v>
      </c>
      <c r="E842" s="2" t="n">
        <f aca="false">Raw_Data!E842</f>
        <v>3</v>
      </c>
      <c r="F842" s="4" t="n">
        <f aca="false">ROUND(Raw_Data!F842,2)</f>
        <v>411.95</v>
      </c>
      <c r="G842" s="2" t="str">
        <f aca="false">PROPER(TRIM(Raw_Data!G842))</f>
        <v>672 Main St</v>
      </c>
      <c r="H842" s="2" t="str">
        <f aca="false">PROPER(TRIM(Raw_Data!H842))</f>
        <v>Credit Card</v>
      </c>
      <c r="I842" s="2" t="str">
        <f aca="false">PROPER(TRIM(Raw_Data!I842))</f>
        <v>Delivered</v>
      </c>
      <c r="J842" s="2" t="str">
        <f aca="false">TRIM(UPPER(Raw_Data!J842))</f>
        <v>TRK88660574</v>
      </c>
      <c r="K842" s="2" t="n">
        <f aca="false">Raw_Data!K842</f>
        <v>7</v>
      </c>
      <c r="L842" s="2" t="str">
        <f aca="false">IF(TRIM(Raw_Data!L842)="","No Coupon",TRIM(UPPER(Raw_Data!L842)))</f>
        <v>FREESHIP</v>
      </c>
      <c r="M842" s="2" t="str">
        <f aca="false">PROPER(TRIM(Raw_Data!M842))</f>
        <v>Referral</v>
      </c>
      <c r="N842" s="4" t="n">
        <f aca="false">ROUND(E842*F842,2)</f>
        <v>1235.85</v>
      </c>
      <c r="O842" s="2" t="str">
        <f aca="false">IF(COUNTIF($A$2:$A$1201,A842)&gt;1,"DUPLICATE","Unique")</f>
        <v>Unique</v>
      </c>
      <c r="P842" s="2" t="str">
        <f aca="false">IF(L842="","MISSING","OK")</f>
        <v>OK</v>
      </c>
      <c r="Q842" s="2" t="str">
        <f aca="false">IF(ISNUMBER(B842),"OK","BAD DATE")</f>
        <v>OK</v>
      </c>
      <c r="R842" s="2" t="str">
        <f aca="false">IF(ROUND(F842,2)=F842,"OK","FIX")</f>
        <v>OK</v>
      </c>
    </row>
    <row r="843" customFormat="false" ht="15" hidden="false" customHeight="false" outlineLevel="0" collapsed="false">
      <c r="A843" s="2" t="str">
        <f aca="false">TRIM(UPPER(Raw_Data!A843))</f>
        <v>ORD200841</v>
      </c>
      <c r="B843" s="3" t="n">
        <f aca="false">IF(ISNUMBER(Raw_Data!B843),Raw_Data!B843,DATEVALUE(Raw_Data!B843))</f>
        <v>45554</v>
      </c>
      <c r="C843" s="2" t="str">
        <f aca="false">TRIM(UPPER(Raw_Data!C843))</f>
        <v>C94658</v>
      </c>
      <c r="D843" s="2" t="str">
        <f aca="false">PROPER(TRIM(Raw_Data!D843))</f>
        <v>Printer</v>
      </c>
      <c r="E843" s="2" t="n">
        <f aca="false">Raw_Data!E843</f>
        <v>2</v>
      </c>
      <c r="F843" s="4" t="n">
        <f aca="false">ROUND(Raw_Data!F843,2)</f>
        <v>443.22</v>
      </c>
      <c r="G843" s="2" t="str">
        <f aca="false">PROPER(TRIM(Raw_Data!G843))</f>
        <v>742 Main St</v>
      </c>
      <c r="H843" s="2" t="str">
        <f aca="false">PROPER(TRIM(Raw_Data!H843))</f>
        <v>Credit Card</v>
      </c>
      <c r="I843" s="2" t="str">
        <f aca="false">PROPER(TRIM(Raw_Data!I843))</f>
        <v>Delivered</v>
      </c>
      <c r="J843" s="2" t="str">
        <f aca="false">TRIM(UPPER(Raw_Data!J843))</f>
        <v>TRK51732528</v>
      </c>
      <c r="K843" s="2" t="n">
        <f aca="false">Raw_Data!K843</f>
        <v>5</v>
      </c>
      <c r="L843" s="2" t="str">
        <f aca="false">IF(TRIM(Raw_Data!L843)="","No Coupon",TRIM(UPPER(Raw_Data!L843)))</f>
        <v>No Coupon</v>
      </c>
      <c r="M843" s="2" t="str">
        <f aca="false">PROPER(TRIM(Raw_Data!M843))</f>
        <v>Facebook</v>
      </c>
      <c r="N843" s="4" t="n">
        <f aca="false">ROUND(E843*F843,2)</f>
        <v>886.44</v>
      </c>
      <c r="O843" s="2" t="str">
        <f aca="false">IF(COUNTIF($A$2:$A$1201,A843)&gt;1,"DUPLICATE","Unique")</f>
        <v>Unique</v>
      </c>
      <c r="P843" s="2" t="str">
        <f aca="false">IF(L843="","MISSING","OK")</f>
        <v>OK</v>
      </c>
      <c r="Q843" s="2" t="str">
        <f aca="false">IF(ISNUMBER(B843),"OK","BAD DATE")</f>
        <v>OK</v>
      </c>
      <c r="R843" s="2" t="str">
        <f aca="false">IF(ROUND(F843,2)=F843,"OK","FIX")</f>
        <v>OK</v>
      </c>
    </row>
    <row r="844" customFormat="false" ht="15" hidden="false" customHeight="false" outlineLevel="0" collapsed="false">
      <c r="A844" s="2" t="str">
        <f aca="false">TRIM(UPPER(Raw_Data!A844))</f>
        <v>ORD200842</v>
      </c>
      <c r="B844" s="3" t="n">
        <f aca="false">IF(ISNUMBER(Raw_Data!B844),Raw_Data!B844,DATEVALUE(Raw_Data!B844))</f>
        <v>45784</v>
      </c>
      <c r="C844" s="2" t="str">
        <f aca="false">TRIM(UPPER(Raw_Data!C844))</f>
        <v>C78305</v>
      </c>
      <c r="D844" s="2" t="str">
        <f aca="false">PROPER(TRIM(Raw_Data!D844))</f>
        <v>Laptop</v>
      </c>
      <c r="E844" s="2" t="n">
        <f aca="false">Raw_Data!E844</f>
        <v>3</v>
      </c>
      <c r="F844" s="4" t="n">
        <f aca="false">ROUND(Raw_Data!F844,2)</f>
        <v>364.14</v>
      </c>
      <c r="G844" s="2" t="str">
        <f aca="false">PROPER(TRIM(Raw_Data!G844))</f>
        <v>396 Main St</v>
      </c>
      <c r="H844" s="2" t="str">
        <f aca="false">PROPER(TRIM(Raw_Data!H844))</f>
        <v>Online</v>
      </c>
      <c r="I844" s="2" t="str">
        <f aca="false">PROPER(TRIM(Raw_Data!I844))</f>
        <v>Pending</v>
      </c>
      <c r="J844" s="2" t="str">
        <f aca="false">TRIM(UPPER(Raw_Data!J844))</f>
        <v>TRK88312618</v>
      </c>
      <c r="K844" s="2" t="n">
        <f aca="false">Raw_Data!K844</f>
        <v>7</v>
      </c>
      <c r="L844" s="2" t="str">
        <f aca="false">IF(TRIM(Raw_Data!L844)="","No Coupon",TRIM(UPPER(Raw_Data!L844)))</f>
        <v>WINTER15</v>
      </c>
      <c r="M844" s="2" t="str">
        <f aca="false">PROPER(TRIM(Raw_Data!M844))</f>
        <v>Referral</v>
      </c>
      <c r="N844" s="4" t="n">
        <f aca="false">ROUND(E844*F844,2)</f>
        <v>1092.42</v>
      </c>
      <c r="O844" s="2" t="str">
        <f aca="false">IF(COUNTIF($A$2:$A$1201,A844)&gt;1,"DUPLICATE","Unique")</f>
        <v>Unique</v>
      </c>
      <c r="P844" s="2" t="str">
        <f aca="false">IF(L844="","MISSING","OK")</f>
        <v>OK</v>
      </c>
      <c r="Q844" s="2" t="str">
        <f aca="false">IF(ISNUMBER(B844),"OK","BAD DATE")</f>
        <v>OK</v>
      </c>
      <c r="R844" s="2" t="str">
        <f aca="false">IF(ROUND(F844,2)=F844,"OK","FIX")</f>
        <v>OK</v>
      </c>
    </row>
    <row r="845" customFormat="false" ht="15" hidden="false" customHeight="false" outlineLevel="0" collapsed="false">
      <c r="A845" s="2" t="str">
        <f aca="false">TRIM(UPPER(Raw_Data!A845))</f>
        <v>ORD200843</v>
      </c>
      <c r="B845" s="3" t="n">
        <f aca="false">IF(ISNUMBER(Raw_Data!B845),Raw_Data!B845,DATEVALUE(Raw_Data!B845))</f>
        <v>45790</v>
      </c>
      <c r="C845" s="2" t="str">
        <f aca="false">TRIM(UPPER(Raw_Data!C845))</f>
        <v>C43538</v>
      </c>
      <c r="D845" s="2" t="str">
        <f aca="false">PROPER(TRIM(Raw_Data!D845))</f>
        <v>Desk</v>
      </c>
      <c r="E845" s="2" t="n">
        <f aca="false">Raw_Data!E845</f>
        <v>3</v>
      </c>
      <c r="F845" s="4" t="n">
        <f aca="false">ROUND(Raw_Data!F845,2)</f>
        <v>430.06</v>
      </c>
      <c r="G845" s="2" t="str">
        <f aca="false">PROPER(TRIM(Raw_Data!G845))</f>
        <v>534 Main St</v>
      </c>
      <c r="H845" s="2" t="str">
        <f aca="false">PROPER(TRIM(Raw_Data!H845))</f>
        <v>Gift Card</v>
      </c>
      <c r="I845" s="2" t="str">
        <f aca="false">PROPER(TRIM(Raw_Data!I845))</f>
        <v>Cancelled</v>
      </c>
      <c r="J845" s="2" t="str">
        <f aca="false">TRIM(UPPER(Raw_Data!J845))</f>
        <v>TRK20961563</v>
      </c>
      <c r="K845" s="2" t="n">
        <f aca="false">Raw_Data!K845</f>
        <v>8</v>
      </c>
      <c r="L845" s="2" t="str">
        <f aca="false">IF(TRIM(Raw_Data!L845)="","No Coupon",TRIM(UPPER(Raw_Data!L845)))</f>
        <v>FREESHIP</v>
      </c>
      <c r="M845" s="2" t="str">
        <f aca="false">PROPER(TRIM(Raw_Data!M845))</f>
        <v>Instagram</v>
      </c>
      <c r="N845" s="4" t="n">
        <f aca="false">ROUND(E845*F845,2)</f>
        <v>1290.18</v>
      </c>
      <c r="O845" s="2" t="str">
        <f aca="false">IF(COUNTIF($A$2:$A$1201,A845)&gt;1,"DUPLICATE","Unique")</f>
        <v>Unique</v>
      </c>
      <c r="P845" s="2" t="str">
        <f aca="false">IF(L845="","MISSING","OK")</f>
        <v>OK</v>
      </c>
      <c r="Q845" s="2" t="str">
        <f aca="false">IF(ISNUMBER(B845),"OK","BAD DATE")</f>
        <v>OK</v>
      </c>
      <c r="R845" s="2" t="str">
        <f aca="false">IF(ROUND(F845,2)=F845,"OK","FIX")</f>
        <v>OK</v>
      </c>
    </row>
    <row r="846" customFormat="false" ht="15" hidden="false" customHeight="false" outlineLevel="0" collapsed="false">
      <c r="A846" s="2" t="str">
        <f aca="false">TRIM(UPPER(Raw_Data!A846))</f>
        <v>ORD200844</v>
      </c>
      <c r="B846" s="3" t="n">
        <f aca="false">IF(ISNUMBER(Raw_Data!B846),Raw_Data!B846,DATEVALUE(Raw_Data!B846))</f>
        <v>45630</v>
      </c>
      <c r="C846" s="2" t="str">
        <f aca="false">TRIM(UPPER(Raw_Data!C846))</f>
        <v>C47486</v>
      </c>
      <c r="D846" s="2" t="str">
        <f aca="false">PROPER(TRIM(Raw_Data!D846))</f>
        <v>Chair</v>
      </c>
      <c r="E846" s="2" t="n">
        <f aca="false">Raw_Data!E846</f>
        <v>1</v>
      </c>
      <c r="F846" s="4" t="n">
        <f aca="false">ROUND(Raw_Data!F846,2)</f>
        <v>320.92</v>
      </c>
      <c r="G846" s="2" t="str">
        <f aca="false">PROPER(TRIM(Raw_Data!G846))</f>
        <v>883 Main St</v>
      </c>
      <c r="H846" s="2" t="str">
        <f aca="false">PROPER(TRIM(Raw_Data!H846))</f>
        <v>Online</v>
      </c>
      <c r="I846" s="2" t="str">
        <f aca="false">PROPER(TRIM(Raw_Data!I846))</f>
        <v>Returned</v>
      </c>
      <c r="J846" s="2" t="str">
        <f aca="false">TRIM(UPPER(Raw_Data!J846))</f>
        <v>TRK75984759</v>
      </c>
      <c r="K846" s="2" t="n">
        <f aca="false">Raw_Data!K846</f>
        <v>5</v>
      </c>
      <c r="L846" s="2" t="str">
        <f aca="false">IF(TRIM(Raw_Data!L846)="","No Coupon",TRIM(UPPER(Raw_Data!L846)))</f>
        <v>FREESHIP</v>
      </c>
      <c r="M846" s="2" t="str">
        <f aca="false">PROPER(TRIM(Raw_Data!M846))</f>
        <v>Facebook</v>
      </c>
      <c r="N846" s="4" t="n">
        <f aca="false">ROUND(E846*F846,2)</f>
        <v>320.92</v>
      </c>
      <c r="O846" s="2" t="str">
        <f aca="false">IF(COUNTIF($A$2:$A$1201,A846)&gt;1,"DUPLICATE","Unique")</f>
        <v>Unique</v>
      </c>
      <c r="P846" s="2" t="str">
        <f aca="false">IF(L846="","MISSING","OK")</f>
        <v>OK</v>
      </c>
      <c r="Q846" s="2" t="str">
        <f aca="false">IF(ISNUMBER(B846),"OK","BAD DATE")</f>
        <v>OK</v>
      </c>
      <c r="R846" s="2" t="str">
        <f aca="false">IF(ROUND(F846,2)=F846,"OK","FIX")</f>
        <v>OK</v>
      </c>
    </row>
    <row r="847" customFormat="false" ht="15" hidden="false" customHeight="false" outlineLevel="0" collapsed="false">
      <c r="A847" s="2" t="str">
        <f aca="false">TRIM(UPPER(Raw_Data!A847))</f>
        <v>ORD200845</v>
      </c>
      <c r="B847" s="3" t="n">
        <f aca="false">IF(ISNUMBER(Raw_Data!B847),Raw_Data!B847,DATEVALUE(Raw_Data!B847))</f>
        <v>45207</v>
      </c>
      <c r="C847" s="2" t="str">
        <f aca="false">TRIM(UPPER(Raw_Data!C847))</f>
        <v>C24212</v>
      </c>
      <c r="D847" s="2" t="str">
        <f aca="false">PROPER(TRIM(Raw_Data!D847))</f>
        <v>Phone</v>
      </c>
      <c r="E847" s="2" t="n">
        <f aca="false">Raw_Data!E847</f>
        <v>3</v>
      </c>
      <c r="F847" s="4" t="n">
        <f aca="false">ROUND(Raw_Data!F847,2)</f>
        <v>107.36</v>
      </c>
      <c r="G847" s="2" t="str">
        <f aca="false">PROPER(TRIM(Raw_Data!G847))</f>
        <v>808 Main St</v>
      </c>
      <c r="H847" s="2" t="str">
        <f aca="false">PROPER(TRIM(Raw_Data!H847))</f>
        <v>Gift Card</v>
      </c>
      <c r="I847" s="2" t="str">
        <f aca="false">PROPER(TRIM(Raw_Data!I847))</f>
        <v>Delivered</v>
      </c>
      <c r="J847" s="2" t="str">
        <f aca="false">TRIM(UPPER(Raw_Data!J847))</f>
        <v>TRK68894675</v>
      </c>
      <c r="K847" s="2" t="n">
        <f aca="false">Raw_Data!K847</f>
        <v>5</v>
      </c>
      <c r="L847" s="2" t="str">
        <f aca="false">IF(TRIM(Raw_Data!L847)="","No Coupon",TRIM(UPPER(Raw_Data!L847)))</f>
        <v>FREESHIP</v>
      </c>
      <c r="M847" s="2" t="str">
        <f aca="false">PROPER(TRIM(Raw_Data!M847))</f>
        <v>Google</v>
      </c>
      <c r="N847" s="4" t="n">
        <f aca="false">ROUND(E847*F847,2)</f>
        <v>322.08</v>
      </c>
      <c r="O847" s="2" t="str">
        <f aca="false">IF(COUNTIF($A$2:$A$1201,A847)&gt;1,"DUPLICATE","Unique")</f>
        <v>Unique</v>
      </c>
      <c r="P847" s="2" t="str">
        <f aca="false">IF(L847="","MISSING","OK")</f>
        <v>OK</v>
      </c>
      <c r="Q847" s="2" t="str">
        <f aca="false">IF(ISNUMBER(B847),"OK","BAD DATE")</f>
        <v>OK</v>
      </c>
      <c r="R847" s="2" t="str">
        <f aca="false">IF(ROUND(F847,2)=F847,"OK","FIX")</f>
        <v>OK</v>
      </c>
    </row>
    <row r="848" customFormat="false" ht="15" hidden="false" customHeight="false" outlineLevel="0" collapsed="false">
      <c r="A848" s="2" t="str">
        <f aca="false">TRIM(UPPER(Raw_Data!A848))</f>
        <v>ORD200846</v>
      </c>
      <c r="B848" s="3" t="n">
        <f aca="false">IF(ISNUMBER(Raw_Data!B848),Raw_Data!B848,DATEVALUE(Raw_Data!B848))</f>
        <v>45477</v>
      </c>
      <c r="C848" s="2" t="str">
        <f aca="false">TRIM(UPPER(Raw_Data!C848))</f>
        <v>C24765</v>
      </c>
      <c r="D848" s="2" t="str">
        <f aca="false">PROPER(TRIM(Raw_Data!D848))</f>
        <v>Desk</v>
      </c>
      <c r="E848" s="2" t="n">
        <f aca="false">Raw_Data!E848</f>
        <v>2</v>
      </c>
      <c r="F848" s="4" t="n">
        <f aca="false">ROUND(Raw_Data!F848,2)</f>
        <v>359.86</v>
      </c>
      <c r="G848" s="2" t="str">
        <f aca="false">PROPER(TRIM(Raw_Data!G848))</f>
        <v>646 Main St</v>
      </c>
      <c r="H848" s="2" t="str">
        <f aca="false">PROPER(TRIM(Raw_Data!H848))</f>
        <v>Debit Card</v>
      </c>
      <c r="I848" s="2" t="str">
        <f aca="false">PROPER(TRIM(Raw_Data!I848))</f>
        <v>Cancelled</v>
      </c>
      <c r="J848" s="2" t="str">
        <f aca="false">TRIM(UPPER(Raw_Data!J848))</f>
        <v>TRK43977698</v>
      </c>
      <c r="K848" s="2" t="n">
        <f aca="false">Raw_Data!K848</f>
        <v>4</v>
      </c>
      <c r="L848" s="2" t="str">
        <f aca="false">IF(TRIM(Raw_Data!L848)="","No Coupon",TRIM(UPPER(Raw_Data!L848)))</f>
        <v>No Coupon</v>
      </c>
      <c r="M848" s="2" t="str">
        <f aca="false">PROPER(TRIM(Raw_Data!M848))</f>
        <v>Referral</v>
      </c>
      <c r="N848" s="4" t="n">
        <f aca="false">ROUND(E848*F848,2)</f>
        <v>719.72</v>
      </c>
      <c r="O848" s="2" t="str">
        <f aca="false">IF(COUNTIF($A$2:$A$1201,A848)&gt;1,"DUPLICATE","Unique")</f>
        <v>Unique</v>
      </c>
      <c r="P848" s="2" t="str">
        <f aca="false">IF(L848="","MISSING","OK")</f>
        <v>OK</v>
      </c>
      <c r="Q848" s="2" t="str">
        <f aca="false">IF(ISNUMBER(B848),"OK","BAD DATE")</f>
        <v>OK</v>
      </c>
      <c r="R848" s="2" t="str">
        <f aca="false">IF(ROUND(F848,2)=F848,"OK","FIX")</f>
        <v>OK</v>
      </c>
    </row>
    <row r="849" customFormat="false" ht="15" hidden="false" customHeight="false" outlineLevel="0" collapsed="false">
      <c r="A849" s="2" t="str">
        <f aca="false">TRIM(UPPER(Raw_Data!A849))</f>
        <v>ORD200847</v>
      </c>
      <c r="B849" s="3" t="n">
        <f aca="false">IF(ISNUMBER(Raw_Data!B849),Raw_Data!B849,DATEVALUE(Raw_Data!B849))</f>
        <v>45614</v>
      </c>
      <c r="C849" s="2" t="str">
        <f aca="false">TRIM(UPPER(Raw_Data!C849))</f>
        <v>C48176</v>
      </c>
      <c r="D849" s="2" t="str">
        <f aca="false">PROPER(TRIM(Raw_Data!D849))</f>
        <v>Printer</v>
      </c>
      <c r="E849" s="2" t="n">
        <f aca="false">Raw_Data!E849</f>
        <v>4</v>
      </c>
      <c r="F849" s="4" t="n">
        <f aca="false">ROUND(Raw_Data!F849,2)</f>
        <v>434.23</v>
      </c>
      <c r="G849" s="2" t="str">
        <f aca="false">PROPER(TRIM(Raw_Data!G849))</f>
        <v>670 Main St</v>
      </c>
      <c r="H849" s="2" t="str">
        <f aca="false">PROPER(TRIM(Raw_Data!H849))</f>
        <v>Online</v>
      </c>
      <c r="I849" s="2" t="str">
        <f aca="false">PROPER(TRIM(Raw_Data!I849))</f>
        <v>Shipped</v>
      </c>
      <c r="J849" s="2" t="str">
        <f aca="false">TRIM(UPPER(Raw_Data!J849))</f>
        <v>TRK90560300</v>
      </c>
      <c r="K849" s="2" t="n">
        <f aca="false">Raw_Data!K849</f>
        <v>8</v>
      </c>
      <c r="L849" s="2" t="str">
        <f aca="false">IF(TRIM(Raw_Data!L849)="","No Coupon",TRIM(UPPER(Raw_Data!L849)))</f>
        <v>FREESHIP</v>
      </c>
      <c r="M849" s="2" t="str">
        <f aca="false">PROPER(TRIM(Raw_Data!M849))</f>
        <v>Email</v>
      </c>
      <c r="N849" s="4" t="n">
        <f aca="false">ROUND(E849*F849,2)</f>
        <v>1736.92</v>
      </c>
      <c r="O849" s="2" t="str">
        <f aca="false">IF(COUNTIF($A$2:$A$1201,A849)&gt;1,"DUPLICATE","Unique")</f>
        <v>Unique</v>
      </c>
      <c r="P849" s="2" t="str">
        <f aca="false">IF(L849="","MISSING","OK")</f>
        <v>OK</v>
      </c>
      <c r="Q849" s="2" t="str">
        <f aca="false">IF(ISNUMBER(B849),"OK","BAD DATE")</f>
        <v>OK</v>
      </c>
      <c r="R849" s="2" t="str">
        <f aca="false">IF(ROUND(F849,2)=F849,"OK","FIX")</f>
        <v>OK</v>
      </c>
    </row>
    <row r="850" customFormat="false" ht="15" hidden="false" customHeight="false" outlineLevel="0" collapsed="false">
      <c r="A850" s="2" t="str">
        <f aca="false">TRIM(UPPER(Raw_Data!A850))</f>
        <v>ORD200848</v>
      </c>
      <c r="B850" s="3" t="n">
        <f aca="false">IF(ISNUMBER(Raw_Data!B850),Raw_Data!B850,DATEVALUE(Raw_Data!B850))</f>
        <v>44927</v>
      </c>
      <c r="C850" s="2" t="str">
        <f aca="false">TRIM(UPPER(Raw_Data!C850))</f>
        <v>C54675</v>
      </c>
      <c r="D850" s="2" t="str">
        <f aca="false">PROPER(TRIM(Raw_Data!D850))</f>
        <v>Chair</v>
      </c>
      <c r="E850" s="2" t="n">
        <f aca="false">Raw_Data!E850</f>
        <v>2</v>
      </c>
      <c r="F850" s="4" t="n">
        <f aca="false">ROUND(Raw_Data!F850,2)</f>
        <v>645.85</v>
      </c>
      <c r="G850" s="2" t="str">
        <f aca="false">PROPER(TRIM(Raw_Data!G850))</f>
        <v>634 Main St</v>
      </c>
      <c r="H850" s="2" t="str">
        <f aca="false">PROPER(TRIM(Raw_Data!H850))</f>
        <v>Online</v>
      </c>
      <c r="I850" s="2" t="str">
        <f aca="false">PROPER(TRIM(Raw_Data!I850))</f>
        <v>Shipped</v>
      </c>
      <c r="J850" s="2" t="str">
        <f aca="false">TRIM(UPPER(Raw_Data!J850))</f>
        <v>TRK18049633</v>
      </c>
      <c r="K850" s="2" t="n">
        <f aca="false">Raw_Data!K850</f>
        <v>5</v>
      </c>
      <c r="L850" s="2" t="str">
        <f aca="false">IF(TRIM(Raw_Data!L850)="","No Coupon",TRIM(UPPER(Raw_Data!L850)))</f>
        <v>No Coupon</v>
      </c>
      <c r="M850" s="2" t="str">
        <f aca="false">PROPER(TRIM(Raw_Data!M850))</f>
        <v>Referral</v>
      </c>
      <c r="N850" s="4" t="n">
        <f aca="false">ROUND(E850*F850,2)</f>
        <v>1291.7</v>
      </c>
      <c r="O850" s="2" t="str">
        <f aca="false">IF(COUNTIF($A$2:$A$1201,A850)&gt;1,"DUPLICATE","Unique")</f>
        <v>Unique</v>
      </c>
      <c r="P850" s="2" t="str">
        <f aca="false">IF(L850="","MISSING","OK")</f>
        <v>OK</v>
      </c>
      <c r="Q850" s="2" t="str">
        <f aca="false">IF(ISNUMBER(B850),"OK","BAD DATE")</f>
        <v>OK</v>
      </c>
      <c r="R850" s="2" t="str">
        <f aca="false">IF(ROUND(F850,2)=F850,"OK","FIX")</f>
        <v>OK</v>
      </c>
    </row>
    <row r="851" customFormat="false" ht="15" hidden="false" customHeight="false" outlineLevel="0" collapsed="false">
      <c r="A851" s="2" t="str">
        <f aca="false">TRIM(UPPER(Raw_Data!A851))</f>
        <v>ORD200849</v>
      </c>
      <c r="B851" s="3" t="n">
        <f aca="false">IF(ISNUMBER(Raw_Data!B851),Raw_Data!B851,DATEVALUE(Raw_Data!B851))</f>
        <v>45817</v>
      </c>
      <c r="C851" s="2" t="str">
        <f aca="false">TRIM(UPPER(Raw_Data!C851))</f>
        <v>C16675</v>
      </c>
      <c r="D851" s="2" t="str">
        <f aca="false">PROPER(TRIM(Raw_Data!D851))</f>
        <v>Printer</v>
      </c>
      <c r="E851" s="2" t="n">
        <f aca="false">Raw_Data!E851</f>
        <v>4</v>
      </c>
      <c r="F851" s="4" t="n">
        <f aca="false">ROUND(Raw_Data!F851,2)</f>
        <v>214.35</v>
      </c>
      <c r="G851" s="2" t="str">
        <f aca="false">PROPER(TRIM(Raw_Data!G851))</f>
        <v>664 Main St</v>
      </c>
      <c r="H851" s="2" t="str">
        <f aca="false">PROPER(TRIM(Raw_Data!H851))</f>
        <v>Debit Card</v>
      </c>
      <c r="I851" s="2" t="str">
        <f aca="false">PROPER(TRIM(Raw_Data!I851))</f>
        <v>Cancelled</v>
      </c>
      <c r="J851" s="2" t="str">
        <f aca="false">TRIM(UPPER(Raw_Data!J851))</f>
        <v>TRK12756945</v>
      </c>
      <c r="K851" s="2" t="n">
        <f aca="false">Raw_Data!K851</f>
        <v>7</v>
      </c>
      <c r="L851" s="2" t="str">
        <f aca="false">IF(TRIM(Raw_Data!L851)="","No Coupon",TRIM(UPPER(Raw_Data!L851)))</f>
        <v>WINTER15</v>
      </c>
      <c r="M851" s="2" t="str">
        <f aca="false">PROPER(TRIM(Raw_Data!M851))</f>
        <v>Referral</v>
      </c>
      <c r="N851" s="4" t="n">
        <f aca="false">ROUND(E851*F851,2)</f>
        <v>857.4</v>
      </c>
      <c r="O851" s="2" t="str">
        <f aca="false">IF(COUNTIF($A$2:$A$1201,A851)&gt;1,"DUPLICATE","Unique")</f>
        <v>Unique</v>
      </c>
      <c r="P851" s="2" t="str">
        <f aca="false">IF(L851="","MISSING","OK")</f>
        <v>OK</v>
      </c>
      <c r="Q851" s="2" t="str">
        <f aca="false">IF(ISNUMBER(B851),"OK","BAD DATE")</f>
        <v>OK</v>
      </c>
      <c r="R851" s="2" t="str">
        <f aca="false">IF(ROUND(F851,2)=F851,"OK","FIX")</f>
        <v>OK</v>
      </c>
    </row>
    <row r="852" customFormat="false" ht="15" hidden="false" customHeight="false" outlineLevel="0" collapsed="false">
      <c r="A852" s="2" t="str">
        <f aca="false">TRIM(UPPER(Raw_Data!A852))</f>
        <v>ORD200850</v>
      </c>
      <c r="B852" s="3" t="n">
        <f aca="false">IF(ISNUMBER(Raw_Data!B852),Raw_Data!B852,DATEVALUE(Raw_Data!B852))</f>
        <v>45774</v>
      </c>
      <c r="C852" s="2" t="str">
        <f aca="false">TRIM(UPPER(Raw_Data!C852))</f>
        <v>C38557</v>
      </c>
      <c r="D852" s="2" t="str">
        <f aca="false">PROPER(TRIM(Raw_Data!D852))</f>
        <v>Monitor</v>
      </c>
      <c r="E852" s="2" t="n">
        <f aca="false">Raw_Data!E852</f>
        <v>3</v>
      </c>
      <c r="F852" s="4" t="n">
        <f aca="false">ROUND(Raw_Data!F852,2)</f>
        <v>638.5</v>
      </c>
      <c r="G852" s="2" t="str">
        <f aca="false">PROPER(TRIM(Raw_Data!G852))</f>
        <v>890 Main St</v>
      </c>
      <c r="H852" s="2" t="str">
        <f aca="false">PROPER(TRIM(Raw_Data!H852))</f>
        <v>Debit Card</v>
      </c>
      <c r="I852" s="2" t="str">
        <f aca="false">PROPER(TRIM(Raw_Data!I852))</f>
        <v>Cancelled</v>
      </c>
      <c r="J852" s="2" t="str">
        <f aca="false">TRIM(UPPER(Raw_Data!J852))</f>
        <v>TRK14832238</v>
      </c>
      <c r="K852" s="2" t="n">
        <f aca="false">Raw_Data!K852</f>
        <v>4</v>
      </c>
      <c r="L852" s="2" t="str">
        <f aca="false">IF(TRIM(Raw_Data!L852)="","No Coupon",TRIM(UPPER(Raw_Data!L852)))</f>
        <v>FREESHIP</v>
      </c>
      <c r="M852" s="2" t="str">
        <f aca="false">PROPER(TRIM(Raw_Data!M852))</f>
        <v>Instagram</v>
      </c>
      <c r="N852" s="4" t="n">
        <f aca="false">ROUND(E852*F852,2)</f>
        <v>1915.5</v>
      </c>
      <c r="O852" s="2" t="str">
        <f aca="false">IF(COUNTIF($A$2:$A$1201,A852)&gt;1,"DUPLICATE","Unique")</f>
        <v>Unique</v>
      </c>
      <c r="P852" s="2" t="str">
        <f aca="false">IF(L852="","MISSING","OK")</f>
        <v>OK</v>
      </c>
      <c r="Q852" s="2" t="str">
        <f aca="false">IF(ISNUMBER(B852),"OK","BAD DATE")</f>
        <v>OK</v>
      </c>
      <c r="R852" s="2" t="str">
        <f aca="false">IF(ROUND(F852,2)=F852,"OK","FIX")</f>
        <v>OK</v>
      </c>
    </row>
    <row r="853" customFormat="false" ht="15" hidden="false" customHeight="false" outlineLevel="0" collapsed="false">
      <c r="A853" s="2" t="str">
        <f aca="false">TRIM(UPPER(Raw_Data!A853))</f>
        <v>ORD200851</v>
      </c>
      <c r="B853" s="3" t="n">
        <f aca="false">IF(ISNUMBER(Raw_Data!B853),Raw_Data!B853,DATEVALUE(Raw_Data!B853))</f>
        <v>45272</v>
      </c>
      <c r="C853" s="2" t="str">
        <f aca="false">TRIM(UPPER(Raw_Data!C853))</f>
        <v>C80183</v>
      </c>
      <c r="D853" s="2" t="str">
        <f aca="false">PROPER(TRIM(Raw_Data!D853))</f>
        <v>Laptop</v>
      </c>
      <c r="E853" s="2" t="n">
        <f aca="false">Raw_Data!E853</f>
        <v>1</v>
      </c>
      <c r="F853" s="4" t="n">
        <f aca="false">ROUND(Raw_Data!F853,2)</f>
        <v>365.57</v>
      </c>
      <c r="G853" s="2" t="str">
        <f aca="false">PROPER(TRIM(Raw_Data!G853))</f>
        <v>146 Main St</v>
      </c>
      <c r="H853" s="2" t="str">
        <f aca="false">PROPER(TRIM(Raw_Data!H853))</f>
        <v>Online</v>
      </c>
      <c r="I853" s="2" t="str">
        <f aca="false">PROPER(TRIM(Raw_Data!I853))</f>
        <v>Cancelled</v>
      </c>
      <c r="J853" s="2" t="str">
        <f aca="false">TRIM(UPPER(Raw_Data!J853))</f>
        <v>TRK20814598</v>
      </c>
      <c r="K853" s="2" t="n">
        <f aca="false">Raw_Data!K853</f>
        <v>5</v>
      </c>
      <c r="L853" s="2" t="str">
        <f aca="false">IF(TRIM(Raw_Data!L853)="","No Coupon",TRIM(UPPER(Raw_Data!L853)))</f>
        <v>SAVE10</v>
      </c>
      <c r="M853" s="2" t="str">
        <f aca="false">PROPER(TRIM(Raw_Data!M853))</f>
        <v>Email</v>
      </c>
      <c r="N853" s="4" t="n">
        <f aca="false">ROUND(E853*F853,2)</f>
        <v>365.57</v>
      </c>
      <c r="O853" s="2" t="str">
        <f aca="false">IF(COUNTIF($A$2:$A$1201,A853)&gt;1,"DUPLICATE","Unique")</f>
        <v>Unique</v>
      </c>
      <c r="P853" s="2" t="str">
        <f aca="false">IF(L853="","MISSING","OK")</f>
        <v>OK</v>
      </c>
      <c r="Q853" s="2" t="str">
        <f aca="false">IF(ISNUMBER(B853),"OK","BAD DATE")</f>
        <v>OK</v>
      </c>
      <c r="R853" s="2" t="str">
        <f aca="false">IF(ROUND(F853,2)=F853,"OK","FIX")</f>
        <v>OK</v>
      </c>
    </row>
    <row r="854" customFormat="false" ht="15" hidden="false" customHeight="false" outlineLevel="0" collapsed="false">
      <c r="A854" s="2" t="str">
        <f aca="false">TRIM(UPPER(Raw_Data!A854))</f>
        <v>ORD200852</v>
      </c>
      <c r="B854" s="3" t="n">
        <f aca="false">IF(ISNUMBER(Raw_Data!B854),Raw_Data!B854,DATEVALUE(Raw_Data!B854))</f>
        <v>45589</v>
      </c>
      <c r="C854" s="2" t="str">
        <f aca="false">TRIM(UPPER(Raw_Data!C854))</f>
        <v>C39530</v>
      </c>
      <c r="D854" s="2" t="str">
        <f aca="false">PROPER(TRIM(Raw_Data!D854))</f>
        <v>Desk</v>
      </c>
      <c r="E854" s="2" t="n">
        <f aca="false">Raw_Data!E854</f>
        <v>3</v>
      </c>
      <c r="F854" s="4" t="n">
        <f aca="false">ROUND(Raw_Data!F854,2)</f>
        <v>568.05</v>
      </c>
      <c r="G854" s="2" t="str">
        <f aca="false">PROPER(TRIM(Raw_Data!G854))</f>
        <v>618 Main St</v>
      </c>
      <c r="H854" s="2" t="str">
        <f aca="false">PROPER(TRIM(Raw_Data!H854))</f>
        <v>Gift Card</v>
      </c>
      <c r="I854" s="2" t="str">
        <f aca="false">PROPER(TRIM(Raw_Data!I854))</f>
        <v>Pending</v>
      </c>
      <c r="J854" s="2" t="str">
        <f aca="false">TRIM(UPPER(Raw_Data!J854))</f>
        <v>TRK69000497</v>
      </c>
      <c r="K854" s="2" t="n">
        <f aca="false">Raw_Data!K854</f>
        <v>6</v>
      </c>
      <c r="L854" s="2" t="str">
        <f aca="false">IF(TRIM(Raw_Data!L854)="","No Coupon",TRIM(UPPER(Raw_Data!L854)))</f>
        <v>SAVE10</v>
      </c>
      <c r="M854" s="2" t="str">
        <f aca="false">PROPER(TRIM(Raw_Data!M854))</f>
        <v>Google</v>
      </c>
      <c r="N854" s="4" t="n">
        <f aca="false">ROUND(E854*F854,2)</f>
        <v>1704.15</v>
      </c>
      <c r="O854" s="2" t="str">
        <f aca="false">IF(COUNTIF($A$2:$A$1201,A854)&gt;1,"DUPLICATE","Unique")</f>
        <v>Unique</v>
      </c>
      <c r="P854" s="2" t="str">
        <f aca="false">IF(L854="","MISSING","OK")</f>
        <v>OK</v>
      </c>
      <c r="Q854" s="2" t="str">
        <f aca="false">IF(ISNUMBER(B854),"OK","BAD DATE")</f>
        <v>OK</v>
      </c>
      <c r="R854" s="2" t="str">
        <f aca="false">IF(ROUND(F854,2)=F854,"OK","FIX")</f>
        <v>OK</v>
      </c>
    </row>
    <row r="855" customFormat="false" ht="15" hidden="false" customHeight="false" outlineLevel="0" collapsed="false">
      <c r="A855" s="2" t="str">
        <f aca="false">TRIM(UPPER(Raw_Data!A855))</f>
        <v>ORD200853</v>
      </c>
      <c r="B855" s="3" t="n">
        <f aca="false">IF(ISNUMBER(Raw_Data!B855),Raw_Data!B855,DATEVALUE(Raw_Data!B855))</f>
        <v>45215</v>
      </c>
      <c r="C855" s="2" t="str">
        <f aca="false">TRIM(UPPER(Raw_Data!C855))</f>
        <v>C10002</v>
      </c>
      <c r="D855" s="2" t="str">
        <f aca="false">PROPER(TRIM(Raw_Data!D855))</f>
        <v>Printer</v>
      </c>
      <c r="E855" s="2" t="n">
        <f aca="false">Raw_Data!E855</f>
        <v>3</v>
      </c>
      <c r="F855" s="4" t="n">
        <f aca="false">ROUND(Raw_Data!F855,2)</f>
        <v>490.01</v>
      </c>
      <c r="G855" s="2" t="str">
        <f aca="false">PROPER(TRIM(Raw_Data!G855))</f>
        <v>894 Main St</v>
      </c>
      <c r="H855" s="2" t="str">
        <f aca="false">PROPER(TRIM(Raw_Data!H855))</f>
        <v>Cash</v>
      </c>
      <c r="I855" s="2" t="str">
        <f aca="false">PROPER(TRIM(Raw_Data!I855))</f>
        <v>Returned</v>
      </c>
      <c r="J855" s="2" t="str">
        <f aca="false">TRIM(UPPER(Raw_Data!J855))</f>
        <v>TRK94641152</v>
      </c>
      <c r="K855" s="2" t="n">
        <f aca="false">Raw_Data!K855</f>
        <v>4</v>
      </c>
      <c r="L855" s="2" t="str">
        <f aca="false">IF(TRIM(Raw_Data!L855)="","No Coupon",TRIM(UPPER(Raw_Data!L855)))</f>
        <v>SAVE10</v>
      </c>
      <c r="M855" s="2" t="str">
        <f aca="false">PROPER(TRIM(Raw_Data!M855))</f>
        <v>Facebook</v>
      </c>
      <c r="N855" s="4" t="n">
        <f aca="false">ROUND(E855*F855,2)</f>
        <v>1470.03</v>
      </c>
      <c r="O855" s="2" t="str">
        <f aca="false">IF(COUNTIF($A$2:$A$1201,A855)&gt;1,"DUPLICATE","Unique")</f>
        <v>Unique</v>
      </c>
      <c r="P855" s="2" t="str">
        <f aca="false">IF(L855="","MISSING","OK")</f>
        <v>OK</v>
      </c>
      <c r="Q855" s="2" t="str">
        <f aca="false">IF(ISNUMBER(B855),"OK","BAD DATE")</f>
        <v>OK</v>
      </c>
      <c r="R855" s="2" t="str">
        <f aca="false">IF(ROUND(F855,2)=F855,"OK","FIX")</f>
        <v>OK</v>
      </c>
    </row>
    <row r="856" customFormat="false" ht="15" hidden="false" customHeight="false" outlineLevel="0" collapsed="false">
      <c r="A856" s="2" t="str">
        <f aca="false">TRIM(UPPER(Raw_Data!A856))</f>
        <v>ORD200854</v>
      </c>
      <c r="B856" s="3" t="n">
        <f aca="false">IF(ISNUMBER(Raw_Data!B856),Raw_Data!B856,DATEVALUE(Raw_Data!B856))</f>
        <v>45821</v>
      </c>
      <c r="C856" s="2" t="str">
        <f aca="false">TRIM(UPPER(Raw_Data!C856))</f>
        <v>C56938</v>
      </c>
      <c r="D856" s="2" t="str">
        <f aca="false">PROPER(TRIM(Raw_Data!D856))</f>
        <v>Laptop</v>
      </c>
      <c r="E856" s="2" t="n">
        <f aca="false">Raw_Data!E856</f>
        <v>3</v>
      </c>
      <c r="F856" s="4" t="n">
        <f aca="false">ROUND(Raw_Data!F856,2)</f>
        <v>372.6</v>
      </c>
      <c r="G856" s="2" t="str">
        <f aca="false">PROPER(TRIM(Raw_Data!G856))</f>
        <v>356 Main St</v>
      </c>
      <c r="H856" s="2" t="str">
        <f aca="false">PROPER(TRIM(Raw_Data!H856))</f>
        <v>Credit Card</v>
      </c>
      <c r="I856" s="2" t="str">
        <f aca="false">PROPER(TRIM(Raw_Data!I856))</f>
        <v>Delivered</v>
      </c>
      <c r="J856" s="2" t="str">
        <f aca="false">TRIM(UPPER(Raw_Data!J856))</f>
        <v>TRK67735987</v>
      </c>
      <c r="K856" s="2" t="n">
        <f aca="false">Raw_Data!K856</f>
        <v>7</v>
      </c>
      <c r="L856" s="2" t="str">
        <f aca="false">IF(TRIM(Raw_Data!L856)="","No Coupon",TRIM(UPPER(Raw_Data!L856)))</f>
        <v>WINTER15</v>
      </c>
      <c r="M856" s="2" t="str">
        <f aca="false">PROPER(TRIM(Raw_Data!M856))</f>
        <v>Referral</v>
      </c>
      <c r="N856" s="4" t="n">
        <f aca="false">ROUND(E856*F856,2)</f>
        <v>1117.8</v>
      </c>
      <c r="O856" s="2" t="str">
        <f aca="false">IF(COUNTIF($A$2:$A$1201,A856)&gt;1,"DUPLICATE","Unique")</f>
        <v>Unique</v>
      </c>
      <c r="P856" s="2" t="str">
        <f aca="false">IF(L856="","MISSING","OK")</f>
        <v>OK</v>
      </c>
      <c r="Q856" s="2" t="str">
        <f aca="false">IF(ISNUMBER(B856),"OK","BAD DATE")</f>
        <v>OK</v>
      </c>
      <c r="R856" s="2" t="str">
        <f aca="false">IF(ROUND(F856,2)=F856,"OK","FIX")</f>
        <v>OK</v>
      </c>
    </row>
    <row r="857" customFormat="false" ht="15" hidden="false" customHeight="false" outlineLevel="0" collapsed="false">
      <c r="A857" s="2" t="str">
        <f aca="false">TRIM(UPPER(Raw_Data!A857))</f>
        <v>ORD200855</v>
      </c>
      <c r="B857" s="3" t="n">
        <f aca="false">IF(ISNUMBER(Raw_Data!B857),Raw_Data!B857,DATEVALUE(Raw_Data!B857))</f>
        <v>45071</v>
      </c>
      <c r="C857" s="2" t="str">
        <f aca="false">TRIM(UPPER(Raw_Data!C857))</f>
        <v>C41331</v>
      </c>
      <c r="D857" s="2" t="str">
        <f aca="false">PROPER(TRIM(Raw_Data!D857))</f>
        <v>Monitor</v>
      </c>
      <c r="E857" s="2" t="n">
        <f aca="false">Raw_Data!E857</f>
        <v>5</v>
      </c>
      <c r="F857" s="4" t="n">
        <f aca="false">ROUND(Raw_Data!F857,2)</f>
        <v>240.61</v>
      </c>
      <c r="G857" s="2" t="str">
        <f aca="false">PROPER(TRIM(Raw_Data!G857))</f>
        <v>785 Main St</v>
      </c>
      <c r="H857" s="2" t="str">
        <f aca="false">PROPER(TRIM(Raw_Data!H857))</f>
        <v>Credit Card</v>
      </c>
      <c r="I857" s="2" t="str">
        <f aca="false">PROPER(TRIM(Raw_Data!I857))</f>
        <v>Shipped</v>
      </c>
      <c r="J857" s="2" t="str">
        <f aca="false">TRIM(UPPER(Raw_Data!J857))</f>
        <v>TRK94198179</v>
      </c>
      <c r="K857" s="2" t="n">
        <f aca="false">Raw_Data!K857</f>
        <v>10</v>
      </c>
      <c r="L857" s="2" t="str">
        <f aca="false">IF(TRIM(Raw_Data!L857)="","No Coupon",TRIM(UPPER(Raw_Data!L857)))</f>
        <v>FREESHIP</v>
      </c>
      <c r="M857" s="2" t="str">
        <f aca="false">PROPER(TRIM(Raw_Data!M857))</f>
        <v>Email</v>
      </c>
      <c r="N857" s="4" t="n">
        <f aca="false">ROUND(E857*F857,2)</f>
        <v>1203.05</v>
      </c>
      <c r="O857" s="2" t="str">
        <f aca="false">IF(COUNTIF($A$2:$A$1201,A857)&gt;1,"DUPLICATE","Unique")</f>
        <v>Unique</v>
      </c>
      <c r="P857" s="2" t="str">
        <f aca="false">IF(L857="","MISSING","OK")</f>
        <v>OK</v>
      </c>
      <c r="Q857" s="2" t="str">
        <f aca="false">IF(ISNUMBER(B857),"OK","BAD DATE")</f>
        <v>OK</v>
      </c>
      <c r="R857" s="2" t="str">
        <f aca="false">IF(ROUND(F857,2)=F857,"OK","FIX")</f>
        <v>OK</v>
      </c>
    </row>
    <row r="858" customFormat="false" ht="15" hidden="false" customHeight="false" outlineLevel="0" collapsed="false">
      <c r="A858" s="2" t="str">
        <f aca="false">TRIM(UPPER(Raw_Data!A858))</f>
        <v>ORD200856</v>
      </c>
      <c r="B858" s="3" t="n">
        <f aca="false">IF(ISNUMBER(Raw_Data!B858),Raw_Data!B858,DATEVALUE(Raw_Data!B858))</f>
        <v>45446</v>
      </c>
      <c r="C858" s="2" t="str">
        <f aca="false">TRIM(UPPER(Raw_Data!C858))</f>
        <v>C94698</v>
      </c>
      <c r="D858" s="2" t="str">
        <f aca="false">PROPER(TRIM(Raw_Data!D858))</f>
        <v>Phone</v>
      </c>
      <c r="E858" s="2" t="n">
        <f aca="false">Raw_Data!E858</f>
        <v>1</v>
      </c>
      <c r="F858" s="4" t="n">
        <f aca="false">ROUND(Raw_Data!F858,2)</f>
        <v>586.62</v>
      </c>
      <c r="G858" s="2" t="str">
        <f aca="false">PROPER(TRIM(Raw_Data!G858))</f>
        <v>871 Main St</v>
      </c>
      <c r="H858" s="2" t="str">
        <f aca="false">PROPER(TRIM(Raw_Data!H858))</f>
        <v>Debit Card</v>
      </c>
      <c r="I858" s="2" t="str">
        <f aca="false">PROPER(TRIM(Raw_Data!I858))</f>
        <v>Shipped</v>
      </c>
      <c r="J858" s="2" t="str">
        <f aca="false">TRIM(UPPER(Raw_Data!J858))</f>
        <v>TRK95768773</v>
      </c>
      <c r="K858" s="2" t="n">
        <f aca="false">Raw_Data!K858</f>
        <v>5</v>
      </c>
      <c r="L858" s="2" t="str">
        <f aca="false">IF(TRIM(Raw_Data!L858)="","No Coupon",TRIM(UPPER(Raw_Data!L858)))</f>
        <v>No Coupon</v>
      </c>
      <c r="M858" s="2" t="str">
        <f aca="false">PROPER(TRIM(Raw_Data!M858))</f>
        <v>Facebook</v>
      </c>
      <c r="N858" s="4" t="n">
        <f aca="false">ROUND(E858*F858,2)</f>
        <v>586.62</v>
      </c>
      <c r="O858" s="2" t="str">
        <f aca="false">IF(COUNTIF($A$2:$A$1201,A858)&gt;1,"DUPLICATE","Unique")</f>
        <v>Unique</v>
      </c>
      <c r="P858" s="2" t="str">
        <f aca="false">IF(L858="","MISSING","OK")</f>
        <v>OK</v>
      </c>
      <c r="Q858" s="2" t="str">
        <f aca="false">IF(ISNUMBER(B858),"OK","BAD DATE")</f>
        <v>OK</v>
      </c>
      <c r="R858" s="2" t="str">
        <f aca="false">IF(ROUND(F858,2)=F858,"OK","FIX")</f>
        <v>OK</v>
      </c>
    </row>
    <row r="859" customFormat="false" ht="15" hidden="false" customHeight="false" outlineLevel="0" collapsed="false">
      <c r="A859" s="2" t="str">
        <f aca="false">TRIM(UPPER(Raw_Data!A859))</f>
        <v>ORD200857</v>
      </c>
      <c r="B859" s="3" t="n">
        <f aca="false">IF(ISNUMBER(Raw_Data!B859),Raw_Data!B859,DATEVALUE(Raw_Data!B859))</f>
        <v>45361</v>
      </c>
      <c r="C859" s="2" t="str">
        <f aca="false">TRIM(UPPER(Raw_Data!C859))</f>
        <v>C56506</v>
      </c>
      <c r="D859" s="2" t="str">
        <f aca="false">PROPER(TRIM(Raw_Data!D859))</f>
        <v>Phone</v>
      </c>
      <c r="E859" s="2" t="n">
        <f aca="false">Raw_Data!E859</f>
        <v>3</v>
      </c>
      <c r="F859" s="4" t="n">
        <f aca="false">ROUND(Raw_Data!F859,2)</f>
        <v>257.84</v>
      </c>
      <c r="G859" s="2" t="str">
        <f aca="false">PROPER(TRIM(Raw_Data!G859))</f>
        <v>185 Main St</v>
      </c>
      <c r="H859" s="2" t="str">
        <f aca="false">PROPER(TRIM(Raw_Data!H859))</f>
        <v>Online</v>
      </c>
      <c r="I859" s="2" t="str">
        <f aca="false">PROPER(TRIM(Raw_Data!I859))</f>
        <v>Delivered</v>
      </c>
      <c r="J859" s="2" t="str">
        <f aca="false">TRIM(UPPER(Raw_Data!J859))</f>
        <v>TRK86808324</v>
      </c>
      <c r="K859" s="2" t="n">
        <f aca="false">Raw_Data!K859</f>
        <v>4</v>
      </c>
      <c r="L859" s="2" t="str">
        <f aca="false">IF(TRIM(Raw_Data!L859)="","No Coupon",TRIM(UPPER(Raw_Data!L859)))</f>
        <v>No Coupon</v>
      </c>
      <c r="M859" s="2" t="str">
        <f aca="false">PROPER(TRIM(Raw_Data!M859))</f>
        <v>Instagram</v>
      </c>
      <c r="N859" s="4" t="n">
        <f aca="false">ROUND(E859*F859,2)</f>
        <v>773.52</v>
      </c>
      <c r="O859" s="2" t="str">
        <f aca="false">IF(COUNTIF($A$2:$A$1201,A859)&gt;1,"DUPLICATE","Unique")</f>
        <v>Unique</v>
      </c>
      <c r="P859" s="2" t="str">
        <f aca="false">IF(L859="","MISSING","OK")</f>
        <v>OK</v>
      </c>
      <c r="Q859" s="2" t="str">
        <f aca="false">IF(ISNUMBER(B859),"OK","BAD DATE")</f>
        <v>OK</v>
      </c>
      <c r="R859" s="2" t="str">
        <f aca="false">IF(ROUND(F859,2)=F859,"OK","FIX")</f>
        <v>OK</v>
      </c>
    </row>
    <row r="860" customFormat="false" ht="15" hidden="false" customHeight="false" outlineLevel="0" collapsed="false">
      <c r="A860" s="2" t="str">
        <f aca="false">TRIM(UPPER(Raw_Data!A860))</f>
        <v>ORD200858</v>
      </c>
      <c r="B860" s="3" t="n">
        <f aca="false">IF(ISNUMBER(Raw_Data!B860),Raw_Data!B860,DATEVALUE(Raw_Data!B860))</f>
        <v>45158</v>
      </c>
      <c r="C860" s="2" t="str">
        <f aca="false">TRIM(UPPER(Raw_Data!C860))</f>
        <v>C22167</v>
      </c>
      <c r="D860" s="2" t="str">
        <f aca="false">PROPER(TRIM(Raw_Data!D860))</f>
        <v>Tablet</v>
      </c>
      <c r="E860" s="2" t="n">
        <f aca="false">Raw_Data!E860</f>
        <v>5</v>
      </c>
      <c r="F860" s="4" t="n">
        <f aca="false">ROUND(Raw_Data!F860,2)</f>
        <v>435.66</v>
      </c>
      <c r="G860" s="2" t="str">
        <f aca="false">PROPER(TRIM(Raw_Data!G860))</f>
        <v>891 Main St</v>
      </c>
      <c r="H860" s="2" t="str">
        <f aca="false">PROPER(TRIM(Raw_Data!H860))</f>
        <v>Online</v>
      </c>
      <c r="I860" s="2" t="str">
        <f aca="false">PROPER(TRIM(Raw_Data!I860))</f>
        <v>Pending</v>
      </c>
      <c r="J860" s="2" t="str">
        <f aca="false">TRIM(UPPER(Raw_Data!J860))</f>
        <v>TRK70269748</v>
      </c>
      <c r="K860" s="2" t="n">
        <f aca="false">Raw_Data!K860</f>
        <v>9</v>
      </c>
      <c r="L860" s="2" t="str">
        <f aca="false">IF(TRIM(Raw_Data!L860)="","No Coupon",TRIM(UPPER(Raw_Data!L860)))</f>
        <v>No Coupon</v>
      </c>
      <c r="M860" s="2" t="str">
        <f aca="false">PROPER(TRIM(Raw_Data!M860))</f>
        <v>Facebook</v>
      </c>
      <c r="N860" s="4" t="n">
        <f aca="false">ROUND(E860*F860,2)</f>
        <v>2178.3</v>
      </c>
      <c r="O860" s="2" t="str">
        <f aca="false">IF(COUNTIF($A$2:$A$1201,A860)&gt;1,"DUPLICATE","Unique")</f>
        <v>Unique</v>
      </c>
      <c r="P860" s="2" t="str">
        <f aca="false">IF(L860="","MISSING","OK")</f>
        <v>OK</v>
      </c>
      <c r="Q860" s="2" t="str">
        <f aca="false">IF(ISNUMBER(B860),"OK","BAD DATE")</f>
        <v>OK</v>
      </c>
      <c r="R860" s="2" t="str">
        <f aca="false">IF(ROUND(F860,2)=F860,"OK","FIX")</f>
        <v>OK</v>
      </c>
    </row>
    <row r="861" customFormat="false" ht="15" hidden="false" customHeight="false" outlineLevel="0" collapsed="false">
      <c r="A861" s="2" t="str">
        <f aca="false">TRIM(UPPER(Raw_Data!A861))</f>
        <v>ORD200859</v>
      </c>
      <c r="B861" s="3" t="n">
        <f aca="false">IF(ISNUMBER(Raw_Data!B861),Raw_Data!B861,DATEVALUE(Raw_Data!B861))</f>
        <v>45532</v>
      </c>
      <c r="C861" s="2" t="str">
        <f aca="false">TRIM(UPPER(Raw_Data!C861))</f>
        <v>C11127</v>
      </c>
      <c r="D861" s="2" t="str">
        <f aca="false">PROPER(TRIM(Raw_Data!D861))</f>
        <v>Chair</v>
      </c>
      <c r="E861" s="2" t="n">
        <f aca="false">Raw_Data!E861</f>
        <v>5</v>
      </c>
      <c r="F861" s="4" t="n">
        <f aca="false">ROUND(Raw_Data!F861,2)</f>
        <v>261.33</v>
      </c>
      <c r="G861" s="2" t="str">
        <f aca="false">PROPER(TRIM(Raw_Data!G861))</f>
        <v>154 Main St</v>
      </c>
      <c r="H861" s="2" t="str">
        <f aca="false">PROPER(TRIM(Raw_Data!H861))</f>
        <v>Credit Card</v>
      </c>
      <c r="I861" s="2" t="str">
        <f aca="false">PROPER(TRIM(Raw_Data!I861))</f>
        <v>Returned</v>
      </c>
      <c r="J861" s="2" t="str">
        <f aca="false">TRIM(UPPER(Raw_Data!J861))</f>
        <v>TRK73285507</v>
      </c>
      <c r="K861" s="2" t="n">
        <f aca="false">Raw_Data!K861</f>
        <v>5</v>
      </c>
      <c r="L861" s="2" t="str">
        <f aca="false">IF(TRIM(Raw_Data!L861)="","No Coupon",TRIM(UPPER(Raw_Data!L861)))</f>
        <v>SAVE10</v>
      </c>
      <c r="M861" s="2" t="str">
        <f aca="false">PROPER(TRIM(Raw_Data!M861))</f>
        <v>Referral</v>
      </c>
      <c r="N861" s="4" t="n">
        <f aca="false">ROUND(E861*F861,2)</f>
        <v>1306.65</v>
      </c>
      <c r="O861" s="2" t="str">
        <f aca="false">IF(COUNTIF($A$2:$A$1201,A861)&gt;1,"DUPLICATE","Unique")</f>
        <v>Unique</v>
      </c>
      <c r="P861" s="2" t="str">
        <f aca="false">IF(L861="","MISSING","OK")</f>
        <v>OK</v>
      </c>
      <c r="Q861" s="2" t="str">
        <f aca="false">IF(ISNUMBER(B861),"OK","BAD DATE")</f>
        <v>OK</v>
      </c>
      <c r="R861" s="2" t="str">
        <f aca="false">IF(ROUND(F861,2)=F861,"OK","FIX")</f>
        <v>OK</v>
      </c>
    </row>
    <row r="862" customFormat="false" ht="15" hidden="false" customHeight="false" outlineLevel="0" collapsed="false">
      <c r="A862" s="2" t="str">
        <f aca="false">TRIM(UPPER(Raw_Data!A862))</f>
        <v>ORD200860</v>
      </c>
      <c r="B862" s="3" t="n">
        <f aca="false">IF(ISNUMBER(Raw_Data!B862),Raw_Data!B862,DATEVALUE(Raw_Data!B862))</f>
        <v>45314</v>
      </c>
      <c r="C862" s="2" t="str">
        <f aca="false">TRIM(UPPER(Raw_Data!C862))</f>
        <v>C69542</v>
      </c>
      <c r="D862" s="2" t="str">
        <f aca="false">PROPER(TRIM(Raw_Data!D862))</f>
        <v>Printer</v>
      </c>
      <c r="E862" s="2" t="n">
        <f aca="false">Raw_Data!E862</f>
        <v>1</v>
      </c>
      <c r="F862" s="4" t="n">
        <f aca="false">ROUND(Raw_Data!F862,2)</f>
        <v>422.54</v>
      </c>
      <c r="G862" s="2" t="str">
        <f aca="false">PROPER(TRIM(Raw_Data!G862))</f>
        <v>876 Main St</v>
      </c>
      <c r="H862" s="2" t="str">
        <f aca="false">PROPER(TRIM(Raw_Data!H862))</f>
        <v>Cash</v>
      </c>
      <c r="I862" s="2" t="str">
        <f aca="false">PROPER(TRIM(Raw_Data!I862))</f>
        <v>Delivered</v>
      </c>
      <c r="J862" s="2" t="str">
        <f aca="false">TRIM(UPPER(Raw_Data!J862))</f>
        <v>TRK20746505</v>
      </c>
      <c r="K862" s="2" t="n">
        <f aca="false">Raw_Data!K862</f>
        <v>1</v>
      </c>
      <c r="L862" s="2" t="str">
        <f aca="false">IF(TRIM(Raw_Data!L862)="","No Coupon",TRIM(UPPER(Raw_Data!L862)))</f>
        <v>SAVE10</v>
      </c>
      <c r="M862" s="2" t="str">
        <f aca="false">PROPER(TRIM(Raw_Data!M862))</f>
        <v>Google</v>
      </c>
      <c r="N862" s="4" t="n">
        <f aca="false">ROUND(E862*F862,2)</f>
        <v>422.54</v>
      </c>
      <c r="O862" s="2" t="str">
        <f aca="false">IF(COUNTIF($A$2:$A$1201,A862)&gt;1,"DUPLICATE","Unique")</f>
        <v>Unique</v>
      </c>
      <c r="P862" s="2" t="str">
        <f aca="false">IF(L862="","MISSING","OK")</f>
        <v>OK</v>
      </c>
      <c r="Q862" s="2" t="str">
        <f aca="false">IF(ISNUMBER(B862),"OK","BAD DATE")</f>
        <v>OK</v>
      </c>
      <c r="R862" s="2" t="str">
        <f aca="false">IF(ROUND(F862,2)=F862,"OK","FIX")</f>
        <v>OK</v>
      </c>
    </row>
    <row r="863" customFormat="false" ht="15" hidden="false" customHeight="false" outlineLevel="0" collapsed="false">
      <c r="A863" s="2" t="str">
        <f aca="false">TRIM(UPPER(Raw_Data!A863))</f>
        <v>ORD200861</v>
      </c>
      <c r="B863" s="3" t="n">
        <f aca="false">IF(ISNUMBER(Raw_Data!B863),Raw_Data!B863,DATEVALUE(Raw_Data!B863))</f>
        <v>45004</v>
      </c>
      <c r="C863" s="2" t="str">
        <f aca="false">TRIM(UPPER(Raw_Data!C863))</f>
        <v>C93276</v>
      </c>
      <c r="D863" s="2" t="str">
        <f aca="false">PROPER(TRIM(Raw_Data!D863))</f>
        <v>Desk</v>
      </c>
      <c r="E863" s="2" t="n">
        <f aca="false">Raw_Data!E863</f>
        <v>5</v>
      </c>
      <c r="F863" s="4" t="n">
        <f aca="false">ROUND(Raw_Data!F863,2)</f>
        <v>330.45</v>
      </c>
      <c r="G863" s="2" t="str">
        <f aca="false">PROPER(TRIM(Raw_Data!G863))</f>
        <v>230 Main St</v>
      </c>
      <c r="H863" s="2" t="str">
        <f aca="false">PROPER(TRIM(Raw_Data!H863))</f>
        <v>Gift Card</v>
      </c>
      <c r="I863" s="2" t="str">
        <f aca="false">PROPER(TRIM(Raw_Data!I863))</f>
        <v>Shipped</v>
      </c>
      <c r="J863" s="2" t="str">
        <f aca="false">TRIM(UPPER(Raw_Data!J863))</f>
        <v>TRK44165913</v>
      </c>
      <c r="K863" s="2" t="n">
        <f aca="false">Raw_Data!K863</f>
        <v>10</v>
      </c>
      <c r="L863" s="2" t="str">
        <f aca="false">IF(TRIM(Raw_Data!L863)="","No Coupon",TRIM(UPPER(Raw_Data!L863)))</f>
        <v>FREESHIP</v>
      </c>
      <c r="M863" s="2" t="str">
        <f aca="false">PROPER(TRIM(Raw_Data!M863))</f>
        <v>Google</v>
      </c>
      <c r="N863" s="4" t="n">
        <f aca="false">ROUND(E863*F863,2)</f>
        <v>1652.25</v>
      </c>
      <c r="O863" s="2" t="str">
        <f aca="false">IF(COUNTIF($A$2:$A$1201,A863)&gt;1,"DUPLICATE","Unique")</f>
        <v>Unique</v>
      </c>
      <c r="P863" s="2" t="str">
        <f aca="false">IF(L863="","MISSING","OK")</f>
        <v>OK</v>
      </c>
      <c r="Q863" s="2" t="str">
        <f aca="false">IF(ISNUMBER(B863),"OK","BAD DATE")</f>
        <v>OK</v>
      </c>
      <c r="R863" s="2" t="str">
        <f aca="false">IF(ROUND(F863,2)=F863,"OK","FIX")</f>
        <v>OK</v>
      </c>
    </row>
    <row r="864" customFormat="false" ht="15" hidden="false" customHeight="false" outlineLevel="0" collapsed="false">
      <c r="A864" s="2" t="str">
        <f aca="false">TRIM(UPPER(Raw_Data!A864))</f>
        <v>ORD200862</v>
      </c>
      <c r="B864" s="3" t="n">
        <f aca="false">IF(ISNUMBER(Raw_Data!B864),Raw_Data!B864,DATEVALUE(Raw_Data!B864))</f>
        <v>45262</v>
      </c>
      <c r="C864" s="2" t="str">
        <f aca="false">TRIM(UPPER(Raw_Data!C864))</f>
        <v>C37969</v>
      </c>
      <c r="D864" s="2" t="str">
        <f aca="false">PROPER(TRIM(Raw_Data!D864))</f>
        <v>Desk</v>
      </c>
      <c r="E864" s="2" t="n">
        <f aca="false">Raw_Data!E864</f>
        <v>3</v>
      </c>
      <c r="F864" s="4" t="n">
        <f aca="false">ROUND(Raw_Data!F864,2)</f>
        <v>120.82</v>
      </c>
      <c r="G864" s="2" t="str">
        <f aca="false">PROPER(TRIM(Raw_Data!G864))</f>
        <v>799 Main St</v>
      </c>
      <c r="H864" s="2" t="str">
        <f aca="false">PROPER(TRIM(Raw_Data!H864))</f>
        <v>Credit Card</v>
      </c>
      <c r="I864" s="2" t="str">
        <f aca="false">PROPER(TRIM(Raw_Data!I864))</f>
        <v>Shipped</v>
      </c>
      <c r="J864" s="2" t="str">
        <f aca="false">TRIM(UPPER(Raw_Data!J864))</f>
        <v>TRK69852386</v>
      </c>
      <c r="K864" s="2" t="n">
        <f aca="false">Raw_Data!K864</f>
        <v>5</v>
      </c>
      <c r="L864" s="2" t="str">
        <f aca="false">IF(TRIM(Raw_Data!L864)="","No Coupon",TRIM(UPPER(Raw_Data!L864)))</f>
        <v>SAVE10</v>
      </c>
      <c r="M864" s="2" t="str">
        <f aca="false">PROPER(TRIM(Raw_Data!M864))</f>
        <v>Referral</v>
      </c>
      <c r="N864" s="4" t="n">
        <f aca="false">ROUND(E864*F864,2)</f>
        <v>362.46</v>
      </c>
      <c r="O864" s="2" t="str">
        <f aca="false">IF(COUNTIF($A$2:$A$1201,A864)&gt;1,"DUPLICATE","Unique")</f>
        <v>Unique</v>
      </c>
      <c r="P864" s="2" t="str">
        <f aca="false">IF(L864="","MISSING","OK")</f>
        <v>OK</v>
      </c>
      <c r="Q864" s="2" t="str">
        <f aca="false">IF(ISNUMBER(B864),"OK","BAD DATE")</f>
        <v>OK</v>
      </c>
      <c r="R864" s="2" t="str">
        <f aca="false">IF(ROUND(F864,2)=F864,"OK","FIX")</f>
        <v>OK</v>
      </c>
    </row>
    <row r="865" customFormat="false" ht="15" hidden="false" customHeight="false" outlineLevel="0" collapsed="false">
      <c r="A865" s="2" t="str">
        <f aca="false">TRIM(UPPER(Raw_Data!A865))</f>
        <v>ORD200863</v>
      </c>
      <c r="B865" s="3" t="n">
        <f aca="false">IF(ISNUMBER(Raw_Data!B865),Raw_Data!B865,DATEVALUE(Raw_Data!B865))</f>
        <v>45432</v>
      </c>
      <c r="C865" s="2" t="str">
        <f aca="false">TRIM(UPPER(Raw_Data!C865))</f>
        <v>C98276</v>
      </c>
      <c r="D865" s="2" t="str">
        <f aca="false">PROPER(TRIM(Raw_Data!D865))</f>
        <v>Phone</v>
      </c>
      <c r="E865" s="2" t="n">
        <f aca="false">Raw_Data!E865</f>
        <v>1</v>
      </c>
      <c r="F865" s="4" t="n">
        <f aca="false">ROUND(Raw_Data!F865,2)</f>
        <v>14.06</v>
      </c>
      <c r="G865" s="2" t="str">
        <f aca="false">PROPER(TRIM(Raw_Data!G865))</f>
        <v>471 Main St</v>
      </c>
      <c r="H865" s="2" t="str">
        <f aca="false">PROPER(TRIM(Raw_Data!H865))</f>
        <v>Credit Card</v>
      </c>
      <c r="I865" s="2" t="str">
        <f aca="false">PROPER(TRIM(Raw_Data!I865))</f>
        <v>Pending</v>
      </c>
      <c r="J865" s="2" t="str">
        <f aca="false">TRIM(UPPER(Raw_Data!J865))</f>
        <v>TRK74207282</v>
      </c>
      <c r="K865" s="2" t="n">
        <f aca="false">Raw_Data!K865</f>
        <v>5</v>
      </c>
      <c r="L865" s="2" t="str">
        <f aca="false">IF(TRIM(Raw_Data!L865)="","No Coupon",TRIM(UPPER(Raw_Data!L865)))</f>
        <v>SAVE10</v>
      </c>
      <c r="M865" s="2" t="str">
        <f aca="false">PROPER(TRIM(Raw_Data!M865))</f>
        <v>Referral</v>
      </c>
      <c r="N865" s="4" t="n">
        <f aca="false">ROUND(E865*F865,2)</f>
        <v>14.06</v>
      </c>
      <c r="O865" s="2" t="str">
        <f aca="false">IF(COUNTIF($A$2:$A$1201,A865)&gt;1,"DUPLICATE","Unique")</f>
        <v>Unique</v>
      </c>
      <c r="P865" s="2" t="str">
        <f aca="false">IF(L865="","MISSING","OK")</f>
        <v>OK</v>
      </c>
      <c r="Q865" s="2" t="str">
        <f aca="false">IF(ISNUMBER(B865),"OK","BAD DATE")</f>
        <v>OK</v>
      </c>
      <c r="R865" s="2" t="str">
        <f aca="false">IF(ROUND(F865,2)=F865,"OK","FIX")</f>
        <v>OK</v>
      </c>
    </row>
    <row r="866" customFormat="false" ht="15" hidden="false" customHeight="false" outlineLevel="0" collapsed="false">
      <c r="A866" s="2" t="str">
        <f aca="false">TRIM(UPPER(Raw_Data!A866))</f>
        <v>ORD200864</v>
      </c>
      <c r="B866" s="3" t="n">
        <f aca="false">IF(ISNUMBER(Raw_Data!B866),Raw_Data!B866,DATEVALUE(Raw_Data!B866))</f>
        <v>45049</v>
      </c>
      <c r="C866" s="2" t="str">
        <f aca="false">TRIM(UPPER(Raw_Data!C866))</f>
        <v>C14240</v>
      </c>
      <c r="D866" s="2" t="str">
        <f aca="false">PROPER(TRIM(Raw_Data!D866))</f>
        <v>Desk</v>
      </c>
      <c r="E866" s="2" t="n">
        <f aca="false">Raw_Data!E866</f>
        <v>1</v>
      </c>
      <c r="F866" s="4" t="n">
        <f aca="false">ROUND(Raw_Data!F866,2)</f>
        <v>491.11</v>
      </c>
      <c r="G866" s="2" t="str">
        <f aca="false">PROPER(TRIM(Raw_Data!G866))</f>
        <v>592 Main St</v>
      </c>
      <c r="H866" s="2" t="str">
        <f aca="false">PROPER(TRIM(Raw_Data!H866))</f>
        <v>Credit Card</v>
      </c>
      <c r="I866" s="2" t="str">
        <f aca="false">PROPER(TRIM(Raw_Data!I866))</f>
        <v>Delivered</v>
      </c>
      <c r="J866" s="2" t="str">
        <f aca="false">TRIM(UPPER(Raw_Data!J866))</f>
        <v>TRK58095246</v>
      </c>
      <c r="K866" s="2" t="n">
        <f aca="false">Raw_Data!K866</f>
        <v>4</v>
      </c>
      <c r="L866" s="2" t="str">
        <f aca="false">IF(TRIM(Raw_Data!L866)="","No Coupon",TRIM(UPPER(Raw_Data!L866)))</f>
        <v>SAVE10</v>
      </c>
      <c r="M866" s="2" t="str">
        <f aca="false">PROPER(TRIM(Raw_Data!M866))</f>
        <v>Facebook</v>
      </c>
      <c r="N866" s="4" t="n">
        <f aca="false">ROUND(E866*F866,2)</f>
        <v>491.11</v>
      </c>
      <c r="O866" s="2" t="str">
        <f aca="false">IF(COUNTIF($A$2:$A$1201,A866)&gt;1,"DUPLICATE","Unique")</f>
        <v>Unique</v>
      </c>
      <c r="P866" s="2" t="str">
        <f aca="false">IF(L866="","MISSING","OK")</f>
        <v>OK</v>
      </c>
      <c r="Q866" s="2" t="str">
        <f aca="false">IF(ISNUMBER(B866),"OK","BAD DATE")</f>
        <v>OK</v>
      </c>
      <c r="R866" s="2" t="str">
        <f aca="false">IF(ROUND(F866,2)=F866,"OK","FIX")</f>
        <v>OK</v>
      </c>
    </row>
    <row r="867" customFormat="false" ht="15" hidden="false" customHeight="false" outlineLevel="0" collapsed="false">
      <c r="A867" s="2" t="str">
        <f aca="false">TRIM(UPPER(Raw_Data!A867))</f>
        <v>ORD200865</v>
      </c>
      <c r="B867" s="3" t="n">
        <f aca="false">IF(ISNUMBER(Raw_Data!B867),Raw_Data!B867,DATEVALUE(Raw_Data!B867))</f>
        <v>45046</v>
      </c>
      <c r="C867" s="2" t="str">
        <f aca="false">TRIM(UPPER(Raw_Data!C867))</f>
        <v>C72241</v>
      </c>
      <c r="D867" s="2" t="str">
        <f aca="false">PROPER(TRIM(Raw_Data!D867))</f>
        <v>Monitor</v>
      </c>
      <c r="E867" s="2" t="n">
        <f aca="false">Raw_Data!E867</f>
        <v>4</v>
      </c>
      <c r="F867" s="4" t="n">
        <f aca="false">ROUND(Raw_Data!F867,2)</f>
        <v>677.37</v>
      </c>
      <c r="G867" s="2" t="str">
        <f aca="false">PROPER(TRIM(Raw_Data!G867))</f>
        <v>156 Main St</v>
      </c>
      <c r="H867" s="2" t="str">
        <f aca="false">PROPER(TRIM(Raw_Data!H867))</f>
        <v>Cash</v>
      </c>
      <c r="I867" s="2" t="str">
        <f aca="false">PROPER(TRIM(Raw_Data!I867))</f>
        <v>Pending</v>
      </c>
      <c r="J867" s="2" t="str">
        <f aca="false">TRIM(UPPER(Raw_Data!J867))</f>
        <v>TRK76270481</v>
      </c>
      <c r="K867" s="2" t="n">
        <f aca="false">Raw_Data!K867</f>
        <v>8</v>
      </c>
      <c r="L867" s="2" t="str">
        <f aca="false">IF(TRIM(Raw_Data!L867)="","No Coupon",TRIM(UPPER(Raw_Data!L867)))</f>
        <v>SAVE10</v>
      </c>
      <c r="M867" s="2" t="str">
        <f aca="false">PROPER(TRIM(Raw_Data!M867))</f>
        <v>Google</v>
      </c>
      <c r="N867" s="4" t="n">
        <f aca="false">ROUND(E867*F867,2)</f>
        <v>2709.48</v>
      </c>
      <c r="O867" s="2" t="str">
        <f aca="false">IF(COUNTIF($A$2:$A$1201,A867)&gt;1,"DUPLICATE","Unique")</f>
        <v>Unique</v>
      </c>
      <c r="P867" s="2" t="str">
        <f aca="false">IF(L867="","MISSING","OK")</f>
        <v>OK</v>
      </c>
      <c r="Q867" s="2" t="str">
        <f aca="false">IF(ISNUMBER(B867),"OK","BAD DATE")</f>
        <v>OK</v>
      </c>
      <c r="R867" s="2" t="str">
        <f aca="false">IF(ROUND(F867,2)=F867,"OK","FIX")</f>
        <v>OK</v>
      </c>
    </row>
    <row r="868" customFormat="false" ht="15" hidden="false" customHeight="false" outlineLevel="0" collapsed="false">
      <c r="A868" s="2" t="str">
        <f aca="false">TRIM(UPPER(Raw_Data!A868))</f>
        <v>ORD200866</v>
      </c>
      <c r="B868" s="3" t="n">
        <f aca="false">IF(ISNUMBER(Raw_Data!B868),Raw_Data!B868,DATEVALUE(Raw_Data!B868))</f>
        <v>45499</v>
      </c>
      <c r="C868" s="2" t="str">
        <f aca="false">TRIM(UPPER(Raw_Data!C868))</f>
        <v>C39664</v>
      </c>
      <c r="D868" s="2" t="str">
        <f aca="false">PROPER(TRIM(Raw_Data!D868))</f>
        <v>Desk</v>
      </c>
      <c r="E868" s="2" t="n">
        <f aca="false">Raw_Data!E868</f>
        <v>5</v>
      </c>
      <c r="F868" s="4" t="n">
        <f aca="false">ROUND(Raw_Data!F868,2)</f>
        <v>189.25</v>
      </c>
      <c r="G868" s="2" t="str">
        <f aca="false">PROPER(TRIM(Raw_Data!G868))</f>
        <v>693 Main St</v>
      </c>
      <c r="H868" s="2" t="str">
        <f aca="false">PROPER(TRIM(Raw_Data!H868))</f>
        <v>Debit Card</v>
      </c>
      <c r="I868" s="2" t="str">
        <f aca="false">PROPER(TRIM(Raw_Data!I868))</f>
        <v>Cancelled</v>
      </c>
      <c r="J868" s="2" t="str">
        <f aca="false">TRIM(UPPER(Raw_Data!J868))</f>
        <v>TRK39917741</v>
      </c>
      <c r="K868" s="2" t="n">
        <f aca="false">Raw_Data!K868</f>
        <v>10</v>
      </c>
      <c r="L868" s="2" t="str">
        <f aca="false">IF(TRIM(Raw_Data!L868)="","No Coupon",TRIM(UPPER(Raw_Data!L868)))</f>
        <v>WINTER15</v>
      </c>
      <c r="M868" s="2" t="str">
        <f aca="false">PROPER(TRIM(Raw_Data!M868))</f>
        <v>Email</v>
      </c>
      <c r="N868" s="4" t="n">
        <f aca="false">ROUND(E868*F868,2)</f>
        <v>946.25</v>
      </c>
      <c r="O868" s="2" t="str">
        <f aca="false">IF(COUNTIF($A$2:$A$1201,A868)&gt;1,"DUPLICATE","Unique")</f>
        <v>Unique</v>
      </c>
      <c r="P868" s="2" t="str">
        <f aca="false">IF(L868="","MISSING","OK")</f>
        <v>OK</v>
      </c>
      <c r="Q868" s="2" t="str">
        <f aca="false">IF(ISNUMBER(B868),"OK","BAD DATE")</f>
        <v>OK</v>
      </c>
      <c r="R868" s="2" t="str">
        <f aca="false">IF(ROUND(F868,2)=F868,"OK","FIX")</f>
        <v>OK</v>
      </c>
    </row>
    <row r="869" customFormat="false" ht="15" hidden="false" customHeight="false" outlineLevel="0" collapsed="false">
      <c r="A869" s="2" t="str">
        <f aca="false">TRIM(UPPER(Raw_Data!A869))</f>
        <v>ORD200867</v>
      </c>
      <c r="B869" s="3" t="n">
        <f aca="false">IF(ISNUMBER(Raw_Data!B869),Raw_Data!B869,DATEVALUE(Raw_Data!B869))</f>
        <v>45438</v>
      </c>
      <c r="C869" s="2" t="str">
        <f aca="false">TRIM(UPPER(Raw_Data!C869))</f>
        <v>C53252</v>
      </c>
      <c r="D869" s="2" t="str">
        <f aca="false">PROPER(TRIM(Raw_Data!D869))</f>
        <v>Printer</v>
      </c>
      <c r="E869" s="2" t="n">
        <f aca="false">Raw_Data!E869</f>
        <v>4</v>
      </c>
      <c r="F869" s="4" t="n">
        <f aca="false">ROUND(Raw_Data!F869,2)</f>
        <v>142.58</v>
      </c>
      <c r="G869" s="2" t="str">
        <f aca="false">PROPER(TRIM(Raw_Data!G869))</f>
        <v>351 Main St</v>
      </c>
      <c r="H869" s="2" t="str">
        <f aca="false">PROPER(TRIM(Raw_Data!H869))</f>
        <v>Cash</v>
      </c>
      <c r="I869" s="2" t="str">
        <f aca="false">PROPER(TRIM(Raw_Data!I869))</f>
        <v>Delivered</v>
      </c>
      <c r="J869" s="2" t="str">
        <f aca="false">TRIM(UPPER(Raw_Data!J869))</f>
        <v>TRK65831261</v>
      </c>
      <c r="K869" s="2" t="n">
        <f aca="false">Raw_Data!K869</f>
        <v>4</v>
      </c>
      <c r="L869" s="2" t="str">
        <f aca="false">IF(TRIM(Raw_Data!L869)="","No Coupon",TRIM(UPPER(Raw_Data!L869)))</f>
        <v>FREESHIP</v>
      </c>
      <c r="M869" s="2" t="str">
        <f aca="false">PROPER(TRIM(Raw_Data!M869))</f>
        <v>Facebook</v>
      </c>
      <c r="N869" s="4" t="n">
        <f aca="false">ROUND(E869*F869,2)</f>
        <v>570.32</v>
      </c>
      <c r="O869" s="2" t="str">
        <f aca="false">IF(COUNTIF($A$2:$A$1201,A869)&gt;1,"DUPLICATE","Unique")</f>
        <v>Unique</v>
      </c>
      <c r="P869" s="2" t="str">
        <f aca="false">IF(L869="","MISSING","OK")</f>
        <v>OK</v>
      </c>
      <c r="Q869" s="2" t="str">
        <f aca="false">IF(ISNUMBER(B869),"OK","BAD DATE")</f>
        <v>OK</v>
      </c>
      <c r="R869" s="2" t="str">
        <f aca="false">IF(ROUND(F869,2)=F869,"OK","FIX")</f>
        <v>OK</v>
      </c>
    </row>
    <row r="870" customFormat="false" ht="15" hidden="false" customHeight="false" outlineLevel="0" collapsed="false">
      <c r="A870" s="2" t="str">
        <f aca="false">TRIM(UPPER(Raw_Data!A870))</f>
        <v>ORD200868</v>
      </c>
      <c r="B870" s="3" t="n">
        <f aca="false">IF(ISNUMBER(Raw_Data!B870),Raw_Data!B870,DATEVALUE(Raw_Data!B870))</f>
        <v>45472</v>
      </c>
      <c r="C870" s="2" t="str">
        <f aca="false">TRIM(UPPER(Raw_Data!C870))</f>
        <v>C70452</v>
      </c>
      <c r="D870" s="2" t="str">
        <f aca="false">PROPER(TRIM(Raw_Data!D870))</f>
        <v>Monitor</v>
      </c>
      <c r="E870" s="2" t="n">
        <f aca="false">Raw_Data!E870</f>
        <v>4</v>
      </c>
      <c r="F870" s="4" t="n">
        <f aca="false">ROUND(Raw_Data!F870,2)</f>
        <v>316.32</v>
      </c>
      <c r="G870" s="2" t="str">
        <f aca="false">PROPER(TRIM(Raw_Data!G870))</f>
        <v>309 Main St</v>
      </c>
      <c r="H870" s="2" t="str">
        <f aca="false">PROPER(TRIM(Raw_Data!H870))</f>
        <v>Debit Card</v>
      </c>
      <c r="I870" s="2" t="str">
        <f aca="false">PROPER(TRIM(Raw_Data!I870))</f>
        <v>Delivered</v>
      </c>
      <c r="J870" s="2" t="str">
        <f aca="false">TRIM(UPPER(Raw_Data!J870))</f>
        <v>TRK42985882</v>
      </c>
      <c r="K870" s="2" t="n">
        <f aca="false">Raw_Data!K870</f>
        <v>7</v>
      </c>
      <c r="L870" s="2" t="str">
        <f aca="false">IF(TRIM(Raw_Data!L870)="","No Coupon",TRIM(UPPER(Raw_Data!L870)))</f>
        <v>No Coupon</v>
      </c>
      <c r="M870" s="2" t="str">
        <f aca="false">PROPER(TRIM(Raw_Data!M870))</f>
        <v>Facebook</v>
      </c>
      <c r="N870" s="4" t="n">
        <f aca="false">ROUND(E870*F870,2)</f>
        <v>1265.28</v>
      </c>
      <c r="O870" s="2" t="str">
        <f aca="false">IF(COUNTIF($A$2:$A$1201,A870)&gt;1,"DUPLICATE","Unique")</f>
        <v>Unique</v>
      </c>
      <c r="P870" s="2" t="str">
        <f aca="false">IF(L870="","MISSING","OK")</f>
        <v>OK</v>
      </c>
      <c r="Q870" s="2" t="str">
        <f aca="false">IF(ISNUMBER(B870),"OK","BAD DATE")</f>
        <v>OK</v>
      </c>
      <c r="R870" s="2" t="str">
        <f aca="false">IF(ROUND(F870,2)=F870,"OK","FIX")</f>
        <v>OK</v>
      </c>
    </row>
    <row r="871" customFormat="false" ht="15" hidden="false" customHeight="false" outlineLevel="0" collapsed="false">
      <c r="A871" s="2" t="str">
        <f aca="false">TRIM(UPPER(Raw_Data!A871))</f>
        <v>ORD200869</v>
      </c>
      <c r="B871" s="3" t="n">
        <f aca="false">IF(ISNUMBER(Raw_Data!B871),Raw_Data!B871,DATEVALUE(Raw_Data!B871))</f>
        <v>45368</v>
      </c>
      <c r="C871" s="2" t="str">
        <f aca="false">TRIM(UPPER(Raw_Data!C871))</f>
        <v>C29905</v>
      </c>
      <c r="D871" s="2" t="str">
        <f aca="false">PROPER(TRIM(Raw_Data!D871))</f>
        <v>Desk</v>
      </c>
      <c r="E871" s="2" t="n">
        <f aca="false">Raw_Data!E871</f>
        <v>2</v>
      </c>
      <c r="F871" s="4" t="n">
        <f aca="false">ROUND(Raw_Data!F871,2)</f>
        <v>533.95</v>
      </c>
      <c r="G871" s="2" t="str">
        <f aca="false">PROPER(TRIM(Raw_Data!G871))</f>
        <v>790 Main St</v>
      </c>
      <c r="H871" s="2" t="str">
        <f aca="false">PROPER(TRIM(Raw_Data!H871))</f>
        <v>Online</v>
      </c>
      <c r="I871" s="2" t="str">
        <f aca="false">PROPER(TRIM(Raw_Data!I871))</f>
        <v>Delivered</v>
      </c>
      <c r="J871" s="2" t="str">
        <f aca="false">TRIM(UPPER(Raw_Data!J871))</f>
        <v>TRK16788127</v>
      </c>
      <c r="K871" s="2" t="n">
        <f aca="false">Raw_Data!K871</f>
        <v>5</v>
      </c>
      <c r="L871" s="2" t="str">
        <f aca="false">IF(TRIM(Raw_Data!L871)="","No Coupon",TRIM(UPPER(Raw_Data!L871)))</f>
        <v>WINTER15</v>
      </c>
      <c r="M871" s="2" t="str">
        <f aca="false">PROPER(TRIM(Raw_Data!M871))</f>
        <v>Google</v>
      </c>
      <c r="N871" s="4" t="n">
        <f aca="false">ROUND(E871*F871,2)</f>
        <v>1067.9</v>
      </c>
      <c r="O871" s="2" t="str">
        <f aca="false">IF(COUNTIF($A$2:$A$1201,A871)&gt;1,"DUPLICATE","Unique")</f>
        <v>Unique</v>
      </c>
      <c r="P871" s="2" t="str">
        <f aca="false">IF(L871="","MISSING","OK")</f>
        <v>OK</v>
      </c>
      <c r="Q871" s="2" t="str">
        <f aca="false">IF(ISNUMBER(B871),"OK","BAD DATE")</f>
        <v>OK</v>
      </c>
      <c r="R871" s="2" t="str">
        <f aca="false">IF(ROUND(F871,2)=F871,"OK","FIX")</f>
        <v>OK</v>
      </c>
    </row>
    <row r="872" customFormat="false" ht="15" hidden="false" customHeight="false" outlineLevel="0" collapsed="false">
      <c r="A872" s="2" t="str">
        <f aca="false">TRIM(UPPER(Raw_Data!A872))</f>
        <v>ORD200870</v>
      </c>
      <c r="B872" s="3" t="n">
        <f aca="false">IF(ISNUMBER(Raw_Data!B872),Raw_Data!B872,DATEVALUE(Raw_Data!B872))</f>
        <v>45809</v>
      </c>
      <c r="C872" s="2" t="str">
        <f aca="false">TRIM(UPPER(Raw_Data!C872))</f>
        <v>C78725</v>
      </c>
      <c r="D872" s="2" t="str">
        <f aca="false">PROPER(TRIM(Raw_Data!D872))</f>
        <v>Phone</v>
      </c>
      <c r="E872" s="2" t="n">
        <f aca="false">Raw_Data!E872</f>
        <v>4</v>
      </c>
      <c r="F872" s="4" t="n">
        <f aca="false">ROUND(Raw_Data!F872,2)</f>
        <v>470.09</v>
      </c>
      <c r="G872" s="2" t="str">
        <f aca="false">PROPER(TRIM(Raw_Data!G872))</f>
        <v>541 Main St</v>
      </c>
      <c r="H872" s="2" t="str">
        <f aca="false">PROPER(TRIM(Raw_Data!H872))</f>
        <v>Debit Card</v>
      </c>
      <c r="I872" s="2" t="str">
        <f aca="false">PROPER(TRIM(Raw_Data!I872))</f>
        <v>Delivered</v>
      </c>
      <c r="J872" s="2" t="str">
        <f aca="false">TRIM(UPPER(Raw_Data!J872))</f>
        <v>TRK72001139</v>
      </c>
      <c r="K872" s="2" t="n">
        <f aca="false">Raw_Data!K872</f>
        <v>4</v>
      </c>
      <c r="L872" s="2" t="str">
        <f aca="false">IF(TRIM(Raw_Data!L872)="","No Coupon",TRIM(UPPER(Raw_Data!L872)))</f>
        <v>FREESHIP</v>
      </c>
      <c r="M872" s="2" t="str">
        <f aca="false">PROPER(TRIM(Raw_Data!M872))</f>
        <v>Google</v>
      </c>
      <c r="N872" s="4" t="n">
        <f aca="false">ROUND(E872*F872,2)</f>
        <v>1880.36</v>
      </c>
      <c r="O872" s="2" t="str">
        <f aca="false">IF(COUNTIF($A$2:$A$1201,A872)&gt;1,"DUPLICATE","Unique")</f>
        <v>Unique</v>
      </c>
      <c r="P872" s="2" t="str">
        <f aca="false">IF(L872="","MISSING","OK")</f>
        <v>OK</v>
      </c>
      <c r="Q872" s="2" t="str">
        <f aca="false">IF(ISNUMBER(B872),"OK","BAD DATE")</f>
        <v>OK</v>
      </c>
      <c r="R872" s="2" t="str">
        <f aca="false">IF(ROUND(F872,2)=F872,"OK","FIX")</f>
        <v>OK</v>
      </c>
    </row>
    <row r="873" customFormat="false" ht="15" hidden="false" customHeight="false" outlineLevel="0" collapsed="false">
      <c r="A873" s="2" t="str">
        <f aca="false">TRIM(UPPER(Raw_Data!A873))</f>
        <v>ORD200871</v>
      </c>
      <c r="B873" s="3" t="n">
        <f aca="false">IF(ISNUMBER(Raw_Data!B873),Raw_Data!B873,DATEVALUE(Raw_Data!B873))</f>
        <v>45428</v>
      </c>
      <c r="C873" s="2" t="str">
        <f aca="false">TRIM(UPPER(Raw_Data!C873))</f>
        <v>C93768</v>
      </c>
      <c r="D873" s="2" t="str">
        <f aca="false">PROPER(TRIM(Raw_Data!D873))</f>
        <v>Tablet</v>
      </c>
      <c r="E873" s="2" t="n">
        <f aca="false">Raw_Data!E873</f>
        <v>3</v>
      </c>
      <c r="F873" s="4" t="n">
        <f aca="false">ROUND(Raw_Data!F873,2)</f>
        <v>324.3</v>
      </c>
      <c r="G873" s="2" t="str">
        <f aca="false">PROPER(TRIM(Raw_Data!G873))</f>
        <v>720 Main St</v>
      </c>
      <c r="H873" s="2" t="str">
        <f aca="false">PROPER(TRIM(Raw_Data!H873))</f>
        <v>Debit Card</v>
      </c>
      <c r="I873" s="2" t="str">
        <f aca="false">PROPER(TRIM(Raw_Data!I873))</f>
        <v>Pending</v>
      </c>
      <c r="J873" s="2" t="str">
        <f aca="false">TRIM(UPPER(Raw_Data!J873))</f>
        <v>TRK22024707</v>
      </c>
      <c r="K873" s="2" t="n">
        <f aca="false">Raw_Data!K873</f>
        <v>8</v>
      </c>
      <c r="L873" s="2" t="str">
        <f aca="false">IF(TRIM(Raw_Data!L873)="","No Coupon",TRIM(UPPER(Raw_Data!L873)))</f>
        <v>FREESHIP</v>
      </c>
      <c r="M873" s="2" t="str">
        <f aca="false">PROPER(TRIM(Raw_Data!M873))</f>
        <v>Email</v>
      </c>
      <c r="N873" s="4" t="n">
        <f aca="false">ROUND(E873*F873,2)</f>
        <v>972.9</v>
      </c>
      <c r="O873" s="2" t="str">
        <f aca="false">IF(COUNTIF($A$2:$A$1201,A873)&gt;1,"DUPLICATE","Unique")</f>
        <v>Unique</v>
      </c>
      <c r="P873" s="2" t="str">
        <f aca="false">IF(L873="","MISSING","OK")</f>
        <v>OK</v>
      </c>
      <c r="Q873" s="2" t="str">
        <f aca="false">IF(ISNUMBER(B873),"OK","BAD DATE")</f>
        <v>OK</v>
      </c>
      <c r="R873" s="2" t="str">
        <f aca="false">IF(ROUND(F873,2)=F873,"OK","FIX")</f>
        <v>OK</v>
      </c>
    </row>
    <row r="874" customFormat="false" ht="15" hidden="false" customHeight="false" outlineLevel="0" collapsed="false">
      <c r="A874" s="2" t="str">
        <f aca="false">TRIM(UPPER(Raw_Data!A874))</f>
        <v>ORD200872</v>
      </c>
      <c r="B874" s="3" t="n">
        <f aca="false">IF(ISNUMBER(Raw_Data!B874),Raw_Data!B874,DATEVALUE(Raw_Data!B874))</f>
        <v>45117</v>
      </c>
      <c r="C874" s="2" t="str">
        <f aca="false">TRIM(UPPER(Raw_Data!C874))</f>
        <v>C59169</v>
      </c>
      <c r="D874" s="2" t="str">
        <f aca="false">PROPER(TRIM(Raw_Data!D874))</f>
        <v>Chair</v>
      </c>
      <c r="E874" s="2" t="n">
        <f aca="false">Raw_Data!E874</f>
        <v>4</v>
      </c>
      <c r="F874" s="4" t="n">
        <f aca="false">ROUND(Raw_Data!F874,2)</f>
        <v>629.34</v>
      </c>
      <c r="G874" s="2" t="str">
        <f aca="false">PROPER(TRIM(Raw_Data!G874))</f>
        <v>172 Main St</v>
      </c>
      <c r="H874" s="2" t="str">
        <f aca="false">PROPER(TRIM(Raw_Data!H874))</f>
        <v>Cash</v>
      </c>
      <c r="I874" s="2" t="str">
        <f aca="false">PROPER(TRIM(Raw_Data!I874))</f>
        <v>Shipped</v>
      </c>
      <c r="J874" s="2" t="str">
        <f aca="false">TRIM(UPPER(Raw_Data!J874))</f>
        <v>TRK90883858</v>
      </c>
      <c r="K874" s="2" t="n">
        <f aca="false">Raw_Data!K874</f>
        <v>7</v>
      </c>
      <c r="L874" s="2" t="str">
        <f aca="false">IF(TRIM(Raw_Data!L874)="","No Coupon",TRIM(UPPER(Raw_Data!L874)))</f>
        <v>No Coupon</v>
      </c>
      <c r="M874" s="2" t="str">
        <f aca="false">PROPER(TRIM(Raw_Data!M874))</f>
        <v>Email</v>
      </c>
      <c r="N874" s="4" t="n">
        <f aca="false">ROUND(E874*F874,2)</f>
        <v>2517.36</v>
      </c>
      <c r="O874" s="2" t="str">
        <f aca="false">IF(COUNTIF($A$2:$A$1201,A874)&gt;1,"DUPLICATE","Unique")</f>
        <v>Unique</v>
      </c>
      <c r="P874" s="2" t="str">
        <f aca="false">IF(L874="","MISSING","OK")</f>
        <v>OK</v>
      </c>
      <c r="Q874" s="2" t="str">
        <f aca="false">IF(ISNUMBER(B874),"OK","BAD DATE")</f>
        <v>OK</v>
      </c>
      <c r="R874" s="2" t="str">
        <f aca="false">IF(ROUND(F874,2)=F874,"OK","FIX")</f>
        <v>OK</v>
      </c>
    </row>
    <row r="875" customFormat="false" ht="15" hidden="false" customHeight="false" outlineLevel="0" collapsed="false">
      <c r="A875" s="2" t="str">
        <f aca="false">TRIM(UPPER(Raw_Data!A875))</f>
        <v>ORD200873</v>
      </c>
      <c r="B875" s="3" t="n">
        <f aca="false">IF(ISNUMBER(Raw_Data!B875),Raw_Data!B875,DATEVALUE(Raw_Data!B875))</f>
        <v>45424</v>
      </c>
      <c r="C875" s="2" t="str">
        <f aca="false">TRIM(UPPER(Raw_Data!C875))</f>
        <v>C53488</v>
      </c>
      <c r="D875" s="2" t="str">
        <f aca="false">PROPER(TRIM(Raw_Data!D875))</f>
        <v>Desk</v>
      </c>
      <c r="E875" s="2" t="n">
        <f aca="false">Raw_Data!E875</f>
        <v>3</v>
      </c>
      <c r="F875" s="4" t="n">
        <f aca="false">ROUND(Raw_Data!F875,2)</f>
        <v>136.84</v>
      </c>
      <c r="G875" s="2" t="str">
        <f aca="false">PROPER(TRIM(Raw_Data!G875))</f>
        <v>448 Main St</v>
      </c>
      <c r="H875" s="2" t="str">
        <f aca="false">PROPER(TRIM(Raw_Data!H875))</f>
        <v>Cash</v>
      </c>
      <c r="I875" s="2" t="str">
        <f aca="false">PROPER(TRIM(Raw_Data!I875))</f>
        <v>Delivered</v>
      </c>
      <c r="J875" s="2" t="str">
        <f aca="false">TRIM(UPPER(Raw_Data!J875))</f>
        <v>TRK27365050</v>
      </c>
      <c r="K875" s="2" t="n">
        <f aca="false">Raw_Data!K875</f>
        <v>3</v>
      </c>
      <c r="L875" s="2" t="str">
        <f aca="false">IF(TRIM(Raw_Data!L875)="","No Coupon",TRIM(UPPER(Raw_Data!L875)))</f>
        <v>SAVE10</v>
      </c>
      <c r="M875" s="2" t="str">
        <f aca="false">PROPER(TRIM(Raw_Data!M875))</f>
        <v>Facebook</v>
      </c>
      <c r="N875" s="4" t="n">
        <f aca="false">ROUND(E875*F875,2)</f>
        <v>410.52</v>
      </c>
      <c r="O875" s="2" t="str">
        <f aca="false">IF(COUNTIF($A$2:$A$1201,A875)&gt;1,"DUPLICATE","Unique")</f>
        <v>Unique</v>
      </c>
      <c r="P875" s="2" t="str">
        <f aca="false">IF(L875="","MISSING","OK")</f>
        <v>OK</v>
      </c>
      <c r="Q875" s="2" t="str">
        <f aca="false">IF(ISNUMBER(B875),"OK","BAD DATE")</f>
        <v>OK</v>
      </c>
      <c r="R875" s="2" t="str">
        <f aca="false">IF(ROUND(F875,2)=F875,"OK","FIX")</f>
        <v>OK</v>
      </c>
    </row>
    <row r="876" customFormat="false" ht="15" hidden="false" customHeight="false" outlineLevel="0" collapsed="false">
      <c r="A876" s="2" t="str">
        <f aca="false">TRIM(UPPER(Raw_Data!A876))</f>
        <v>ORD200874</v>
      </c>
      <c r="B876" s="3" t="n">
        <f aca="false">IF(ISNUMBER(Raw_Data!B876),Raw_Data!B876,DATEVALUE(Raw_Data!B876))</f>
        <v>45230</v>
      </c>
      <c r="C876" s="2" t="str">
        <f aca="false">TRIM(UPPER(Raw_Data!C876))</f>
        <v>C92180</v>
      </c>
      <c r="D876" s="2" t="str">
        <f aca="false">PROPER(TRIM(Raw_Data!D876))</f>
        <v>Chair</v>
      </c>
      <c r="E876" s="2" t="n">
        <f aca="false">Raw_Data!E876</f>
        <v>2</v>
      </c>
      <c r="F876" s="4" t="n">
        <f aca="false">ROUND(Raw_Data!F876,2)</f>
        <v>488.9</v>
      </c>
      <c r="G876" s="2" t="str">
        <f aca="false">PROPER(TRIM(Raw_Data!G876))</f>
        <v>632 Main St</v>
      </c>
      <c r="H876" s="2" t="str">
        <f aca="false">PROPER(TRIM(Raw_Data!H876))</f>
        <v>Cash</v>
      </c>
      <c r="I876" s="2" t="str">
        <f aca="false">PROPER(TRIM(Raw_Data!I876))</f>
        <v>Delivered</v>
      </c>
      <c r="J876" s="2" t="str">
        <f aca="false">TRIM(UPPER(Raw_Data!J876))</f>
        <v>TRK93315929</v>
      </c>
      <c r="K876" s="2" t="n">
        <f aca="false">Raw_Data!K876</f>
        <v>7</v>
      </c>
      <c r="L876" s="2" t="str">
        <f aca="false">IF(TRIM(Raw_Data!L876)="","No Coupon",TRIM(UPPER(Raw_Data!L876)))</f>
        <v>FREESHIP</v>
      </c>
      <c r="M876" s="2" t="str">
        <f aca="false">PROPER(TRIM(Raw_Data!M876))</f>
        <v>Facebook</v>
      </c>
      <c r="N876" s="4" t="n">
        <f aca="false">ROUND(E876*F876,2)</f>
        <v>977.8</v>
      </c>
      <c r="O876" s="2" t="str">
        <f aca="false">IF(COUNTIF($A$2:$A$1201,A876)&gt;1,"DUPLICATE","Unique")</f>
        <v>Unique</v>
      </c>
      <c r="P876" s="2" t="str">
        <f aca="false">IF(L876="","MISSING","OK")</f>
        <v>OK</v>
      </c>
      <c r="Q876" s="2" t="str">
        <f aca="false">IF(ISNUMBER(B876),"OK","BAD DATE")</f>
        <v>OK</v>
      </c>
      <c r="R876" s="2" t="str">
        <f aca="false">IF(ROUND(F876,2)=F876,"OK","FIX")</f>
        <v>OK</v>
      </c>
    </row>
    <row r="877" customFormat="false" ht="15" hidden="false" customHeight="false" outlineLevel="0" collapsed="false">
      <c r="A877" s="2" t="str">
        <f aca="false">TRIM(UPPER(Raw_Data!A877))</f>
        <v>ORD200875</v>
      </c>
      <c r="B877" s="3" t="n">
        <f aca="false">IF(ISNUMBER(Raw_Data!B877),Raw_Data!B877,DATEVALUE(Raw_Data!B877))</f>
        <v>45141</v>
      </c>
      <c r="C877" s="2" t="str">
        <f aca="false">TRIM(UPPER(Raw_Data!C877))</f>
        <v>C25918</v>
      </c>
      <c r="D877" s="2" t="str">
        <f aca="false">PROPER(TRIM(Raw_Data!D877))</f>
        <v>Laptop</v>
      </c>
      <c r="E877" s="2" t="n">
        <f aca="false">Raw_Data!E877</f>
        <v>5</v>
      </c>
      <c r="F877" s="4" t="n">
        <f aca="false">ROUND(Raw_Data!F877,2)</f>
        <v>133.39</v>
      </c>
      <c r="G877" s="2" t="str">
        <f aca="false">PROPER(TRIM(Raw_Data!G877))</f>
        <v>203 Main St</v>
      </c>
      <c r="H877" s="2" t="str">
        <f aca="false">PROPER(TRIM(Raw_Data!H877))</f>
        <v>Credit Card</v>
      </c>
      <c r="I877" s="2" t="str">
        <f aca="false">PROPER(TRIM(Raw_Data!I877))</f>
        <v>Delivered</v>
      </c>
      <c r="J877" s="2" t="str">
        <f aca="false">TRIM(UPPER(Raw_Data!J877))</f>
        <v>TRK66473392</v>
      </c>
      <c r="K877" s="2" t="n">
        <f aca="false">Raw_Data!K877</f>
        <v>6</v>
      </c>
      <c r="L877" s="2" t="str">
        <f aca="false">IF(TRIM(Raw_Data!L877)="","No Coupon",TRIM(UPPER(Raw_Data!L877)))</f>
        <v>FREESHIP</v>
      </c>
      <c r="M877" s="2" t="str">
        <f aca="false">PROPER(TRIM(Raw_Data!M877))</f>
        <v>Referral</v>
      </c>
      <c r="N877" s="4" t="n">
        <f aca="false">ROUND(E877*F877,2)</f>
        <v>666.95</v>
      </c>
      <c r="O877" s="2" t="str">
        <f aca="false">IF(COUNTIF($A$2:$A$1201,A877)&gt;1,"DUPLICATE","Unique")</f>
        <v>Unique</v>
      </c>
      <c r="P877" s="2" t="str">
        <f aca="false">IF(L877="","MISSING","OK")</f>
        <v>OK</v>
      </c>
      <c r="Q877" s="2" t="str">
        <f aca="false">IF(ISNUMBER(B877),"OK","BAD DATE")</f>
        <v>OK</v>
      </c>
      <c r="R877" s="2" t="str">
        <f aca="false">IF(ROUND(F877,2)=F877,"OK","FIX")</f>
        <v>OK</v>
      </c>
    </row>
    <row r="878" customFormat="false" ht="15" hidden="false" customHeight="false" outlineLevel="0" collapsed="false">
      <c r="A878" s="2" t="str">
        <f aca="false">TRIM(UPPER(Raw_Data!A878))</f>
        <v>ORD200876</v>
      </c>
      <c r="B878" s="3" t="n">
        <f aca="false">IF(ISNUMBER(Raw_Data!B878),Raw_Data!B878,DATEVALUE(Raw_Data!B878))</f>
        <v>45452</v>
      </c>
      <c r="C878" s="2" t="str">
        <f aca="false">TRIM(UPPER(Raw_Data!C878))</f>
        <v>C90363</v>
      </c>
      <c r="D878" s="2" t="str">
        <f aca="false">PROPER(TRIM(Raw_Data!D878))</f>
        <v>Chair</v>
      </c>
      <c r="E878" s="2" t="n">
        <f aca="false">Raw_Data!E878</f>
        <v>5</v>
      </c>
      <c r="F878" s="4" t="n">
        <f aca="false">ROUND(Raw_Data!F878,2)</f>
        <v>608.91</v>
      </c>
      <c r="G878" s="2" t="str">
        <f aca="false">PROPER(TRIM(Raw_Data!G878))</f>
        <v>200 Main St</v>
      </c>
      <c r="H878" s="2" t="str">
        <f aca="false">PROPER(TRIM(Raw_Data!H878))</f>
        <v>Gift Card</v>
      </c>
      <c r="I878" s="2" t="str">
        <f aca="false">PROPER(TRIM(Raw_Data!I878))</f>
        <v>Pending</v>
      </c>
      <c r="J878" s="2" t="str">
        <f aca="false">TRIM(UPPER(Raw_Data!J878))</f>
        <v>TRK21534173</v>
      </c>
      <c r="K878" s="2" t="n">
        <f aca="false">Raw_Data!K878</f>
        <v>6</v>
      </c>
      <c r="L878" s="2" t="str">
        <f aca="false">IF(TRIM(Raw_Data!L878)="","No Coupon",TRIM(UPPER(Raw_Data!L878)))</f>
        <v>SAVE10</v>
      </c>
      <c r="M878" s="2" t="str">
        <f aca="false">PROPER(TRIM(Raw_Data!M878))</f>
        <v>Google</v>
      </c>
      <c r="N878" s="4" t="n">
        <f aca="false">ROUND(E878*F878,2)</f>
        <v>3044.55</v>
      </c>
      <c r="O878" s="2" t="str">
        <f aca="false">IF(COUNTIF($A$2:$A$1201,A878)&gt;1,"DUPLICATE","Unique")</f>
        <v>Unique</v>
      </c>
      <c r="P878" s="2" t="str">
        <f aca="false">IF(L878="","MISSING","OK")</f>
        <v>OK</v>
      </c>
      <c r="Q878" s="2" t="str">
        <f aca="false">IF(ISNUMBER(B878),"OK","BAD DATE")</f>
        <v>OK</v>
      </c>
      <c r="R878" s="2" t="str">
        <f aca="false">IF(ROUND(F878,2)=F878,"OK","FIX")</f>
        <v>OK</v>
      </c>
    </row>
    <row r="879" customFormat="false" ht="15" hidden="false" customHeight="false" outlineLevel="0" collapsed="false">
      <c r="A879" s="2" t="str">
        <f aca="false">TRIM(UPPER(Raw_Data!A879))</f>
        <v>ORD200877</v>
      </c>
      <c r="B879" s="3" t="n">
        <f aca="false">IF(ISNUMBER(Raw_Data!B879),Raw_Data!B879,DATEVALUE(Raw_Data!B879))</f>
        <v>45498</v>
      </c>
      <c r="C879" s="2" t="str">
        <f aca="false">TRIM(UPPER(Raw_Data!C879))</f>
        <v>C43867</v>
      </c>
      <c r="D879" s="2" t="str">
        <f aca="false">PROPER(TRIM(Raw_Data!D879))</f>
        <v>Tablet</v>
      </c>
      <c r="E879" s="2" t="n">
        <f aca="false">Raw_Data!E879</f>
        <v>1</v>
      </c>
      <c r="F879" s="4" t="n">
        <f aca="false">ROUND(Raw_Data!F879,2)</f>
        <v>524.06</v>
      </c>
      <c r="G879" s="2" t="str">
        <f aca="false">PROPER(TRIM(Raw_Data!G879))</f>
        <v>269 Main St</v>
      </c>
      <c r="H879" s="2" t="str">
        <f aca="false">PROPER(TRIM(Raw_Data!H879))</f>
        <v>Debit Card</v>
      </c>
      <c r="I879" s="2" t="str">
        <f aca="false">PROPER(TRIM(Raw_Data!I879))</f>
        <v>Pending</v>
      </c>
      <c r="J879" s="2" t="str">
        <f aca="false">TRIM(UPPER(Raw_Data!J879))</f>
        <v>TRK97319127</v>
      </c>
      <c r="K879" s="2" t="n">
        <f aca="false">Raw_Data!K879</f>
        <v>3</v>
      </c>
      <c r="L879" s="2" t="str">
        <f aca="false">IF(TRIM(Raw_Data!L879)="","No Coupon",TRIM(UPPER(Raw_Data!L879)))</f>
        <v>FREESHIP</v>
      </c>
      <c r="M879" s="2" t="str">
        <f aca="false">PROPER(TRIM(Raw_Data!M879))</f>
        <v>Email</v>
      </c>
      <c r="N879" s="4" t="n">
        <f aca="false">ROUND(E879*F879,2)</f>
        <v>524.06</v>
      </c>
      <c r="O879" s="2" t="str">
        <f aca="false">IF(COUNTIF($A$2:$A$1201,A879)&gt;1,"DUPLICATE","Unique")</f>
        <v>Unique</v>
      </c>
      <c r="P879" s="2" t="str">
        <f aca="false">IF(L879="","MISSING","OK")</f>
        <v>OK</v>
      </c>
      <c r="Q879" s="2" t="str">
        <f aca="false">IF(ISNUMBER(B879),"OK","BAD DATE")</f>
        <v>OK</v>
      </c>
      <c r="R879" s="2" t="str">
        <f aca="false">IF(ROUND(F879,2)=F879,"OK","FIX")</f>
        <v>OK</v>
      </c>
    </row>
    <row r="880" customFormat="false" ht="15" hidden="false" customHeight="false" outlineLevel="0" collapsed="false">
      <c r="A880" s="2" t="str">
        <f aca="false">TRIM(UPPER(Raw_Data!A880))</f>
        <v>ORD200878</v>
      </c>
      <c r="B880" s="3" t="n">
        <f aca="false">IF(ISNUMBER(Raw_Data!B880),Raw_Data!B880,DATEVALUE(Raw_Data!B880))</f>
        <v>45078</v>
      </c>
      <c r="C880" s="2" t="str">
        <f aca="false">TRIM(UPPER(Raw_Data!C880))</f>
        <v>C73873</v>
      </c>
      <c r="D880" s="2" t="str">
        <f aca="false">PROPER(TRIM(Raw_Data!D880))</f>
        <v>Desk</v>
      </c>
      <c r="E880" s="2" t="n">
        <f aca="false">Raw_Data!E880</f>
        <v>2</v>
      </c>
      <c r="F880" s="4" t="n">
        <f aca="false">ROUND(Raw_Data!F880,2)</f>
        <v>330.69</v>
      </c>
      <c r="G880" s="2" t="str">
        <f aca="false">PROPER(TRIM(Raw_Data!G880))</f>
        <v>393 Main St</v>
      </c>
      <c r="H880" s="2" t="str">
        <f aca="false">PROPER(TRIM(Raw_Data!H880))</f>
        <v>Online</v>
      </c>
      <c r="I880" s="2" t="str">
        <f aca="false">PROPER(TRIM(Raw_Data!I880))</f>
        <v>Cancelled</v>
      </c>
      <c r="J880" s="2" t="str">
        <f aca="false">TRIM(UPPER(Raw_Data!J880))</f>
        <v>TRK56423132</v>
      </c>
      <c r="K880" s="2" t="n">
        <f aca="false">Raw_Data!K880</f>
        <v>5</v>
      </c>
      <c r="L880" s="2" t="str">
        <f aca="false">IF(TRIM(Raw_Data!L880)="","No Coupon",TRIM(UPPER(Raw_Data!L880)))</f>
        <v>SAVE10</v>
      </c>
      <c r="M880" s="2" t="str">
        <f aca="false">PROPER(TRIM(Raw_Data!M880))</f>
        <v>Google</v>
      </c>
      <c r="N880" s="4" t="n">
        <f aca="false">ROUND(E880*F880,2)</f>
        <v>661.38</v>
      </c>
      <c r="O880" s="2" t="str">
        <f aca="false">IF(COUNTIF($A$2:$A$1201,A880)&gt;1,"DUPLICATE","Unique")</f>
        <v>Unique</v>
      </c>
      <c r="P880" s="2" t="str">
        <f aca="false">IF(L880="","MISSING","OK")</f>
        <v>OK</v>
      </c>
      <c r="Q880" s="2" t="str">
        <f aca="false">IF(ISNUMBER(B880),"OK","BAD DATE")</f>
        <v>OK</v>
      </c>
      <c r="R880" s="2" t="str">
        <f aca="false">IF(ROUND(F880,2)=F880,"OK","FIX")</f>
        <v>OK</v>
      </c>
    </row>
    <row r="881" customFormat="false" ht="15" hidden="false" customHeight="false" outlineLevel="0" collapsed="false">
      <c r="A881" s="2" t="str">
        <f aca="false">TRIM(UPPER(Raw_Data!A881))</f>
        <v>ORD200879</v>
      </c>
      <c r="B881" s="3" t="n">
        <f aca="false">IF(ISNUMBER(Raw_Data!B881),Raw_Data!B881,DATEVALUE(Raw_Data!B881))</f>
        <v>45755</v>
      </c>
      <c r="C881" s="2" t="str">
        <f aca="false">TRIM(UPPER(Raw_Data!C881))</f>
        <v>C56622</v>
      </c>
      <c r="D881" s="2" t="str">
        <f aca="false">PROPER(TRIM(Raw_Data!D881))</f>
        <v>Phone</v>
      </c>
      <c r="E881" s="2" t="n">
        <f aca="false">Raw_Data!E881</f>
        <v>2</v>
      </c>
      <c r="F881" s="4" t="n">
        <f aca="false">ROUND(Raw_Data!F881,2)</f>
        <v>547.67</v>
      </c>
      <c r="G881" s="2" t="str">
        <f aca="false">PROPER(TRIM(Raw_Data!G881))</f>
        <v>932 Main St</v>
      </c>
      <c r="H881" s="2" t="str">
        <f aca="false">PROPER(TRIM(Raw_Data!H881))</f>
        <v>Gift Card</v>
      </c>
      <c r="I881" s="2" t="str">
        <f aca="false">PROPER(TRIM(Raw_Data!I881))</f>
        <v>Shipped</v>
      </c>
      <c r="J881" s="2" t="str">
        <f aca="false">TRIM(UPPER(Raw_Data!J881))</f>
        <v>TRK86373987</v>
      </c>
      <c r="K881" s="2" t="n">
        <f aca="false">Raw_Data!K881</f>
        <v>3</v>
      </c>
      <c r="L881" s="2" t="str">
        <f aca="false">IF(TRIM(Raw_Data!L881)="","No Coupon",TRIM(UPPER(Raw_Data!L881)))</f>
        <v>No Coupon</v>
      </c>
      <c r="M881" s="2" t="str">
        <f aca="false">PROPER(TRIM(Raw_Data!M881))</f>
        <v>Instagram</v>
      </c>
      <c r="N881" s="4" t="n">
        <f aca="false">ROUND(E881*F881,2)</f>
        <v>1095.34</v>
      </c>
      <c r="O881" s="2" t="str">
        <f aca="false">IF(COUNTIF($A$2:$A$1201,A881)&gt;1,"DUPLICATE","Unique")</f>
        <v>Unique</v>
      </c>
      <c r="P881" s="2" t="str">
        <f aca="false">IF(L881="","MISSING","OK")</f>
        <v>OK</v>
      </c>
      <c r="Q881" s="2" t="str">
        <f aca="false">IF(ISNUMBER(B881),"OK","BAD DATE")</f>
        <v>OK</v>
      </c>
      <c r="R881" s="2" t="str">
        <f aca="false">IF(ROUND(F881,2)=F881,"OK","FIX")</f>
        <v>OK</v>
      </c>
    </row>
    <row r="882" customFormat="false" ht="15" hidden="false" customHeight="false" outlineLevel="0" collapsed="false">
      <c r="A882" s="2" t="str">
        <f aca="false">TRIM(UPPER(Raw_Data!A882))</f>
        <v>ORD200880</v>
      </c>
      <c r="B882" s="3" t="n">
        <f aca="false">IF(ISNUMBER(Raw_Data!B882),Raw_Data!B882,DATEVALUE(Raw_Data!B882))</f>
        <v>45728</v>
      </c>
      <c r="C882" s="2" t="str">
        <f aca="false">TRIM(UPPER(Raw_Data!C882))</f>
        <v>C85074</v>
      </c>
      <c r="D882" s="2" t="str">
        <f aca="false">PROPER(TRIM(Raw_Data!D882))</f>
        <v>Laptop</v>
      </c>
      <c r="E882" s="2" t="n">
        <f aca="false">Raw_Data!E882</f>
        <v>4</v>
      </c>
      <c r="F882" s="4" t="n">
        <f aca="false">ROUND(Raw_Data!F882,2)</f>
        <v>233.7</v>
      </c>
      <c r="G882" s="2" t="str">
        <f aca="false">PROPER(TRIM(Raw_Data!G882))</f>
        <v>506 Main St</v>
      </c>
      <c r="H882" s="2" t="str">
        <f aca="false">PROPER(TRIM(Raw_Data!H882))</f>
        <v>Online</v>
      </c>
      <c r="I882" s="2" t="str">
        <f aca="false">PROPER(TRIM(Raw_Data!I882))</f>
        <v>Shipped</v>
      </c>
      <c r="J882" s="2" t="str">
        <f aca="false">TRIM(UPPER(Raw_Data!J882))</f>
        <v>TRK63133878</v>
      </c>
      <c r="K882" s="2" t="n">
        <f aca="false">Raw_Data!K882</f>
        <v>8</v>
      </c>
      <c r="L882" s="2" t="str">
        <f aca="false">IF(TRIM(Raw_Data!L882)="","No Coupon",TRIM(UPPER(Raw_Data!L882)))</f>
        <v>SAVE10</v>
      </c>
      <c r="M882" s="2" t="str">
        <f aca="false">PROPER(TRIM(Raw_Data!M882))</f>
        <v>Facebook</v>
      </c>
      <c r="N882" s="4" t="n">
        <f aca="false">ROUND(E882*F882,2)</f>
        <v>934.8</v>
      </c>
      <c r="O882" s="2" t="str">
        <f aca="false">IF(COUNTIF($A$2:$A$1201,A882)&gt;1,"DUPLICATE","Unique")</f>
        <v>Unique</v>
      </c>
      <c r="P882" s="2" t="str">
        <f aca="false">IF(L882="","MISSING","OK")</f>
        <v>OK</v>
      </c>
      <c r="Q882" s="2" t="str">
        <f aca="false">IF(ISNUMBER(B882),"OK","BAD DATE")</f>
        <v>OK</v>
      </c>
      <c r="R882" s="2" t="str">
        <f aca="false">IF(ROUND(F882,2)=F882,"OK","FIX")</f>
        <v>OK</v>
      </c>
    </row>
    <row r="883" customFormat="false" ht="15" hidden="false" customHeight="false" outlineLevel="0" collapsed="false">
      <c r="A883" s="2" t="str">
        <f aca="false">TRIM(UPPER(Raw_Data!A883))</f>
        <v>ORD200881</v>
      </c>
      <c r="B883" s="3" t="n">
        <f aca="false">IF(ISNUMBER(Raw_Data!B883),Raw_Data!B883,DATEVALUE(Raw_Data!B883))</f>
        <v>44929</v>
      </c>
      <c r="C883" s="2" t="str">
        <f aca="false">TRIM(UPPER(Raw_Data!C883))</f>
        <v>C59579</v>
      </c>
      <c r="D883" s="2" t="str">
        <f aca="false">PROPER(TRIM(Raw_Data!D883))</f>
        <v>Tablet</v>
      </c>
      <c r="E883" s="2" t="n">
        <f aca="false">Raw_Data!E883</f>
        <v>2</v>
      </c>
      <c r="F883" s="4" t="n">
        <f aca="false">ROUND(Raw_Data!F883,2)</f>
        <v>448.85</v>
      </c>
      <c r="G883" s="2" t="str">
        <f aca="false">PROPER(TRIM(Raw_Data!G883))</f>
        <v>386 Main St</v>
      </c>
      <c r="H883" s="2" t="str">
        <f aca="false">PROPER(TRIM(Raw_Data!H883))</f>
        <v>Credit Card</v>
      </c>
      <c r="I883" s="2" t="str">
        <f aca="false">PROPER(TRIM(Raw_Data!I883))</f>
        <v>Pending</v>
      </c>
      <c r="J883" s="2" t="str">
        <f aca="false">TRIM(UPPER(Raw_Data!J883))</f>
        <v>TRK48000034</v>
      </c>
      <c r="K883" s="2" t="n">
        <f aca="false">Raw_Data!K883</f>
        <v>6</v>
      </c>
      <c r="L883" s="2" t="str">
        <f aca="false">IF(TRIM(Raw_Data!L883)="","No Coupon",TRIM(UPPER(Raw_Data!L883)))</f>
        <v>No Coupon</v>
      </c>
      <c r="M883" s="2" t="str">
        <f aca="false">PROPER(TRIM(Raw_Data!M883))</f>
        <v>Instagram</v>
      </c>
      <c r="N883" s="4" t="n">
        <f aca="false">ROUND(E883*F883,2)</f>
        <v>897.7</v>
      </c>
      <c r="O883" s="2" t="str">
        <f aca="false">IF(COUNTIF($A$2:$A$1201,A883)&gt;1,"DUPLICATE","Unique")</f>
        <v>Unique</v>
      </c>
      <c r="P883" s="2" t="str">
        <f aca="false">IF(L883="","MISSING","OK")</f>
        <v>OK</v>
      </c>
      <c r="Q883" s="2" t="str">
        <f aca="false">IF(ISNUMBER(B883),"OK","BAD DATE")</f>
        <v>OK</v>
      </c>
      <c r="R883" s="2" t="str">
        <f aca="false">IF(ROUND(F883,2)=F883,"OK","FIX")</f>
        <v>OK</v>
      </c>
    </row>
    <row r="884" customFormat="false" ht="15" hidden="false" customHeight="false" outlineLevel="0" collapsed="false">
      <c r="A884" s="2" t="str">
        <f aca="false">TRIM(UPPER(Raw_Data!A884))</f>
        <v>ORD200882</v>
      </c>
      <c r="B884" s="3" t="n">
        <f aca="false">IF(ISNUMBER(Raw_Data!B884),Raw_Data!B884,DATEVALUE(Raw_Data!B884))</f>
        <v>45836</v>
      </c>
      <c r="C884" s="2" t="str">
        <f aca="false">TRIM(UPPER(Raw_Data!C884))</f>
        <v>C43335</v>
      </c>
      <c r="D884" s="2" t="str">
        <f aca="false">PROPER(TRIM(Raw_Data!D884))</f>
        <v>Phone</v>
      </c>
      <c r="E884" s="2" t="n">
        <f aca="false">Raw_Data!E884</f>
        <v>2</v>
      </c>
      <c r="F884" s="4" t="n">
        <f aca="false">ROUND(Raw_Data!F884,2)</f>
        <v>274.12</v>
      </c>
      <c r="G884" s="2" t="str">
        <f aca="false">PROPER(TRIM(Raw_Data!G884))</f>
        <v>533 Main St</v>
      </c>
      <c r="H884" s="2" t="str">
        <f aca="false">PROPER(TRIM(Raw_Data!H884))</f>
        <v>Cash</v>
      </c>
      <c r="I884" s="2" t="str">
        <f aca="false">PROPER(TRIM(Raw_Data!I884))</f>
        <v>Delivered</v>
      </c>
      <c r="J884" s="2" t="str">
        <f aca="false">TRIM(UPPER(Raw_Data!J884))</f>
        <v>TRK91848650</v>
      </c>
      <c r="K884" s="2" t="n">
        <f aca="false">Raw_Data!K884</f>
        <v>6</v>
      </c>
      <c r="L884" s="2" t="str">
        <f aca="false">IF(TRIM(Raw_Data!L884)="","No Coupon",TRIM(UPPER(Raw_Data!L884)))</f>
        <v>FREESHIP</v>
      </c>
      <c r="M884" s="2" t="str">
        <f aca="false">PROPER(TRIM(Raw_Data!M884))</f>
        <v>Referral</v>
      </c>
      <c r="N884" s="4" t="n">
        <f aca="false">ROUND(E884*F884,2)</f>
        <v>548.24</v>
      </c>
      <c r="O884" s="2" t="str">
        <f aca="false">IF(COUNTIF($A$2:$A$1201,A884)&gt;1,"DUPLICATE","Unique")</f>
        <v>Unique</v>
      </c>
      <c r="P884" s="2" t="str">
        <f aca="false">IF(L884="","MISSING","OK")</f>
        <v>OK</v>
      </c>
      <c r="Q884" s="2" t="str">
        <f aca="false">IF(ISNUMBER(B884),"OK","BAD DATE")</f>
        <v>OK</v>
      </c>
      <c r="R884" s="2" t="str">
        <f aca="false">IF(ROUND(F884,2)=F884,"OK","FIX")</f>
        <v>OK</v>
      </c>
    </row>
    <row r="885" customFormat="false" ht="15" hidden="false" customHeight="false" outlineLevel="0" collapsed="false">
      <c r="A885" s="2" t="str">
        <f aca="false">TRIM(UPPER(Raw_Data!A885))</f>
        <v>ORD200883</v>
      </c>
      <c r="B885" s="3" t="n">
        <f aca="false">IF(ISNUMBER(Raw_Data!B885),Raw_Data!B885,DATEVALUE(Raw_Data!B885))</f>
        <v>45790</v>
      </c>
      <c r="C885" s="2" t="str">
        <f aca="false">TRIM(UPPER(Raw_Data!C885))</f>
        <v>C43595</v>
      </c>
      <c r="D885" s="2" t="str">
        <f aca="false">PROPER(TRIM(Raw_Data!D885))</f>
        <v>Printer</v>
      </c>
      <c r="E885" s="2" t="n">
        <f aca="false">Raw_Data!E885</f>
        <v>5</v>
      </c>
      <c r="F885" s="4" t="n">
        <f aca="false">ROUND(Raw_Data!F885,2)</f>
        <v>561.48</v>
      </c>
      <c r="G885" s="2" t="str">
        <f aca="false">PROPER(TRIM(Raw_Data!G885))</f>
        <v>451 Main St</v>
      </c>
      <c r="H885" s="2" t="str">
        <f aca="false">PROPER(TRIM(Raw_Data!H885))</f>
        <v>Online</v>
      </c>
      <c r="I885" s="2" t="str">
        <f aca="false">PROPER(TRIM(Raw_Data!I885))</f>
        <v>Delivered</v>
      </c>
      <c r="J885" s="2" t="str">
        <f aca="false">TRIM(UPPER(Raw_Data!J885))</f>
        <v>TRK25317348</v>
      </c>
      <c r="K885" s="2" t="n">
        <f aca="false">Raw_Data!K885</f>
        <v>9</v>
      </c>
      <c r="L885" s="2" t="str">
        <f aca="false">IF(TRIM(Raw_Data!L885)="","No Coupon",TRIM(UPPER(Raw_Data!L885)))</f>
        <v>FREESHIP</v>
      </c>
      <c r="M885" s="2" t="str">
        <f aca="false">PROPER(TRIM(Raw_Data!M885))</f>
        <v>Facebook</v>
      </c>
      <c r="N885" s="4" t="n">
        <f aca="false">ROUND(E885*F885,2)</f>
        <v>2807.4</v>
      </c>
      <c r="O885" s="2" t="str">
        <f aca="false">IF(COUNTIF($A$2:$A$1201,A885)&gt;1,"DUPLICATE","Unique")</f>
        <v>Unique</v>
      </c>
      <c r="P885" s="2" t="str">
        <f aca="false">IF(L885="","MISSING","OK")</f>
        <v>OK</v>
      </c>
      <c r="Q885" s="2" t="str">
        <f aca="false">IF(ISNUMBER(B885),"OK","BAD DATE")</f>
        <v>OK</v>
      </c>
      <c r="R885" s="2" t="str">
        <f aca="false">IF(ROUND(F885,2)=F885,"OK","FIX")</f>
        <v>OK</v>
      </c>
    </row>
    <row r="886" customFormat="false" ht="15" hidden="false" customHeight="false" outlineLevel="0" collapsed="false">
      <c r="A886" s="2" t="str">
        <f aca="false">TRIM(UPPER(Raw_Data!A886))</f>
        <v>ORD200884</v>
      </c>
      <c r="B886" s="3" t="n">
        <f aca="false">IF(ISNUMBER(Raw_Data!B886),Raw_Data!B886,DATEVALUE(Raw_Data!B886))</f>
        <v>45427</v>
      </c>
      <c r="C886" s="2" t="str">
        <f aca="false">TRIM(UPPER(Raw_Data!C886))</f>
        <v>C71471</v>
      </c>
      <c r="D886" s="2" t="str">
        <f aca="false">PROPER(TRIM(Raw_Data!D886))</f>
        <v>Chair</v>
      </c>
      <c r="E886" s="2" t="n">
        <f aca="false">Raw_Data!E886</f>
        <v>1</v>
      </c>
      <c r="F886" s="4" t="n">
        <f aca="false">ROUND(Raw_Data!F886,2)</f>
        <v>595.54</v>
      </c>
      <c r="G886" s="2" t="str">
        <f aca="false">PROPER(TRIM(Raw_Data!G886))</f>
        <v>817 Main St</v>
      </c>
      <c r="H886" s="2" t="str">
        <f aca="false">PROPER(TRIM(Raw_Data!H886))</f>
        <v>Gift Card</v>
      </c>
      <c r="I886" s="2" t="str">
        <f aca="false">PROPER(TRIM(Raw_Data!I886))</f>
        <v>Shipped</v>
      </c>
      <c r="J886" s="2" t="str">
        <f aca="false">TRIM(UPPER(Raw_Data!J886))</f>
        <v>TRK52137079</v>
      </c>
      <c r="K886" s="2" t="n">
        <f aca="false">Raw_Data!K886</f>
        <v>4</v>
      </c>
      <c r="L886" s="2" t="str">
        <f aca="false">IF(TRIM(Raw_Data!L886)="","No Coupon",TRIM(UPPER(Raw_Data!L886)))</f>
        <v>No Coupon</v>
      </c>
      <c r="M886" s="2" t="str">
        <f aca="false">PROPER(TRIM(Raw_Data!M886))</f>
        <v>Instagram</v>
      </c>
      <c r="N886" s="4" t="n">
        <f aca="false">ROUND(E886*F886,2)</f>
        <v>595.54</v>
      </c>
      <c r="O886" s="2" t="str">
        <f aca="false">IF(COUNTIF($A$2:$A$1201,A886)&gt;1,"DUPLICATE","Unique")</f>
        <v>Unique</v>
      </c>
      <c r="P886" s="2" t="str">
        <f aca="false">IF(L886="","MISSING","OK")</f>
        <v>OK</v>
      </c>
      <c r="Q886" s="2" t="str">
        <f aca="false">IF(ISNUMBER(B886),"OK","BAD DATE")</f>
        <v>OK</v>
      </c>
      <c r="R886" s="2" t="str">
        <f aca="false">IF(ROUND(F886,2)=F886,"OK","FIX")</f>
        <v>OK</v>
      </c>
    </row>
    <row r="887" customFormat="false" ht="15" hidden="false" customHeight="false" outlineLevel="0" collapsed="false">
      <c r="A887" s="2" t="str">
        <f aca="false">TRIM(UPPER(Raw_Data!A887))</f>
        <v>ORD200885</v>
      </c>
      <c r="B887" s="3" t="n">
        <f aca="false">IF(ISNUMBER(Raw_Data!B887),Raw_Data!B887,DATEVALUE(Raw_Data!B887))</f>
        <v>45389</v>
      </c>
      <c r="C887" s="2" t="str">
        <f aca="false">TRIM(UPPER(Raw_Data!C887))</f>
        <v>C61090</v>
      </c>
      <c r="D887" s="2" t="str">
        <f aca="false">PROPER(TRIM(Raw_Data!D887))</f>
        <v>Laptop</v>
      </c>
      <c r="E887" s="2" t="n">
        <f aca="false">Raw_Data!E887</f>
        <v>4</v>
      </c>
      <c r="F887" s="4" t="n">
        <f aca="false">ROUND(Raw_Data!F887,2)</f>
        <v>515.59</v>
      </c>
      <c r="G887" s="2" t="str">
        <f aca="false">PROPER(TRIM(Raw_Data!G887))</f>
        <v>387 Main St</v>
      </c>
      <c r="H887" s="2" t="str">
        <f aca="false">PROPER(TRIM(Raw_Data!H887))</f>
        <v>Credit Card</v>
      </c>
      <c r="I887" s="2" t="str">
        <f aca="false">PROPER(TRIM(Raw_Data!I887))</f>
        <v>Shipped</v>
      </c>
      <c r="J887" s="2" t="str">
        <f aca="false">TRIM(UPPER(Raw_Data!J887))</f>
        <v>TRK36388962</v>
      </c>
      <c r="K887" s="2" t="n">
        <f aca="false">Raw_Data!K887</f>
        <v>7</v>
      </c>
      <c r="L887" s="2" t="str">
        <f aca="false">IF(TRIM(Raw_Data!L887)="","No Coupon",TRIM(UPPER(Raw_Data!L887)))</f>
        <v>FREESHIP</v>
      </c>
      <c r="M887" s="2" t="str">
        <f aca="false">PROPER(TRIM(Raw_Data!M887))</f>
        <v>Google</v>
      </c>
      <c r="N887" s="4" t="n">
        <f aca="false">ROUND(E887*F887,2)</f>
        <v>2062.36</v>
      </c>
      <c r="O887" s="2" t="str">
        <f aca="false">IF(COUNTIF($A$2:$A$1201,A887)&gt;1,"DUPLICATE","Unique")</f>
        <v>Unique</v>
      </c>
      <c r="P887" s="2" t="str">
        <f aca="false">IF(L887="","MISSING","OK")</f>
        <v>OK</v>
      </c>
      <c r="Q887" s="2" t="str">
        <f aca="false">IF(ISNUMBER(B887),"OK","BAD DATE")</f>
        <v>OK</v>
      </c>
      <c r="R887" s="2" t="str">
        <f aca="false">IF(ROUND(F887,2)=F887,"OK","FIX")</f>
        <v>OK</v>
      </c>
    </row>
    <row r="888" customFormat="false" ht="15" hidden="false" customHeight="false" outlineLevel="0" collapsed="false">
      <c r="A888" s="2" t="str">
        <f aca="false">TRIM(UPPER(Raw_Data!A888))</f>
        <v>ORD200886</v>
      </c>
      <c r="B888" s="3" t="n">
        <f aca="false">IF(ISNUMBER(Raw_Data!B888),Raw_Data!B888,DATEVALUE(Raw_Data!B888))</f>
        <v>45224</v>
      </c>
      <c r="C888" s="2" t="str">
        <f aca="false">TRIM(UPPER(Raw_Data!C888))</f>
        <v>C29620</v>
      </c>
      <c r="D888" s="2" t="str">
        <f aca="false">PROPER(TRIM(Raw_Data!D888))</f>
        <v>Phone</v>
      </c>
      <c r="E888" s="2" t="n">
        <f aca="false">Raw_Data!E888</f>
        <v>1</v>
      </c>
      <c r="F888" s="4" t="n">
        <f aca="false">ROUND(Raw_Data!F888,2)</f>
        <v>460.13</v>
      </c>
      <c r="G888" s="2" t="str">
        <f aca="false">PROPER(TRIM(Raw_Data!G888))</f>
        <v>792 Main St</v>
      </c>
      <c r="H888" s="2" t="str">
        <f aca="false">PROPER(TRIM(Raw_Data!H888))</f>
        <v>Credit Card</v>
      </c>
      <c r="I888" s="2" t="str">
        <f aca="false">PROPER(TRIM(Raw_Data!I888))</f>
        <v>Returned</v>
      </c>
      <c r="J888" s="2" t="str">
        <f aca="false">TRIM(UPPER(Raw_Data!J888))</f>
        <v>TRK22046456</v>
      </c>
      <c r="K888" s="2" t="n">
        <f aca="false">Raw_Data!K888</f>
        <v>1</v>
      </c>
      <c r="L888" s="2" t="str">
        <f aca="false">IF(TRIM(Raw_Data!L888)="","No Coupon",TRIM(UPPER(Raw_Data!L888)))</f>
        <v>No Coupon</v>
      </c>
      <c r="M888" s="2" t="str">
        <f aca="false">PROPER(TRIM(Raw_Data!M888))</f>
        <v>Google</v>
      </c>
      <c r="N888" s="4" t="n">
        <f aca="false">ROUND(E888*F888,2)</f>
        <v>460.13</v>
      </c>
      <c r="O888" s="2" t="str">
        <f aca="false">IF(COUNTIF($A$2:$A$1201,A888)&gt;1,"DUPLICATE","Unique")</f>
        <v>Unique</v>
      </c>
      <c r="P888" s="2" t="str">
        <f aca="false">IF(L888="","MISSING","OK")</f>
        <v>OK</v>
      </c>
      <c r="Q888" s="2" t="str">
        <f aca="false">IF(ISNUMBER(B888),"OK","BAD DATE")</f>
        <v>OK</v>
      </c>
      <c r="R888" s="2" t="str">
        <f aca="false">IF(ROUND(F888,2)=F888,"OK","FIX")</f>
        <v>OK</v>
      </c>
    </row>
    <row r="889" customFormat="false" ht="15" hidden="false" customHeight="false" outlineLevel="0" collapsed="false">
      <c r="A889" s="2" t="str">
        <f aca="false">TRIM(UPPER(Raw_Data!A889))</f>
        <v>ORD200887</v>
      </c>
      <c r="B889" s="3" t="n">
        <f aca="false">IF(ISNUMBER(Raw_Data!B889),Raw_Data!B889,DATEVALUE(Raw_Data!B889))</f>
        <v>45645</v>
      </c>
      <c r="C889" s="2" t="str">
        <f aca="false">TRIM(UPPER(Raw_Data!C889))</f>
        <v>C67932</v>
      </c>
      <c r="D889" s="2" t="str">
        <f aca="false">PROPER(TRIM(Raw_Data!D889))</f>
        <v>Chair</v>
      </c>
      <c r="E889" s="2" t="n">
        <f aca="false">Raw_Data!E889</f>
        <v>3</v>
      </c>
      <c r="F889" s="4" t="n">
        <f aca="false">ROUND(Raw_Data!F889,2)</f>
        <v>171.66</v>
      </c>
      <c r="G889" s="2" t="str">
        <f aca="false">PROPER(TRIM(Raw_Data!G889))</f>
        <v>857 Main St</v>
      </c>
      <c r="H889" s="2" t="str">
        <f aca="false">PROPER(TRIM(Raw_Data!H889))</f>
        <v>Debit Card</v>
      </c>
      <c r="I889" s="2" t="str">
        <f aca="false">PROPER(TRIM(Raw_Data!I889))</f>
        <v>Delivered</v>
      </c>
      <c r="J889" s="2" t="str">
        <f aca="false">TRIM(UPPER(Raw_Data!J889))</f>
        <v>TRK88547534</v>
      </c>
      <c r="K889" s="2" t="n">
        <f aca="false">Raw_Data!K889</f>
        <v>7</v>
      </c>
      <c r="L889" s="2" t="str">
        <f aca="false">IF(TRIM(Raw_Data!L889)="","No Coupon",TRIM(UPPER(Raw_Data!L889)))</f>
        <v>No Coupon</v>
      </c>
      <c r="M889" s="2" t="str">
        <f aca="false">PROPER(TRIM(Raw_Data!M889))</f>
        <v>Google</v>
      </c>
      <c r="N889" s="4" t="n">
        <f aca="false">ROUND(E889*F889,2)</f>
        <v>514.98</v>
      </c>
      <c r="O889" s="2" t="str">
        <f aca="false">IF(COUNTIF($A$2:$A$1201,A889)&gt;1,"DUPLICATE","Unique")</f>
        <v>Unique</v>
      </c>
      <c r="P889" s="2" t="str">
        <f aca="false">IF(L889="","MISSING","OK")</f>
        <v>OK</v>
      </c>
      <c r="Q889" s="2" t="str">
        <f aca="false">IF(ISNUMBER(B889),"OK","BAD DATE")</f>
        <v>OK</v>
      </c>
      <c r="R889" s="2" t="str">
        <f aca="false">IF(ROUND(F889,2)=F889,"OK","FIX")</f>
        <v>OK</v>
      </c>
    </row>
    <row r="890" customFormat="false" ht="15" hidden="false" customHeight="false" outlineLevel="0" collapsed="false">
      <c r="A890" s="2" t="str">
        <f aca="false">TRIM(UPPER(Raw_Data!A890))</f>
        <v>ORD200888</v>
      </c>
      <c r="B890" s="3" t="n">
        <f aca="false">IF(ISNUMBER(Raw_Data!B890),Raw_Data!B890,DATEVALUE(Raw_Data!B890))</f>
        <v>45496</v>
      </c>
      <c r="C890" s="2" t="str">
        <f aca="false">TRIM(UPPER(Raw_Data!C890))</f>
        <v>C14427</v>
      </c>
      <c r="D890" s="2" t="str">
        <f aca="false">PROPER(TRIM(Raw_Data!D890))</f>
        <v>Laptop</v>
      </c>
      <c r="E890" s="2" t="n">
        <f aca="false">Raw_Data!E890</f>
        <v>2</v>
      </c>
      <c r="F890" s="4" t="n">
        <f aca="false">ROUND(Raw_Data!F890,2)</f>
        <v>266.95</v>
      </c>
      <c r="G890" s="2" t="str">
        <f aca="false">PROPER(TRIM(Raw_Data!G890))</f>
        <v>833 Main St</v>
      </c>
      <c r="H890" s="2" t="str">
        <f aca="false">PROPER(TRIM(Raw_Data!H890))</f>
        <v>Credit Card</v>
      </c>
      <c r="I890" s="2" t="str">
        <f aca="false">PROPER(TRIM(Raw_Data!I890))</f>
        <v>Pending</v>
      </c>
      <c r="J890" s="2" t="str">
        <f aca="false">TRIM(UPPER(Raw_Data!J890))</f>
        <v>TRK58024529</v>
      </c>
      <c r="K890" s="2" t="n">
        <f aca="false">Raw_Data!K890</f>
        <v>3</v>
      </c>
      <c r="L890" s="2" t="str">
        <f aca="false">IF(TRIM(Raw_Data!L890)="","No Coupon",TRIM(UPPER(Raw_Data!L890)))</f>
        <v>No Coupon</v>
      </c>
      <c r="M890" s="2" t="str">
        <f aca="false">PROPER(TRIM(Raw_Data!M890))</f>
        <v>Instagram</v>
      </c>
      <c r="N890" s="4" t="n">
        <f aca="false">ROUND(E890*F890,2)</f>
        <v>533.9</v>
      </c>
      <c r="O890" s="2" t="str">
        <f aca="false">IF(COUNTIF($A$2:$A$1201,A890)&gt;1,"DUPLICATE","Unique")</f>
        <v>Unique</v>
      </c>
      <c r="P890" s="2" t="str">
        <f aca="false">IF(L890="","MISSING","OK")</f>
        <v>OK</v>
      </c>
      <c r="Q890" s="2" t="str">
        <f aca="false">IF(ISNUMBER(B890),"OK","BAD DATE")</f>
        <v>OK</v>
      </c>
      <c r="R890" s="2" t="str">
        <f aca="false">IF(ROUND(F890,2)=F890,"OK","FIX")</f>
        <v>OK</v>
      </c>
    </row>
    <row r="891" customFormat="false" ht="15" hidden="false" customHeight="false" outlineLevel="0" collapsed="false">
      <c r="A891" s="2" t="str">
        <f aca="false">TRIM(UPPER(Raw_Data!A891))</f>
        <v>ORD200889</v>
      </c>
      <c r="B891" s="3" t="n">
        <f aca="false">IF(ISNUMBER(Raw_Data!B891),Raw_Data!B891,DATEVALUE(Raw_Data!B891))</f>
        <v>45592</v>
      </c>
      <c r="C891" s="2" t="str">
        <f aca="false">TRIM(UPPER(Raw_Data!C891))</f>
        <v>C36725</v>
      </c>
      <c r="D891" s="2" t="str">
        <f aca="false">PROPER(TRIM(Raw_Data!D891))</f>
        <v>Monitor</v>
      </c>
      <c r="E891" s="2" t="n">
        <f aca="false">Raw_Data!E891</f>
        <v>5</v>
      </c>
      <c r="F891" s="4" t="n">
        <f aca="false">ROUND(Raw_Data!F891,2)</f>
        <v>650.72</v>
      </c>
      <c r="G891" s="2" t="str">
        <f aca="false">PROPER(TRIM(Raw_Data!G891))</f>
        <v>350 Main St</v>
      </c>
      <c r="H891" s="2" t="str">
        <f aca="false">PROPER(TRIM(Raw_Data!H891))</f>
        <v>Credit Card</v>
      </c>
      <c r="I891" s="2" t="str">
        <f aca="false">PROPER(TRIM(Raw_Data!I891))</f>
        <v>Cancelled</v>
      </c>
      <c r="J891" s="2" t="str">
        <f aca="false">TRIM(UPPER(Raw_Data!J891))</f>
        <v>TRK16808790</v>
      </c>
      <c r="K891" s="2" t="n">
        <f aca="false">Raw_Data!K891</f>
        <v>8</v>
      </c>
      <c r="L891" s="2" t="str">
        <f aca="false">IF(TRIM(Raw_Data!L891)="","No Coupon",TRIM(UPPER(Raw_Data!L891)))</f>
        <v>WINTER15</v>
      </c>
      <c r="M891" s="2" t="str">
        <f aca="false">PROPER(TRIM(Raw_Data!M891))</f>
        <v>Email</v>
      </c>
      <c r="N891" s="4" t="n">
        <f aca="false">ROUND(E891*F891,2)</f>
        <v>3253.6</v>
      </c>
      <c r="O891" s="2" t="str">
        <f aca="false">IF(COUNTIF($A$2:$A$1201,A891)&gt;1,"DUPLICATE","Unique")</f>
        <v>Unique</v>
      </c>
      <c r="P891" s="2" t="str">
        <f aca="false">IF(L891="","MISSING","OK")</f>
        <v>OK</v>
      </c>
      <c r="Q891" s="2" t="str">
        <f aca="false">IF(ISNUMBER(B891),"OK","BAD DATE")</f>
        <v>OK</v>
      </c>
      <c r="R891" s="2" t="str">
        <f aca="false">IF(ROUND(F891,2)=F891,"OK","FIX")</f>
        <v>OK</v>
      </c>
    </row>
    <row r="892" customFormat="false" ht="15" hidden="false" customHeight="false" outlineLevel="0" collapsed="false">
      <c r="A892" s="2" t="str">
        <f aca="false">TRIM(UPPER(Raw_Data!A892))</f>
        <v>ORD200890</v>
      </c>
      <c r="B892" s="3" t="n">
        <f aca="false">IF(ISNUMBER(Raw_Data!B892),Raw_Data!B892,DATEVALUE(Raw_Data!B892))</f>
        <v>45149</v>
      </c>
      <c r="C892" s="2" t="str">
        <f aca="false">TRIM(UPPER(Raw_Data!C892))</f>
        <v>C51921</v>
      </c>
      <c r="D892" s="2" t="str">
        <f aca="false">PROPER(TRIM(Raw_Data!D892))</f>
        <v>Laptop</v>
      </c>
      <c r="E892" s="2" t="n">
        <f aca="false">Raw_Data!E892</f>
        <v>3</v>
      </c>
      <c r="F892" s="4" t="n">
        <f aca="false">ROUND(Raw_Data!F892,2)</f>
        <v>439.53</v>
      </c>
      <c r="G892" s="2" t="str">
        <f aca="false">PROPER(TRIM(Raw_Data!G892))</f>
        <v>943 Main St</v>
      </c>
      <c r="H892" s="2" t="str">
        <f aca="false">PROPER(TRIM(Raw_Data!H892))</f>
        <v>Debit Card</v>
      </c>
      <c r="I892" s="2" t="str">
        <f aca="false">PROPER(TRIM(Raw_Data!I892))</f>
        <v>Pending</v>
      </c>
      <c r="J892" s="2" t="str">
        <f aca="false">TRIM(UPPER(Raw_Data!J892))</f>
        <v>TRK85741716</v>
      </c>
      <c r="K892" s="2" t="n">
        <f aca="false">Raw_Data!K892</f>
        <v>5</v>
      </c>
      <c r="L892" s="2" t="str">
        <f aca="false">IF(TRIM(Raw_Data!L892)="","No Coupon",TRIM(UPPER(Raw_Data!L892)))</f>
        <v>No Coupon</v>
      </c>
      <c r="M892" s="2" t="str">
        <f aca="false">PROPER(TRIM(Raw_Data!M892))</f>
        <v>Google</v>
      </c>
      <c r="N892" s="4" t="n">
        <f aca="false">ROUND(E892*F892,2)</f>
        <v>1318.59</v>
      </c>
      <c r="O892" s="2" t="str">
        <f aca="false">IF(COUNTIF($A$2:$A$1201,A892)&gt;1,"DUPLICATE","Unique")</f>
        <v>Unique</v>
      </c>
      <c r="P892" s="2" t="str">
        <f aca="false">IF(L892="","MISSING","OK")</f>
        <v>OK</v>
      </c>
      <c r="Q892" s="2" t="str">
        <f aca="false">IF(ISNUMBER(B892),"OK","BAD DATE")</f>
        <v>OK</v>
      </c>
      <c r="R892" s="2" t="str">
        <f aca="false">IF(ROUND(F892,2)=F892,"OK","FIX")</f>
        <v>OK</v>
      </c>
    </row>
    <row r="893" customFormat="false" ht="15" hidden="false" customHeight="false" outlineLevel="0" collapsed="false">
      <c r="A893" s="2" t="str">
        <f aca="false">TRIM(UPPER(Raw_Data!A893))</f>
        <v>ORD200891</v>
      </c>
      <c r="B893" s="3" t="n">
        <f aca="false">IF(ISNUMBER(Raw_Data!B893),Raw_Data!B893,DATEVALUE(Raw_Data!B893))</f>
        <v>45241</v>
      </c>
      <c r="C893" s="2" t="str">
        <f aca="false">TRIM(UPPER(Raw_Data!C893))</f>
        <v>C36534</v>
      </c>
      <c r="D893" s="2" t="str">
        <f aca="false">PROPER(TRIM(Raw_Data!D893))</f>
        <v>Monitor</v>
      </c>
      <c r="E893" s="2" t="n">
        <f aca="false">Raw_Data!E893</f>
        <v>3</v>
      </c>
      <c r="F893" s="4" t="n">
        <f aca="false">ROUND(Raw_Data!F893,2)</f>
        <v>654.54</v>
      </c>
      <c r="G893" s="2" t="str">
        <f aca="false">PROPER(TRIM(Raw_Data!G893))</f>
        <v>918 Main St</v>
      </c>
      <c r="H893" s="2" t="str">
        <f aca="false">PROPER(TRIM(Raw_Data!H893))</f>
        <v>Cash</v>
      </c>
      <c r="I893" s="2" t="str">
        <f aca="false">PROPER(TRIM(Raw_Data!I893))</f>
        <v>Returned</v>
      </c>
      <c r="J893" s="2" t="str">
        <f aca="false">TRIM(UPPER(Raw_Data!J893))</f>
        <v>TRK38952138</v>
      </c>
      <c r="K893" s="2" t="n">
        <f aca="false">Raw_Data!K893</f>
        <v>7</v>
      </c>
      <c r="L893" s="2" t="str">
        <f aca="false">IF(TRIM(Raw_Data!L893)="","No Coupon",TRIM(UPPER(Raw_Data!L893)))</f>
        <v>SAVE10</v>
      </c>
      <c r="M893" s="2" t="str">
        <f aca="false">PROPER(TRIM(Raw_Data!M893))</f>
        <v>Referral</v>
      </c>
      <c r="N893" s="4" t="n">
        <f aca="false">ROUND(E893*F893,2)</f>
        <v>1963.62</v>
      </c>
      <c r="O893" s="2" t="str">
        <f aca="false">IF(COUNTIF($A$2:$A$1201,A893)&gt;1,"DUPLICATE","Unique")</f>
        <v>Unique</v>
      </c>
      <c r="P893" s="2" t="str">
        <f aca="false">IF(L893="","MISSING","OK")</f>
        <v>OK</v>
      </c>
      <c r="Q893" s="2" t="str">
        <f aca="false">IF(ISNUMBER(B893),"OK","BAD DATE")</f>
        <v>OK</v>
      </c>
      <c r="R893" s="2" t="str">
        <f aca="false">IF(ROUND(F893,2)=F893,"OK","FIX")</f>
        <v>OK</v>
      </c>
    </row>
    <row r="894" customFormat="false" ht="15" hidden="false" customHeight="false" outlineLevel="0" collapsed="false">
      <c r="A894" s="2" t="str">
        <f aca="false">TRIM(UPPER(Raw_Data!A894))</f>
        <v>ORD200892</v>
      </c>
      <c r="B894" s="3" t="n">
        <f aca="false">IF(ISNUMBER(Raw_Data!B894),Raw_Data!B894,DATEVALUE(Raw_Data!B894))</f>
        <v>45447</v>
      </c>
      <c r="C894" s="2" t="str">
        <f aca="false">TRIM(UPPER(Raw_Data!C894))</f>
        <v>C72043</v>
      </c>
      <c r="D894" s="2" t="str">
        <f aca="false">PROPER(TRIM(Raw_Data!D894))</f>
        <v>Desk</v>
      </c>
      <c r="E894" s="2" t="n">
        <f aca="false">Raw_Data!E894</f>
        <v>1</v>
      </c>
      <c r="F894" s="4" t="n">
        <f aca="false">ROUND(Raw_Data!F894,2)</f>
        <v>394.53</v>
      </c>
      <c r="G894" s="2" t="str">
        <f aca="false">PROPER(TRIM(Raw_Data!G894))</f>
        <v>480 Main St</v>
      </c>
      <c r="H894" s="2" t="str">
        <f aca="false">PROPER(TRIM(Raw_Data!H894))</f>
        <v>Cash</v>
      </c>
      <c r="I894" s="2" t="str">
        <f aca="false">PROPER(TRIM(Raw_Data!I894))</f>
        <v>Shipped</v>
      </c>
      <c r="J894" s="2" t="str">
        <f aca="false">TRIM(UPPER(Raw_Data!J894))</f>
        <v>TRK40896408</v>
      </c>
      <c r="K894" s="2" t="n">
        <f aca="false">Raw_Data!K894</f>
        <v>2</v>
      </c>
      <c r="L894" s="2" t="str">
        <f aca="false">IF(TRIM(Raw_Data!L894)="","No Coupon",TRIM(UPPER(Raw_Data!L894)))</f>
        <v>FREESHIP</v>
      </c>
      <c r="M894" s="2" t="str">
        <f aca="false">PROPER(TRIM(Raw_Data!M894))</f>
        <v>Referral</v>
      </c>
      <c r="N894" s="4" t="n">
        <f aca="false">ROUND(E894*F894,2)</f>
        <v>394.53</v>
      </c>
      <c r="O894" s="2" t="str">
        <f aca="false">IF(COUNTIF($A$2:$A$1201,A894)&gt;1,"DUPLICATE","Unique")</f>
        <v>Unique</v>
      </c>
      <c r="P894" s="2" t="str">
        <f aca="false">IF(L894="","MISSING","OK")</f>
        <v>OK</v>
      </c>
      <c r="Q894" s="2" t="str">
        <f aca="false">IF(ISNUMBER(B894),"OK","BAD DATE")</f>
        <v>OK</v>
      </c>
      <c r="R894" s="2" t="str">
        <f aca="false">IF(ROUND(F894,2)=F894,"OK","FIX")</f>
        <v>OK</v>
      </c>
    </row>
    <row r="895" customFormat="false" ht="15" hidden="false" customHeight="false" outlineLevel="0" collapsed="false">
      <c r="A895" s="2" t="str">
        <f aca="false">TRIM(UPPER(Raw_Data!A895))</f>
        <v>ORD200893</v>
      </c>
      <c r="B895" s="3" t="n">
        <f aca="false">IF(ISNUMBER(Raw_Data!B895),Raw_Data!B895,DATEVALUE(Raw_Data!B895))</f>
        <v>45006</v>
      </c>
      <c r="C895" s="2" t="str">
        <f aca="false">TRIM(UPPER(Raw_Data!C895))</f>
        <v>C99533</v>
      </c>
      <c r="D895" s="2" t="str">
        <f aca="false">PROPER(TRIM(Raw_Data!D895))</f>
        <v>Monitor</v>
      </c>
      <c r="E895" s="2" t="n">
        <f aca="false">Raw_Data!E895</f>
        <v>1</v>
      </c>
      <c r="F895" s="4" t="n">
        <f aca="false">ROUND(Raw_Data!F895,2)</f>
        <v>678.01</v>
      </c>
      <c r="G895" s="2" t="str">
        <f aca="false">PROPER(TRIM(Raw_Data!G895))</f>
        <v>696 Main St</v>
      </c>
      <c r="H895" s="2" t="str">
        <f aca="false">PROPER(TRIM(Raw_Data!H895))</f>
        <v>Cash</v>
      </c>
      <c r="I895" s="2" t="str">
        <f aca="false">PROPER(TRIM(Raw_Data!I895))</f>
        <v>Pending</v>
      </c>
      <c r="J895" s="2" t="str">
        <f aca="false">TRIM(UPPER(Raw_Data!J895))</f>
        <v>TRK55701253</v>
      </c>
      <c r="K895" s="2" t="n">
        <f aca="false">Raw_Data!K895</f>
        <v>4</v>
      </c>
      <c r="L895" s="2" t="str">
        <f aca="false">IF(TRIM(Raw_Data!L895)="","No Coupon",TRIM(UPPER(Raw_Data!L895)))</f>
        <v>FREESHIP</v>
      </c>
      <c r="M895" s="2" t="str">
        <f aca="false">PROPER(TRIM(Raw_Data!M895))</f>
        <v>Referral</v>
      </c>
      <c r="N895" s="4" t="n">
        <f aca="false">ROUND(E895*F895,2)</f>
        <v>678.01</v>
      </c>
      <c r="O895" s="2" t="str">
        <f aca="false">IF(COUNTIF($A$2:$A$1201,A895)&gt;1,"DUPLICATE","Unique")</f>
        <v>Unique</v>
      </c>
      <c r="P895" s="2" t="str">
        <f aca="false">IF(L895="","MISSING","OK")</f>
        <v>OK</v>
      </c>
      <c r="Q895" s="2" t="str">
        <f aca="false">IF(ISNUMBER(B895),"OK","BAD DATE")</f>
        <v>OK</v>
      </c>
      <c r="R895" s="2" t="str">
        <f aca="false">IF(ROUND(F895,2)=F895,"OK","FIX")</f>
        <v>OK</v>
      </c>
    </row>
    <row r="896" customFormat="false" ht="15" hidden="false" customHeight="false" outlineLevel="0" collapsed="false">
      <c r="A896" s="2" t="str">
        <f aca="false">TRIM(UPPER(Raw_Data!A896))</f>
        <v>ORD200894</v>
      </c>
      <c r="B896" s="3" t="n">
        <f aca="false">IF(ISNUMBER(Raw_Data!B896),Raw_Data!B896,DATEVALUE(Raw_Data!B896))</f>
        <v>45069</v>
      </c>
      <c r="C896" s="2" t="str">
        <f aca="false">TRIM(UPPER(Raw_Data!C896))</f>
        <v>C90852</v>
      </c>
      <c r="D896" s="2" t="str">
        <f aca="false">PROPER(TRIM(Raw_Data!D896))</f>
        <v>Tablet</v>
      </c>
      <c r="E896" s="2" t="n">
        <f aca="false">Raw_Data!E896</f>
        <v>3</v>
      </c>
      <c r="F896" s="4" t="n">
        <f aca="false">ROUND(Raw_Data!F896,2)</f>
        <v>575.01</v>
      </c>
      <c r="G896" s="2" t="str">
        <f aca="false">PROPER(TRIM(Raw_Data!G896))</f>
        <v>852 Main St</v>
      </c>
      <c r="H896" s="2" t="str">
        <f aca="false">PROPER(TRIM(Raw_Data!H896))</f>
        <v>Online</v>
      </c>
      <c r="I896" s="2" t="str">
        <f aca="false">PROPER(TRIM(Raw_Data!I896))</f>
        <v>Cancelled</v>
      </c>
      <c r="J896" s="2" t="str">
        <f aca="false">TRIM(UPPER(Raw_Data!J896))</f>
        <v>TRK37551831</v>
      </c>
      <c r="K896" s="2" t="n">
        <f aca="false">Raw_Data!K896</f>
        <v>8</v>
      </c>
      <c r="L896" s="2" t="str">
        <f aca="false">IF(TRIM(Raw_Data!L896)="","No Coupon",TRIM(UPPER(Raw_Data!L896)))</f>
        <v>WINTER15</v>
      </c>
      <c r="M896" s="2" t="str">
        <f aca="false">PROPER(TRIM(Raw_Data!M896))</f>
        <v>Instagram</v>
      </c>
      <c r="N896" s="4" t="n">
        <f aca="false">ROUND(E896*F896,2)</f>
        <v>1725.03</v>
      </c>
      <c r="O896" s="2" t="str">
        <f aca="false">IF(COUNTIF($A$2:$A$1201,A896)&gt;1,"DUPLICATE","Unique")</f>
        <v>Unique</v>
      </c>
      <c r="P896" s="2" t="str">
        <f aca="false">IF(L896="","MISSING","OK")</f>
        <v>OK</v>
      </c>
      <c r="Q896" s="2" t="str">
        <f aca="false">IF(ISNUMBER(B896),"OK","BAD DATE")</f>
        <v>OK</v>
      </c>
      <c r="R896" s="2" t="str">
        <f aca="false">IF(ROUND(F896,2)=F896,"OK","FIX")</f>
        <v>OK</v>
      </c>
    </row>
    <row r="897" customFormat="false" ht="15" hidden="false" customHeight="false" outlineLevel="0" collapsed="false">
      <c r="A897" s="2" t="str">
        <f aca="false">TRIM(UPPER(Raw_Data!A897))</f>
        <v>ORD200895</v>
      </c>
      <c r="B897" s="3" t="n">
        <f aca="false">IF(ISNUMBER(Raw_Data!B897),Raw_Data!B897,DATEVALUE(Raw_Data!B897))</f>
        <v>45239</v>
      </c>
      <c r="C897" s="2" t="str">
        <f aca="false">TRIM(UPPER(Raw_Data!C897))</f>
        <v>C81882</v>
      </c>
      <c r="D897" s="2" t="str">
        <f aca="false">PROPER(TRIM(Raw_Data!D897))</f>
        <v>Chair</v>
      </c>
      <c r="E897" s="2" t="n">
        <f aca="false">Raw_Data!E897</f>
        <v>3</v>
      </c>
      <c r="F897" s="4" t="n">
        <f aca="false">ROUND(Raw_Data!F897,2)</f>
        <v>154.64</v>
      </c>
      <c r="G897" s="2" t="str">
        <f aca="false">PROPER(TRIM(Raw_Data!G897))</f>
        <v>832 Main St</v>
      </c>
      <c r="H897" s="2" t="str">
        <f aca="false">PROPER(TRIM(Raw_Data!H897))</f>
        <v>Debit Card</v>
      </c>
      <c r="I897" s="2" t="str">
        <f aca="false">PROPER(TRIM(Raw_Data!I897))</f>
        <v>Pending</v>
      </c>
      <c r="J897" s="2" t="str">
        <f aca="false">TRIM(UPPER(Raw_Data!J897))</f>
        <v>TRK62371264</v>
      </c>
      <c r="K897" s="2" t="n">
        <f aca="false">Raw_Data!K897</f>
        <v>6</v>
      </c>
      <c r="L897" s="2" t="str">
        <f aca="false">IF(TRIM(Raw_Data!L897)="","No Coupon",TRIM(UPPER(Raw_Data!L897)))</f>
        <v>WINTER15</v>
      </c>
      <c r="M897" s="2" t="str">
        <f aca="false">PROPER(TRIM(Raw_Data!M897))</f>
        <v>Facebook</v>
      </c>
      <c r="N897" s="4" t="n">
        <f aca="false">ROUND(E897*F897,2)</f>
        <v>463.92</v>
      </c>
      <c r="O897" s="2" t="str">
        <f aca="false">IF(COUNTIF($A$2:$A$1201,A897)&gt;1,"DUPLICATE","Unique")</f>
        <v>Unique</v>
      </c>
      <c r="P897" s="2" t="str">
        <f aca="false">IF(L897="","MISSING","OK")</f>
        <v>OK</v>
      </c>
      <c r="Q897" s="2" t="str">
        <f aca="false">IF(ISNUMBER(B897),"OK","BAD DATE")</f>
        <v>OK</v>
      </c>
      <c r="R897" s="2" t="str">
        <f aca="false">IF(ROUND(F897,2)=F897,"OK","FIX")</f>
        <v>OK</v>
      </c>
    </row>
    <row r="898" customFormat="false" ht="15" hidden="false" customHeight="false" outlineLevel="0" collapsed="false">
      <c r="A898" s="2" t="str">
        <f aca="false">TRIM(UPPER(Raw_Data!A898))</f>
        <v>ORD200896</v>
      </c>
      <c r="B898" s="3" t="n">
        <f aca="false">IF(ISNUMBER(Raw_Data!B898),Raw_Data!B898,DATEVALUE(Raw_Data!B898))</f>
        <v>45583</v>
      </c>
      <c r="C898" s="2" t="str">
        <f aca="false">TRIM(UPPER(Raw_Data!C898))</f>
        <v>C85466</v>
      </c>
      <c r="D898" s="2" t="str">
        <f aca="false">PROPER(TRIM(Raw_Data!D898))</f>
        <v>Desk</v>
      </c>
      <c r="E898" s="2" t="n">
        <f aca="false">Raw_Data!E898</f>
        <v>3</v>
      </c>
      <c r="F898" s="4" t="n">
        <f aca="false">ROUND(Raw_Data!F898,2)</f>
        <v>147.29</v>
      </c>
      <c r="G898" s="2" t="str">
        <f aca="false">PROPER(TRIM(Raw_Data!G898))</f>
        <v>102 Main St</v>
      </c>
      <c r="H898" s="2" t="str">
        <f aca="false">PROPER(TRIM(Raw_Data!H898))</f>
        <v>Gift Card</v>
      </c>
      <c r="I898" s="2" t="str">
        <f aca="false">PROPER(TRIM(Raw_Data!I898))</f>
        <v>Shipped</v>
      </c>
      <c r="J898" s="2" t="str">
        <f aca="false">TRIM(UPPER(Raw_Data!J898))</f>
        <v>TRK66764177</v>
      </c>
      <c r="K898" s="2" t="n">
        <f aca="false">Raw_Data!K898</f>
        <v>3</v>
      </c>
      <c r="L898" s="2" t="str">
        <f aca="false">IF(TRIM(Raw_Data!L898)="","No Coupon",TRIM(UPPER(Raw_Data!L898)))</f>
        <v>FREESHIP</v>
      </c>
      <c r="M898" s="2" t="str">
        <f aca="false">PROPER(TRIM(Raw_Data!M898))</f>
        <v>Google</v>
      </c>
      <c r="N898" s="4" t="n">
        <f aca="false">ROUND(E898*F898,2)</f>
        <v>441.87</v>
      </c>
      <c r="O898" s="2" t="str">
        <f aca="false">IF(COUNTIF($A$2:$A$1201,A898)&gt;1,"DUPLICATE","Unique")</f>
        <v>Unique</v>
      </c>
      <c r="P898" s="2" t="str">
        <f aca="false">IF(L898="","MISSING","OK")</f>
        <v>OK</v>
      </c>
      <c r="Q898" s="2" t="str">
        <f aca="false">IF(ISNUMBER(B898),"OK","BAD DATE")</f>
        <v>OK</v>
      </c>
      <c r="R898" s="2" t="str">
        <f aca="false">IF(ROUND(F898,2)=F898,"OK","FIX")</f>
        <v>OK</v>
      </c>
    </row>
    <row r="899" customFormat="false" ht="15" hidden="false" customHeight="false" outlineLevel="0" collapsed="false">
      <c r="A899" s="2" t="str">
        <f aca="false">TRIM(UPPER(Raw_Data!A899))</f>
        <v>ORD200897</v>
      </c>
      <c r="B899" s="3" t="n">
        <f aca="false">IF(ISNUMBER(Raw_Data!B899),Raw_Data!B899,DATEVALUE(Raw_Data!B899))</f>
        <v>45538</v>
      </c>
      <c r="C899" s="2" t="str">
        <f aca="false">TRIM(UPPER(Raw_Data!C899))</f>
        <v>C87995</v>
      </c>
      <c r="D899" s="2" t="str">
        <f aca="false">PROPER(TRIM(Raw_Data!D899))</f>
        <v>Laptop</v>
      </c>
      <c r="E899" s="2" t="n">
        <f aca="false">Raw_Data!E899</f>
        <v>4</v>
      </c>
      <c r="F899" s="4" t="n">
        <f aca="false">ROUND(Raw_Data!F899,2)</f>
        <v>481.48</v>
      </c>
      <c r="G899" s="2" t="str">
        <f aca="false">PROPER(TRIM(Raw_Data!G899))</f>
        <v>358 Main St</v>
      </c>
      <c r="H899" s="2" t="str">
        <f aca="false">PROPER(TRIM(Raw_Data!H899))</f>
        <v>Gift Card</v>
      </c>
      <c r="I899" s="2" t="str">
        <f aca="false">PROPER(TRIM(Raw_Data!I899))</f>
        <v>Delivered</v>
      </c>
      <c r="J899" s="2" t="str">
        <f aca="false">TRIM(UPPER(Raw_Data!J899))</f>
        <v>TRK38730545</v>
      </c>
      <c r="K899" s="2" t="n">
        <f aca="false">Raw_Data!K899</f>
        <v>5</v>
      </c>
      <c r="L899" s="2" t="str">
        <f aca="false">IF(TRIM(Raw_Data!L899)="","No Coupon",TRIM(UPPER(Raw_Data!L899)))</f>
        <v>SAVE10</v>
      </c>
      <c r="M899" s="2" t="str">
        <f aca="false">PROPER(TRIM(Raw_Data!M899))</f>
        <v>Instagram</v>
      </c>
      <c r="N899" s="4" t="n">
        <f aca="false">ROUND(E899*F899,2)</f>
        <v>1925.92</v>
      </c>
      <c r="O899" s="2" t="str">
        <f aca="false">IF(COUNTIF($A$2:$A$1201,A899)&gt;1,"DUPLICATE","Unique")</f>
        <v>Unique</v>
      </c>
      <c r="P899" s="2" t="str">
        <f aca="false">IF(L899="","MISSING","OK")</f>
        <v>OK</v>
      </c>
      <c r="Q899" s="2" t="str">
        <f aca="false">IF(ISNUMBER(B899),"OK","BAD DATE")</f>
        <v>OK</v>
      </c>
      <c r="R899" s="2" t="str">
        <f aca="false">IF(ROUND(F899,2)=F899,"OK","FIX")</f>
        <v>OK</v>
      </c>
    </row>
    <row r="900" customFormat="false" ht="15" hidden="false" customHeight="false" outlineLevel="0" collapsed="false">
      <c r="A900" s="2" t="str">
        <f aca="false">TRIM(UPPER(Raw_Data!A900))</f>
        <v>ORD200898</v>
      </c>
      <c r="B900" s="3" t="n">
        <f aca="false">IF(ISNUMBER(Raw_Data!B900),Raw_Data!B900,DATEVALUE(Raw_Data!B900))</f>
        <v>45721</v>
      </c>
      <c r="C900" s="2" t="str">
        <f aca="false">TRIM(UPPER(Raw_Data!C900))</f>
        <v>C44619</v>
      </c>
      <c r="D900" s="2" t="str">
        <f aca="false">PROPER(TRIM(Raw_Data!D900))</f>
        <v>Monitor</v>
      </c>
      <c r="E900" s="2" t="n">
        <f aca="false">Raw_Data!E900</f>
        <v>3</v>
      </c>
      <c r="F900" s="4" t="n">
        <f aca="false">ROUND(Raw_Data!F900,2)</f>
        <v>158.37</v>
      </c>
      <c r="G900" s="2" t="str">
        <f aca="false">PROPER(TRIM(Raw_Data!G900))</f>
        <v>742 Main St</v>
      </c>
      <c r="H900" s="2" t="str">
        <f aca="false">PROPER(TRIM(Raw_Data!H900))</f>
        <v>Cash</v>
      </c>
      <c r="I900" s="2" t="str">
        <f aca="false">PROPER(TRIM(Raw_Data!I900))</f>
        <v>Shipped</v>
      </c>
      <c r="J900" s="2" t="str">
        <f aca="false">TRIM(UPPER(Raw_Data!J900))</f>
        <v>TRK66662528</v>
      </c>
      <c r="K900" s="2" t="n">
        <f aca="false">Raw_Data!K900</f>
        <v>6</v>
      </c>
      <c r="L900" s="2" t="str">
        <f aca="false">IF(TRIM(Raw_Data!L900)="","No Coupon",TRIM(UPPER(Raw_Data!L900)))</f>
        <v>No Coupon</v>
      </c>
      <c r="M900" s="2" t="str">
        <f aca="false">PROPER(TRIM(Raw_Data!M900))</f>
        <v>Referral</v>
      </c>
      <c r="N900" s="4" t="n">
        <f aca="false">ROUND(E900*F900,2)</f>
        <v>475.11</v>
      </c>
      <c r="O900" s="2" t="str">
        <f aca="false">IF(COUNTIF($A$2:$A$1201,A900)&gt;1,"DUPLICATE","Unique")</f>
        <v>Unique</v>
      </c>
      <c r="P900" s="2" t="str">
        <f aca="false">IF(L900="","MISSING","OK")</f>
        <v>OK</v>
      </c>
      <c r="Q900" s="2" t="str">
        <f aca="false">IF(ISNUMBER(B900),"OK","BAD DATE")</f>
        <v>OK</v>
      </c>
      <c r="R900" s="2" t="str">
        <f aca="false">IF(ROUND(F900,2)=F900,"OK","FIX")</f>
        <v>OK</v>
      </c>
    </row>
    <row r="901" customFormat="false" ht="15" hidden="false" customHeight="false" outlineLevel="0" collapsed="false">
      <c r="A901" s="2" t="str">
        <f aca="false">TRIM(UPPER(Raw_Data!A901))</f>
        <v>ORD200899</v>
      </c>
      <c r="B901" s="3" t="n">
        <f aca="false">IF(ISNUMBER(Raw_Data!B901),Raw_Data!B901,DATEVALUE(Raw_Data!B901))</f>
        <v>45770</v>
      </c>
      <c r="C901" s="2" t="str">
        <f aca="false">TRIM(UPPER(Raw_Data!C901))</f>
        <v>C99904</v>
      </c>
      <c r="D901" s="2" t="str">
        <f aca="false">PROPER(TRIM(Raw_Data!D901))</f>
        <v>Printer</v>
      </c>
      <c r="E901" s="2" t="n">
        <f aca="false">Raw_Data!E901</f>
        <v>2</v>
      </c>
      <c r="F901" s="4" t="n">
        <f aca="false">ROUND(Raw_Data!F901,2)</f>
        <v>323.37</v>
      </c>
      <c r="G901" s="2" t="str">
        <f aca="false">PROPER(TRIM(Raw_Data!G901))</f>
        <v>552 Main St</v>
      </c>
      <c r="H901" s="2" t="str">
        <f aca="false">PROPER(TRIM(Raw_Data!H901))</f>
        <v>Online</v>
      </c>
      <c r="I901" s="2" t="str">
        <f aca="false">PROPER(TRIM(Raw_Data!I901))</f>
        <v>Pending</v>
      </c>
      <c r="J901" s="2" t="str">
        <f aca="false">TRIM(UPPER(Raw_Data!J901))</f>
        <v>TRK83843411</v>
      </c>
      <c r="K901" s="2" t="n">
        <f aca="false">Raw_Data!K901</f>
        <v>3</v>
      </c>
      <c r="L901" s="2" t="str">
        <f aca="false">IF(TRIM(Raw_Data!L901)="","No Coupon",TRIM(UPPER(Raw_Data!L901)))</f>
        <v>SAVE10</v>
      </c>
      <c r="M901" s="2" t="str">
        <f aca="false">PROPER(TRIM(Raw_Data!M901))</f>
        <v>Instagram</v>
      </c>
      <c r="N901" s="4" t="n">
        <f aca="false">ROUND(E901*F901,2)</f>
        <v>646.74</v>
      </c>
      <c r="O901" s="2" t="str">
        <f aca="false">IF(COUNTIF($A$2:$A$1201,A901)&gt;1,"DUPLICATE","Unique")</f>
        <v>Unique</v>
      </c>
      <c r="P901" s="2" t="str">
        <f aca="false">IF(L901="","MISSING","OK")</f>
        <v>OK</v>
      </c>
      <c r="Q901" s="2" t="str">
        <f aca="false">IF(ISNUMBER(B901),"OK","BAD DATE")</f>
        <v>OK</v>
      </c>
      <c r="R901" s="2" t="str">
        <f aca="false">IF(ROUND(F901,2)=F901,"OK","FIX")</f>
        <v>OK</v>
      </c>
    </row>
    <row r="902" customFormat="false" ht="15" hidden="false" customHeight="false" outlineLevel="0" collapsed="false">
      <c r="A902" s="2" t="str">
        <f aca="false">TRIM(UPPER(Raw_Data!A902))</f>
        <v>ORD200900</v>
      </c>
      <c r="B902" s="3" t="n">
        <f aca="false">IF(ISNUMBER(Raw_Data!B902),Raw_Data!B902,DATEVALUE(Raw_Data!B902))</f>
        <v>45695</v>
      </c>
      <c r="C902" s="2" t="str">
        <f aca="false">TRIM(UPPER(Raw_Data!C902))</f>
        <v>C52342</v>
      </c>
      <c r="D902" s="2" t="str">
        <f aca="false">PROPER(TRIM(Raw_Data!D902))</f>
        <v>Laptop</v>
      </c>
      <c r="E902" s="2" t="n">
        <f aca="false">Raw_Data!E902</f>
        <v>5</v>
      </c>
      <c r="F902" s="4" t="n">
        <f aca="false">ROUND(Raw_Data!F902,2)</f>
        <v>73.83</v>
      </c>
      <c r="G902" s="2" t="str">
        <f aca="false">PROPER(TRIM(Raw_Data!G902))</f>
        <v>991 Main St</v>
      </c>
      <c r="H902" s="2" t="str">
        <f aca="false">PROPER(TRIM(Raw_Data!H902))</f>
        <v>Debit Card</v>
      </c>
      <c r="I902" s="2" t="str">
        <f aca="false">PROPER(TRIM(Raw_Data!I902))</f>
        <v>Pending</v>
      </c>
      <c r="J902" s="2" t="str">
        <f aca="false">TRIM(UPPER(Raw_Data!J902))</f>
        <v>TRK67342586</v>
      </c>
      <c r="K902" s="2" t="n">
        <f aca="false">Raw_Data!K902</f>
        <v>9</v>
      </c>
      <c r="L902" s="2" t="str">
        <f aca="false">IF(TRIM(Raw_Data!L902)="","No Coupon",TRIM(UPPER(Raw_Data!L902)))</f>
        <v>No Coupon</v>
      </c>
      <c r="M902" s="2" t="str">
        <f aca="false">PROPER(TRIM(Raw_Data!M902))</f>
        <v>Instagram</v>
      </c>
      <c r="N902" s="4" t="n">
        <f aca="false">ROUND(E902*F902,2)</f>
        <v>369.15</v>
      </c>
      <c r="O902" s="2" t="str">
        <f aca="false">IF(COUNTIF($A$2:$A$1201,A902)&gt;1,"DUPLICATE","Unique")</f>
        <v>Unique</v>
      </c>
      <c r="P902" s="2" t="str">
        <f aca="false">IF(L902="","MISSING","OK")</f>
        <v>OK</v>
      </c>
      <c r="Q902" s="2" t="str">
        <f aca="false">IF(ISNUMBER(B902),"OK","BAD DATE")</f>
        <v>OK</v>
      </c>
      <c r="R902" s="2" t="str">
        <f aca="false">IF(ROUND(F902,2)=F902,"OK","FIX")</f>
        <v>OK</v>
      </c>
    </row>
    <row r="903" customFormat="false" ht="15" hidden="false" customHeight="false" outlineLevel="0" collapsed="false">
      <c r="A903" s="2" t="str">
        <f aca="false">TRIM(UPPER(Raw_Data!A903))</f>
        <v>ORD200901</v>
      </c>
      <c r="B903" s="3" t="n">
        <f aca="false">IF(ISNUMBER(Raw_Data!B903),Raw_Data!B903,DATEVALUE(Raw_Data!B903))</f>
        <v>45410</v>
      </c>
      <c r="C903" s="2" t="str">
        <f aca="false">TRIM(UPPER(Raw_Data!C903))</f>
        <v>C44277</v>
      </c>
      <c r="D903" s="2" t="str">
        <f aca="false">PROPER(TRIM(Raw_Data!D903))</f>
        <v>Tablet</v>
      </c>
      <c r="E903" s="2" t="n">
        <f aca="false">Raw_Data!E903</f>
        <v>1</v>
      </c>
      <c r="F903" s="4" t="n">
        <f aca="false">ROUND(Raw_Data!F903,2)</f>
        <v>458.63</v>
      </c>
      <c r="G903" s="2" t="str">
        <f aca="false">PROPER(TRIM(Raw_Data!G903))</f>
        <v>839 Main St</v>
      </c>
      <c r="H903" s="2" t="str">
        <f aca="false">PROPER(TRIM(Raw_Data!H903))</f>
        <v>Debit Card</v>
      </c>
      <c r="I903" s="2" t="str">
        <f aca="false">PROPER(TRIM(Raw_Data!I903))</f>
        <v>Returned</v>
      </c>
      <c r="J903" s="2" t="str">
        <f aca="false">TRIM(UPPER(Raw_Data!J903))</f>
        <v>TRK79321479</v>
      </c>
      <c r="K903" s="2" t="n">
        <f aca="false">Raw_Data!K903</f>
        <v>4</v>
      </c>
      <c r="L903" s="2" t="str">
        <f aca="false">IF(TRIM(Raw_Data!L903)="","No Coupon",TRIM(UPPER(Raw_Data!L903)))</f>
        <v>WINTER15</v>
      </c>
      <c r="M903" s="2" t="str">
        <f aca="false">PROPER(TRIM(Raw_Data!M903))</f>
        <v>Referral</v>
      </c>
      <c r="N903" s="4" t="n">
        <f aca="false">ROUND(E903*F903,2)</f>
        <v>458.63</v>
      </c>
      <c r="O903" s="2" t="str">
        <f aca="false">IF(COUNTIF($A$2:$A$1201,A903)&gt;1,"DUPLICATE","Unique")</f>
        <v>Unique</v>
      </c>
      <c r="P903" s="2" t="str">
        <f aca="false">IF(L903="","MISSING","OK")</f>
        <v>OK</v>
      </c>
      <c r="Q903" s="2" t="str">
        <f aca="false">IF(ISNUMBER(B903),"OK","BAD DATE")</f>
        <v>OK</v>
      </c>
      <c r="R903" s="2" t="str">
        <f aca="false">IF(ROUND(F903,2)=F903,"OK","FIX")</f>
        <v>OK</v>
      </c>
    </row>
    <row r="904" customFormat="false" ht="15" hidden="false" customHeight="false" outlineLevel="0" collapsed="false">
      <c r="A904" s="2" t="str">
        <f aca="false">TRIM(UPPER(Raw_Data!A904))</f>
        <v>ORD200902</v>
      </c>
      <c r="B904" s="3" t="n">
        <f aca="false">IF(ISNUMBER(Raw_Data!B904),Raw_Data!B904,DATEVALUE(Raw_Data!B904))</f>
        <v>45486</v>
      </c>
      <c r="C904" s="2" t="str">
        <f aca="false">TRIM(UPPER(Raw_Data!C904))</f>
        <v>C61162</v>
      </c>
      <c r="D904" s="2" t="str">
        <f aca="false">PROPER(TRIM(Raw_Data!D904))</f>
        <v>Monitor</v>
      </c>
      <c r="E904" s="2" t="n">
        <f aca="false">Raw_Data!E904</f>
        <v>4</v>
      </c>
      <c r="F904" s="4" t="n">
        <f aca="false">ROUND(Raw_Data!F904,2)</f>
        <v>180.25</v>
      </c>
      <c r="G904" s="2" t="str">
        <f aca="false">PROPER(TRIM(Raw_Data!G904))</f>
        <v>813 Main St</v>
      </c>
      <c r="H904" s="2" t="str">
        <f aca="false">PROPER(TRIM(Raw_Data!H904))</f>
        <v>Debit Card</v>
      </c>
      <c r="I904" s="2" t="str">
        <f aca="false">PROPER(TRIM(Raw_Data!I904))</f>
        <v>Cancelled</v>
      </c>
      <c r="J904" s="2" t="str">
        <f aca="false">TRIM(UPPER(Raw_Data!J904))</f>
        <v>TRK76712124</v>
      </c>
      <c r="K904" s="2" t="n">
        <f aca="false">Raw_Data!K904</f>
        <v>7</v>
      </c>
      <c r="L904" s="2" t="str">
        <f aca="false">IF(TRIM(Raw_Data!L904)="","No Coupon",TRIM(UPPER(Raw_Data!L904)))</f>
        <v>No Coupon</v>
      </c>
      <c r="M904" s="2" t="str">
        <f aca="false">PROPER(TRIM(Raw_Data!M904))</f>
        <v>Facebook</v>
      </c>
      <c r="N904" s="4" t="n">
        <f aca="false">ROUND(E904*F904,2)</f>
        <v>721</v>
      </c>
      <c r="O904" s="2" t="str">
        <f aca="false">IF(COUNTIF($A$2:$A$1201,A904)&gt;1,"DUPLICATE","Unique")</f>
        <v>Unique</v>
      </c>
      <c r="P904" s="2" t="str">
        <f aca="false">IF(L904="","MISSING","OK")</f>
        <v>OK</v>
      </c>
      <c r="Q904" s="2" t="str">
        <f aca="false">IF(ISNUMBER(B904),"OK","BAD DATE")</f>
        <v>OK</v>
      </c>
      <c r="R904" s="2" t="str">
        <f aca="false">IF(ROUND(F904,2)=F904,"OK","FIX")</f>
        <v>OK</v>
      </c>
    </row>
    <row r="905" customFormat="false" ht="15" hidden="false" customHeight="false" outlineLevel="0" collapsed="false">
      <c r="A905" s="2" t="str">
        <f aca="false">TRIM(UPPER(Raw_Data!A905))</f>
        <v>ORD200903</v>
      </c>
      <c r="B905" s="3" t="n">
        <f aca="false">IF(ISNUMBER(Raw_Data!B905),Raw_Data!B905,DATEVALUE(Raw_Data!B905))</f>
        <v>45063</v>
      </c>
      <c r="C905" s="2" t="str">
        <f aca="false">TRIM(UPPER(Raw_Data!C905))</f>
        <v>C80868</v>
      </c>
      <c r="D905" s="2" t="str">
        <f aca="false">PROPER(TRIM(Raw_Data!D905))</f>
        <v>Monitor</v>
      </c>
      <c r="E905" s="2" t="n">
        <f aca="false">Raw_Data!E905</f>
        <v>3</v>
      </c>
      <c r="F905" s="4" t="n">
        <f aca="false">ROUND(Raw_Data!F905,2)</f>
        <v>473.49</v>
      </c>
      <c r="G905" s="2" t="str">
        <f aca="false">PROPER(TRIM(Raw_Data!G905))</f>
        <v>205 Main St</v>
      </c>
      <c r="H905" s="2" t="str">
        <f aca="false">PROPER(TRIM(Raw_Data!H905))</f>
        <v>Credit Card</v>
      </c>
      <c r="I905" s="2" t="str">
        <f aca="false">PROPER(TRIM(Raw_Data!I905))</f>
        <v>Pending</v>
      </c>
      <c r="J905" s="2" t="str">
        <f aca="false">TRIM(UPPER(Raw_Data!J905))</f>
        <v>TRK56186636</v>
      </c>
      <c r="K905" s="2" t="n">
        <f aca="false">Raw_Data!K905</f>
        <v>7</v>
      </c>
      <c r="L905" s="2" t="str">
        <f aca="false">IF(TRIM(Raw_Data!L905)="","No Coupon",TRIM(UPPER(Raw_Data!L905)))</f>
        <v>No Coupon</v>
      </c>
      <c r="M905" s="2" t="str">
        <f aca="false">PROPER(TRIM(Raw_Data!M905))</f>
        <v>Email</v>
      </c>
      <c r="N905" s="4" t="n">
        <f aca="false">ROUND(E905*F905,2)</f>
        <v>1420.47</v>
      </c>
      <c r="O905" s="2" t="str">
        <f aca="false">IF(COUNTIF($A$2:$A$1201,A905)&gt;1,"DUPLICATE","Unique")</f>
        <v>Unique</v>
      </c>
      <c r="P905" s="2" t="str">
        <f aca="false">IF(L905="","MISSING","OK")</f>
        <v>OK</v>
      </c>
      <c r="Q905" s="2" t="str">
        <f aca="false">IF(ISNUMBER(B905),"OK","BAD DATE")</f>
        <v>OK</v>
      </c>
      <c r="R905" s="2" t="str">
        <f aca="false">IF(ROUND(F905,2)=F905,"OK","FIX")</f>
        <v>OK</v>
      </c>
    </row>
    <row r="906" customFormat="false" ht="15" hidden="false" customHeight="false" outlineLevel="0" collapsed="false">
      <c r="A906" s="2" t="str">
        <f aca="false">TRIM(UPPER(Raw_Data!A906))</f>
        <v>ORD200904</v>
      </c>
      <c r="B906" s="3" t="n">
        <f aca="false">IF(ISNUMBER(Raw_Data!B906),Raw_Data!B906,DATEVALUE(Raw_Data!B906))</f>
        <v>45693</v>
      </c>
      <c r="C906" s="2" t="str">
        <f aca="false">TRIM(UPPER(Raw_Data!C906))</f>
        <v>C16693</v>
      </c>
      <c r="D906" s="2" t="str">
        <f aca="false">PROPER(TRIM(Raw_Data!D906))</f>
        <v>Monitor</v>
      </c>
      <c r="E906" s="2" t="n">
        <f aca="false">Raw_Data!E906</f>
        <v>4</v>
      </c>
      <c r="F906" s="4" t="n">
        <f aca="false">ROUND(Raw_Data!F906,2)</f>
        <v>237.43</v>
      </c>
      <c r="G906" s="2" t="str">
        <f aca="false">PROPER(TRIM(Raw_Data!G906))</f>
        <v>262 Main St</v>
      </c>
      <c r="H906" s="2" t="str">
        <f aca="false">PROPER(TRIM(Raw_Data!H906))</f>
        <v>Cash</v>
      </c>
      <c r="I906" s="2" t="str">
        <f aca="false">PROPER(TRIM(Raw_Data!I906))</f>
        <v>Cancelled</v>
      </c>
      <c r="J906" s="2" t="str">
        <f aca="false">TRIM(UPPER(Raw_Data!J906))</f>
        <v>TRK41146508</v>
      </c>
      <c r="K906" s="2" t="n">
        <f aca="false">Raw_Data!K906</f>
        <v>8</v>
      </c>
      <c r="L906" s="2" t="str">
        <f aca="false">IF(TRIM(Raw_Data!L906)="","No Coupon",TRIM(UPPER(Raw_Data!L906)))</f>
        <v>WINTER15</v>
      </c>
      <c r="M906" s="2" t="str">
        <f aca="false">PROPER(TRIM(Raw_Data!M906))</f>
        <v>Referral</v>
      </c>
      <c r="N906" s="4" t="n">
        <f aca="false">ROUND(E906*F906,2)</f>
        <v>949.72</v>
      </c>
      <c r="O906" s="2" t="str">
        <f aca="false">IF(COUNTIF($A$2:$A$1201,A906)&gt;1,"DUPLICATE","Unique")</f>
        <v>Unique</v>
      </c>
      <c r="P906" s="2" t="str">
        <f aca="false">IF(L906="","MISSING","OK")</f>
        <v>OK</v>
      </c>
      <c r="Q906" s="2" t="str">
        <f aca="false">IF(ISNUMBER(B906),"OK","BAD DATE")</f>
        <v>OK</v>
      </c>
      <c r="R906" s="2" t="str">
        <f aca="false">IF(ROUND(F906,2)=F906,"OK","FIX")</f>
        <v>OK</v>
      </c>
    </row>
    <row r="907" customFormat="false" ht="15" hidden="false" customHeight="false" outlineLevel="0" collapsed="false">
      <c r="A907" s="2" t="str">
        <f aca="false">TRIM(UPPER(Raw_Data!A907))</f>
        <v>ORD200905</v>
      </c>
      <c r="B907" s="3" t="n">
        <f aca="false">IF(ISNUMBER(Raw_Data!B907),Raw_Data!B907,DATEVALUE(Raw_Data!B907))</f>
        <v>45253</v>
      </c>
      <c r="C907" s="2" t="str">
        <f aca="false">TRIM(UPPER(Raw_Data!C907))</f>
        <v>C67818</v>
      </c>
      <c r="D907" s="2" t="str">
        <f aca="false">PROPER(TRIM(Raw_Data!D907))</f>
        <v>Laptop</v>
      </c>
      <c r="E907" s="2" t="n">
        <f aca="false">Raw_Data!E907</f>
        <v>1</v>
      </c>
      <c r="F907" s="4" t="n">
        <f aca="false">ROUND(Raw_Data!F907,2)</f>
        <v>442.39</v>
      </c>
      <c r="G907" s="2" t="str">
        <f aca="false">PROPER(TRIM(Raw_Data!G907))</f>
        <v>101 Main St</v>
      </c>
      <c r="H907" s="2" t="str">
        <f aca="false">PROPER(TRIM(Raw_Data!H907))</f>
        <v>Gift Card</v>
      </c>
      <c r="I907" s="2" t="str">
        <f aca="false">PROPER(TRIM(Raw_Data!I907))</f>
        <v>Pending</v>
      </c>
      <c r="J907" s="2" t="str">
        <f aca="false">TRIM(UPPER(Raw_Data!J907))</f>
        <v>TRK81978113</v>
      </c>
      <c r="K907" s="2" t="n">
        <f aca="false">Raw_Data!K907</f>
        <v>6</v>
      </c>
      <c r="L907" s="2" t="str">
        <f aca="false">IF(TRIM(Raw_Data!L907)="","No Coupon",TRIM(UPPER(Raw_Data!L907)))</f>
        <v>FREESHIP</v>
      </c>
      <c r="M907" s="2" t="str">
        <f aca="false">PROPER(TRIM(Raw_Data!M907))</f>
        <v>Facebook</v>
      </c>
      <c r="N907" s="4" t="n">
        <f aca="false">ROUND(E907*F907,2)</f>
        <v>442.39</v>
      </c>
      <c r="O907" s="2" t="str">
        <f aca="false">IF(COUNTIF($A$2:$A$1201,A907)&gt;1,"DUPLICATE","Unique")</f>
        <v>Unique</v>
      </c>
      <c r="P907" s="2" t="str">
        <f aca="false">IF(L907="","MISSING","OK")</f>
        <v>OK</v>
      </c>
      <c r="Q907" s="2" t="str">
        <f aca="false">IF(ISNUMBER(B907),"OK","BAD DATE")</f>
        <v>OK</v>
      </c>
      <c r="R907" s="2" t="str">
        <f aca="false">IF(ROUND(F907,2)=F907,"OK","FIX")</f>
        <v>OK</v>
      </c>
    </row>
    <row r="908" customFormat="false" ht="15" hidden="false" customHeight="false" outlineLevel="0" collapsed="false">
      <c r="A908" s="2" t="str">
        <f aca="false">TRIM(UPPER(Raw_Data!A908))</f>
        <v>ORD200906</v>
      </c>
      <c r="B908" s="3" t="n">
        <f aca="false">IF(ISNUMBER(Raw_Data!B908),Raw_Data!B908,DATEVALUE(Raw_Data!B908))</f>
        <v>45538</v>
      </c>
      <c r="C908" s="2" t="str">
        <f aca="false">TRIM(UPPER(Raw_Data!C908))</f>
        <v>C49938</v>
      </c>
      <c r="D908" s="2" t="str">
        <f aca="false">PROPER(TRIM(Raw_Data!D908))</f>
        <v>Monitor</v>
      </c>
      <c r="E908" s="2" t="n">
        <f aca="false">Raw_Data!E908</f>
        <v>1</v>
      </c>
      <c r="F908" s="4" t="n">
        <f aca="false">ROUND(Raw_Data!F908,2)</f>
        <v>62.12</v>
      </c>
      <c r="G908" s="2" t="str">
        <f aca="false">PROPER(TRIM(Raw_Data!G908))</f>
        <v>141 Main St</v>
      </c>
      <c r="H908" s="2" t="str">
        <f aca="false">PROPER(TRIM(Raw_Data!H908))</f>
        <v>Cash</v>
      </c>
      <c r="I908" s="2" t="str">
        <f aca="false">PROPER(TRIM(Raw_Data!I908))</f>
        <v>Returned</v>
      </c>
      <c r="J908" s="2" t="str">
        <f aca="false">TRIM(UPPER(Raw_Data!J908))</f>
        <v>TRK80175572</v>
      </c>
      <c r="K908" s="2" t="n">
        <f aca="false">Raw_Data!K908</f>
        <v>2</v>
      </c>
      <c r="L908" s="2" t="str">
        <f aca="false">IF(TRIM(Raw_Data!L908)="","No Coupon",TRIM(UPPER(Raw_Data!L908)))</f>
        <v>No Coupon</v>
      </c>
      <c r="M908" s="2" t="str">
        <f aca="false">PROPER(TRIM(Raw_Data!M908))</f>
        <v>Email</v>
      </c>
      <c r="N908" s="4" t="n">
        <f aca="false">ROUND(E908*F908,2)</f>
        <v>62.12</v>
      </c>
      <c r="O908" s="2" t="str">
        <f aca="false">IF(COUNTIF($A$2:$A$1201,A908)&gt;1,"DUPLICATE","Unique")</f>
        <v>Unique</v>
      </c>
      <c r="P908" s="2" t="str">
        <f aca="false">IF(L908="","MISSING","OK")</f>
        <v>OK</v>
      </c>
      <c r="Q908" s="2" t="str">
        <f aca="false">IF(ISNUMBER(B908),"OK","BAD DATE")</f>
        <v>OK</v>
      </c>
      <c r="R908" s="2" t="str">
        <f aca="false">IF(ROUND(F908,2)=F908,"OK","FIX")</f>
        <v>OK</v>
      </c>
    </row>
    <row r="909" customFormat="false" ht="15" hidden="false" customHeight="false" outlineLevel="0" collapsed="false">
      <c r="A909" s="2" t="str">
        <f aca="false">TRIM(UPPER(Raw_Data!A909))</f>
        <v>ORD200907</v>
      </c>
      <c r="B909" s="3" t="n">
        <f aca="false">IF(ISNUMBER(Raw_Data!B909),Raw_Data!B909,DATEVALUE(Raw_Data!B909))</f>
        <v>45508</v>
      </c>
      <c r="C909" s="2" t="str">
        <f aca="false">TRIM(UPPER(Raw_Data!C909))</f>
        <v>C90898</v>
      </c>
      <c r="D909" s="2" t="str">
        <f aca="false">PROPER(TRIM(Raw_Data!D909))</f>
        <v>Desk</v>
      </c>
      <c r="E909" s="2" t="n">
        <f aca="false">Raw_Data!E909</f>
        <v>5</v>
      </c>
      <c r="F909" s="4" t="n">
        <f aca="false">ROUND(Raw_Data!F909,2)</f>
        <v>298.39</v>
      </c>
      <c r="G909" s="2" t="str">
        <f aca="false">PROPER(TRIM(Raw_Data!G909))</f>
        <v>583 Main St</v>
      </c>
      <c r="H909" s="2" t="str">
        <f aca="false">PROPER(TRIM(Raw_Data!H909))</f>
        <v>Gift Card</v>
      </c>
      <c r="I909" s="2" t="str">
        <f aca="false">PROPER(TRIM(Raw_Data!I909))</f>
        <v>Cancelled</v>
      </c>
      <c r="J909" s="2" t="str">
        <f aca="false">TRIM(UPPER(Raw_Data!J909))</f>
        <v>TRK52935170</v>
      </c>
      <c r="K909" s="2" t="n">
        <f aca="false">Raw_Data!K909</f>
        <v>7</v>
      </c>
      <c r="L909" s="2" t="str">
        <f aca="false">IF(TRIM(Raw_Data!L909)="","No Coupon",TRIM(UPPER(Raw_Data!L909)))</f>
        <v>WINTER15</v>
      </c>
      <c r="M909" s="2" t="str">
        <f aca="false">PROPER(TRIM(Raw_Data!M909))</f>
        <v>Referral</v>
      </c>
      <c r="N909" s="4" t="n">
        <f aca="false">ROUND(E909*F909,2)</f>
        <v>1491.95</v>
      </c>
      <c r="O909" s="2" t="str">
        <f aca="false">IF(COUNTIF($A$2:$A$1201,A909)&gt;1,"DUPLICATE","Unique")</f>
        <v>Unique</v>
      </c>
      <c r="P909" s="2" t="str">
        <f aca="false">IF(L909="","MISSING","OK")</f>
        <v>OK</v>
      </c>
      <c r="Q909" s="2" t="str">
        <f aca="false">IF(ISNUMBER(B909),"OK","BAD DATE")</f>
        <v>OK</v>
      </c>
      <c r="R909" s="2" t="str">
        <f aca="false">IF(ROUND(F909,2)=F909,"OK","FIX")</f>
        <v>OK</v>
      </c>
    </row>
    <row r="910" customFormat="false" ht="15" hidden="false" customHeight="false" outlineLevel="0" collapsed="false">
      <c r="A910" s="2" t="str">
        <f aca="false">TRIM(UPPER(Raw_Data!A910))</f>
        <v>ORD200908</v>
      </c>
      <c r="B910" s="3" t="n">
        <f aca="false">IF(ISNUMBER(Raw_Data!B910),Raw_Data!B910,DATEVALUE(Raw_Data!B910))</f>
        <v>45783</v>
      </c>
      <c r="C910" s="2" t="str">
        <f aca="false">TRIM(UPPER(Raw_Data!C910))</f>
        <v>C35117</v>
      </c>
      <c r="D910" s="2" t="str">
        <f aca="false">PROPER(TRIM(Raw_Data!D910))</f>
        <v>Desk</v>
      </c>
      <c r="E910" s="2" t="n">
        <f aca="false">Raw_Data!E910</f>
        <v>2</v>
      </c>
      <c r="F910" s="4" t="n">
        <f aca="false">ROUND(Raw_Data!F910,2)</f>
        <v>697.93</v>
      </c>
      <c r="G910" s="2" t="str">
        <f aca="false">PROPER(TRIM(Raw_Data!G910))</f>
        <v>332 Main St</v>
      </c>
      <c r="H910" s="2" t="str">
        <f aca="false">PROPER(TRIM(Raw_Data!H910))</f>
        <v>Credit Card</v>
      </c>
      <c r="I910" s="2" t="str">
        <f aca="false">PROPER(TRIM(Raw_Data!I910))</f>
        <v>Cancelled</v>
      </c>
      <c r="J910" s="2" t="str">
        <f aca="false">TRIM(UPPER(Raw_Data!J910))</f>
        <v>TRK27155709</v>
      </c>
      <c r="K910" s="2" t="n">
        <f aca="false">Raw_Data!K910</f>
        <v>2</v>
      </c>
      <c r="L910" s="2" t="str">
        <f aca="false">IF(TRIM(Raw_Data!L910)="","No Coupon",TRIM(UPPER(Raw_Data!L910)))</f>
        <v>SAVE10</v>
      </c>
      <c r="M910" s="2" t="str">
        <f aca="false">PROPER(TRIM(Raw_Data!M910))</f>
        <v>Google</v>
      </c>
      <c r="N910" s="4" t="n">
        <f aca="false">ROUND(E910*F910,2)</f>
        <v>1395.86</v>
      </c>
      <c r="O910" s="2" t="str">
        <f aca="false">IF(COUNTIF($A$2:$A$1201,A910)&gt;1,"DUPLICATE","Unique")</f>
        <v>Unique</v>
      </c>
      <c r="P910" s="2" t="str">
        <f aca="false">IF(L910="","MISSING","OK")</f>
        <v>OK</v>
      </c>
      <c r="Q910" s="2" t="str">
        <f aca="false">IF(ISNUMBER(B910),"OK","BAD DATE")</f>
        <v>OK</v>
      </c>
      <c r="R910" s="2" t="str">
        <f aca="false">IF(ROUND(F910,2)=F910,"OK","FIX")</f>
        <v>OK</v>
      </c>
    </row>
    <row r="911" customFormat="false" ht="15" hidden="false" customHeight="false" outlineLevel="0" collapsed="false">
      <c r="A911" s="2" t="str">
        <f aca="false">TRIM(UPPER(Raw_Data!A911))</f>
        <v>ORD200909</v>
      </c>
      <c r="B911" s="3" t="n">
        <f aca="false">IF(ISNUMBER(Raw_Data!B911),Raw_Data!B911,DATEVALUE(Raw_Data!B911))</f>
        <v>45439</v>
      </c>
      <c r="C911" s="2" t="str">
        <f aca="false">TRIM(UPPER(Raw_Data!C911))</f>
        <v>C60203</v>
      </c>
      <c r="D911" s="2" t="str">
        <f aca="false">PROPER(TRIM(Raw_Data!D911))</f>
        <v>Tablet</v>
      </c>
      <c r="E911" s="2" t="n">
        <f aca="false">Raw_Data!E911</f>
        <v>2</v>
      </c>
      <c r="F911" s="4" t="n">
        <f aca="false">ROUND(Raw_Data!F911,2)</f>
        <v>291.85</v>
      </c>
      <c r="G911" s="2" t="str">
        <f aca="false">PROPER(TRIM(Raw_Data!G911))</f>
        <v>569 Main St</v>
      </c>
      <c r="H911" s="2" t="str">
        <f aca="false">PROPER(TRIM(Raw_Data!H911))</f>
        <v>Cash</v>
      </c>
      <c r="I911" s="2" t="str">
        <f aca="false">PROPER(TRIM(Raw_Data!I911))</f>
        <v>Shipped</v>
      </c>
      <c r="J911" s="2" t="str">
        <f aca="false">TRIM(UPPER(Raw_Data!J911))</f>
        <v>TRK76525279</v>
      </c>
      <c r="K911" s="2" t="n">
        <f aca="false">Raw_Data!K911</f>
        <v>5</v>
      </c>
      <c r="L911" s="2" t="str">
        <f aca="false">IF(TRIM(Raw_Data!L911)="","No Coupon",TRIM(UPPER(Raw_Data!L911)))</f>
        <v>FREESHIP</v>
      </c>
      <c r="M911" s="2" t="str">
        <f aca="false">PROPER(TRIM(Raw_Data!M911))</f>
        <v>Instagram</v>
      </c>
      <c r="N911" s="4" t="n">
        <f aca="false">ROUND(E911*F911,2)</f>
        <v>583.7</v>
      </c>
      <c r="O911" s="2" t="str">
        <f aca="false">IF(COUNTIF($A$2:$A$1201,A911)&gt;1,"DUPLICATE","Unique")</f>
        <v>Unique</v>
      </c>
      <c r="P911" s="2" t="str">
        <f aca="false">IF(L911="","MISSING","OK")</f>
        <v>OK</v>
      </c>
      <c r="Q911" s="2" t="str">
        <f aca="false">IF(ISNUMBER(B911),"OK","BAD DATE")</f>
        <v>OK</v>
      </c>
      <c r="R911" s="2" t="str">
        <f aca="false">IF(ROUND(F911,2)=F911,"OK","FIX")</f>
        <v>OK</v>
      </c>
    </row>
    <row r="912" customFormat="false" ht="15" hidden="false" customHeight="false" outlineLevel="0" collapsed="false">
      <c r="A912" s="2" t="str">
        <f aca="false">TRIM(UPPER(Raw_Data!A912))</f>
        <v>ORD200910</v>
      </c>
      <c r="B912" s="3" t="n">
        <f aca="false">IF(ISNUMBER(Raw_Data!B912),Raw_Data!B912,DATEVALUE(Raw_Data!B912))</f>
        <v>45443</v>
      </c>
      <c r="C912" s="2" t="str">
        <f aca="false">TRIM(UPPER(Raw_Data!C912))</f>
        <v>C36174</v>
      </c>
      <c r="D912" s="2" t="str">
        <f aca="false">PROPER(TRIM(Raw_Data!D912))</f>
        <v>Printer</v>
      </c>
      <c r="E912" s="2" t="n">
        <f aca="false">Raw_Data!E912</f>
        <v>3</v>
      </c>
      <c r="F912" s="4" t="n">
        <f aca="false">ROUND(Raw_Data!F912,2)</f>
        <v>308.98</v>
      </c>
      <c r="G912" s="2" t="str">
        <f aca="false">PROPER(TRIM(Raw_Data!G912))</f>
        <v>348 Main St</v>
      </c>
      <c r="H912" s="2" t="str">
        <f aca="false">PROPER(TRIM(Raw_Data!H912))</f>
        <v>Cash</v>
      </c>
      <c r="I912" s="2" t="str">
        <f aca="false">PROPER(TRIM(Raw_Data!I912))</f>
        <v>Delivered</v>
      </c>
      <c r="J912" s="2" t="str">
        <f aca="false">TRIM(UPPER(Raw_Data!J912))</f>
        <v>TRK26397548</v>
      </c>
      <c r="K912" s="2" t="n">
        <f aca="false">Raw_Data!K912</f>
        <v>3</v>
      </c>
      <c r="L912" s="2" t="str">
        <f aca="false">IF(TRIM(Raw_Data!L912)="","No Coupon",TRIM(UPPER(Raw_Data!L912)))</f>
        <v>SAVE10</v>
      </c>
      <c r="M912" s="2" t="str">
        <f aca="false">PROPER(TRIM(Raw_Data!M912))</f>
        <v>Instagram</v>
      </c>
      <c r="N912" s="4" t="n">
        <f aca="false">ROUND(E912*F912,2)</f>
        <v>926.94</v>
      </c>
      <c r="O912" s="2" t="str">
        <f aca="false">IF(COUNTIF($A$2:$A$1201,A912)&gt;1,"DUPLICATE","Unique")</f>
        <v>Unique</v>
      </c>
      <c r="P912" s="2" t="str">
        <f aca="false">IF(L912="","MISSING","OK")</f>
        <v>OK</v>
      </c>
      <c r="Q912" s="2" t="str">
        <f aca="false">IF(ISNUMBER(B912),"OK","BAD DATE")</f>
        <v>OK</v>
      </c>
      <c r="R912" s="2" t="str">
        <f aca="false">IF(ROUND(F912,2)=F912,"OK","FIX")</f>
        <v>OK</v>
      </c>
    </row>
    <row r="913" customFormat="false" ht="15" hidden="false" customHeight="false" outlineLevel="0" collapsed="false">
      <c r="A913" s="2" t="str">
        <f aca="false">TRIM(UPPER(Raw_Data!A913))</f>
        <v>ORD200911</v>
      </c>
      <c r="B913" s="3" t="n">
        <f aca="false">IF(ISNUMBER(Raw_Data!B913),Raw_Data!B913,DATEVALUE(Raw_Data!B913))</f>
        <v>45517</v>
      </c>
      <c r="C913" s="2" t="str">
        <f aca="false">TRIM(UPPER(Raw_Data!C913))</f>
        <v>C80872</v>
      </c>
      <c r="D913" s="2" t="str">
        <f aca="false">PROPER(TRIM(Raw_Data!D913))</f>
        <v>Desk</v>
      </c>
      <c r="E913" s="2" t="n">
        <f aca="false">Raw_Data!E913</f>
        <v>5</v>
      </c>
      <c r="F913" s="4" t="n">
        <f aca="false">ROUND(Raw_Data!F913,2)</f>
        <v>396.86</v>
      </c>
      <c r="G913" s="2" t="str">
        <f aca="false">PROPER(TRIM(Raw_Data!G913))</f>
        <v>593 Main St</v>
      </c>
      <c r="H913" s="2" t="str">
        <f aca="false">PROPER(TRIM(Raw_Data!H913))</f>
        <v>Cash</v>
      </c>
      <c r="I913" s="2" t="str">
        <f aca="false">PROPER(TRIM(Raw_Data!I913))</f>
        <v>Cancelled</v>
      </c>
      <c r="J913" s="2" t="str">
        <f aca="false">TRIM(UPPER(Raw_Data!J913))</f>
        <v>TRK43967487</v>
      </c>
      <c r="K913" s="2" t="n">
        <f aca="false">Raw_Data!K913</f>
        <v>9</v>
      </c>
      <c r="L913" s="2" t="str">
        <f aca="false">IF(TRIM(Raw_Data!L913)="","No Coupon",TRIM(UPPER(Raw_Data!L913)))</f>
        <v>SAVE10</v>
      </c>
      <c r="M913" s="2" t="str">
        <f aca="false">PROPER(TRIM(Raw_Data!M913))</f>
        <v>Instagram</v>
      </c>
      <c r="N913" s="4" t="n">
        <f aca="false">ROUND(E913*F913,2)</f>
        <v>1984.3</v>
      </c>
      <c r="O913" s="2" t="str">
        <f aca="false">IF(COUNTIF($A$2:$A$1201,A913)&gt;1,"DUPLICATE","Unique")</f>
        <v>Unique</v>
      </c>
      <c r="P913" s="2" t="str">
        <f aca="false">IF(L913="","MISSING","OK")</f>
        <v>OK</v>
      </c>
      <c r="Q913" s="2" t="str">
        <f aca="false">IF(ISNUMBER(B913),"OK","BAD DATE")</f>
        <v>OK</v>
      </c>
      <c r="R913" s="2" t="str">
        <f aca="false">IF(ROUND(F913,2)=F913,"OK","FIX")</f>
        <v>OK</v>
      </c>
    </row>
    <row r="914" customFormat="false" ht="15" hidden="false" customHeight="false" outlineLevel="0" collapsed="false">
      <c r="A914" s="2" t="str">
        <f aca="false">TRIM(UPPER(Raw_Data!A914))</f>
        <v>ORD200912</v>
      </c>
      <c r="B914" s="3" t="n">
        <f aca="false">IF(ISNUMBER(Raw_Data!B914),Raw_Data!B914,DATEVALUE(Raw_Data!B914))</f>
        <v>45313</v>
      </c>
      <c r="C914" s="2" t="str">
        <f aca="false">TRIM(UPPER(Raw_Data!C914))</f>
        <v>C67604</v>
      </c>
      <c r="D914" s="2" t="str">
        <f aca="false">PROPER(TRIM(Raw_Data!D914))</f>
        <v>Desk</v>
      </c>
      <c r="E914" s="2" t="n">
        <f aca="false">Raw_Data!E914</f>
        <v>2</v>
      </c>
      <c r="F914" s="4" t="n">
        <f aca="false">ROUND(Raw_Data!F914,2)</f>
        <v>139.69</v>
      </c>
      <c r="G914" s="2" t="str">
        <f aca="false">PROPER(TRIM(Raw_Data!G914))</f>
        <v>318 Main St</v>
      </c>
      <c r="H914" s="2" t="str">
        <f aca="false">PROPER(TRIM(Raw_Data!H914))</f>
        <v>Online</v>
      </c>
      <c r="I914" s="2" t="str">
        <f aca="false">PROPER(TRIM(Raw_Data!I914))</f>
        <v>Returned</v>
      </c>
      <c r="J914" s="2" t="str">
        <f aca="false">TRIM(UPPER(Raw_Data!J914))</f>
        <v>TRK85545920</v>
      </c>
      <c r="K914" s="2" t="n">
        <f aca="false">Raw_Data!K914</f>
        <v>7</v>
      </c>
      <c r="L914" s="2" t="str">
        <f aca="false">IF(TRIM(Raw_Data!L914)="","No Coupon",TRIM(UPPER(Raw_Data!L914)))</f>
        <v>FREESHIP</v>
      </c>
      <c r="M914" s="2" t="str">
        <f aca="false">PROPER(TRIM(Raw_Data!M914))</f>
        <v>Email</v>
      </c>
      <c r="N914" s="4" t="n">
        <f aca="false">ROUND(E914*F914,2)</f>
        <v>279.38</v>
      </c>
      <c r="O914" s="2" t="str">
        <f aca="false">IF(COUNTIF($A$2:$A$1201,A914)&gt;1,"DUPLICATE","Unique")</f>
        <v>Unique</v>
      </c>
      <c r="P914" s="2" t="str">
        <f aca="false">IF(L914="","MISSING","OK")</f>
        <v>OK</v>
      </c>
      <c r="Q914" s="2" t="str">
        <f aca="false">IF(ISNUMBER(B914),"OK","BAD DATE")</f>
        <v>OK</v>
      </c>
      <c r="R914" s="2" t="str">
        <f aca="false">IF(ROUND(F914,2)=F914,"OK","FIX")</f>
        <v>OK</v>
      </c>
    </row>
    <row r="915" customFormat="false" ht="15" hidden="false" customHeight="false" outlineLevel="0" collapsed="false">
      <c r="A915" s="2" t="str">
        <f aca="false">TRIM(UPPER(Raw_Data!A915))</f>
        <v>ORD200913</v>
      </c>
      <c r="B915" s="3" t="n">
        <f aca="false">IF(ISNUMBER(Raw_Data!B915),Raw_Data!B915,DATEVALUE(Raw_Data!B915))</f>
        <v>44973</v>
      </c>
      <c r="C915" s="2" t="str">
        <f aca="false">TRIM(UPPER(Raw_Data!C915))</f>
        <v>C45599</v>
      </c>
      <c r="D915" s="2" t="str">
        <f aca="false">PROPER(TRIM(Raw_Data!D915))</f>
        <v>Printer</v>
      </c>
      <c r="E915" s="2" t="n">
        <f aca="false">Raw_Data!E915</f>
        <v>5</v>
      </c>
      <c r="F915" s="4" t="n">
        <f aca="false">ROUND(Raw_Data!F915,2)</f>
        <v>475.95</v>
      </c>
      <c r="G915" s="2" t="str">
        <f aca="false">PROPER(TRIM(Raw_Data!G915))</f>
        <v>505 Main St</v>
      </c>
      <c r="H915" s="2" t="str">
        <f aca="false">PROPER(TRIM(Raw_Data!H915))</f>
        <v>Credit Card</v>
      </c>
      <c r="I915" s="2" t="str">
        <f aca="false">PROPER(TRIM(Raw_Data!I915))</f>
        <v>Returned</v>
      </c>
      <c r="J915" s="2" t="str">
        <f aca="false">TRIM(UPPER(Raw_Data!J915))</f>
        <v>TRK62277685</v>
      </c>
      <c r="K915" s="2" t="n">
        <f aca="false">Raw_Data!K915</f>
        <v>8</v>
      </c>
      <c r="L915" s="2" t="str">
        <f aca="false">IF(TRIM(Raw_Data!L915)="","No Coupon",TRIM(UPPER(Raw_Data!L915)))</f>
        <v>WINTER15</v>
      </c>
      <c r="M915" s="2" t="str">
        <f aca="false">PROPER(TRIM(Raw_Data!M915))</f>
        <v>Facebook</v>
      </c>
      <c r="N915" s="4" t="n">
        <f aca="false">ROUND(E915*F915,2)</f>
        <v>2379.75</v>
      </c>
      <c r="O915" s="2" t="str">
        <f aca="false">IF(COUNTIF($A$2:$A$1201,A915)&gt;1,"DUPLICATE","Unique")</f>
        <v>Unique</v>
      </c>
      <c r="P915" s="2" t="str">
        <f aca="false">IF(L915="","MISSING","OK")</f>
        <v>OK</v>
      </c>
      <c r="Q915" s="2" t="str">
        <f aca="false">IF(ISNUMBER(B915),"OK","BAD DATE")</f>
        <v>OK</v>
      </c>
      <c r="R915" s="2" t="str">
        <f aca="false">IF(ROUND(F915,2)=F915,"OK","FIX")</f>
        <v>OK</v>
      </c>
    </row>
    <row r="916" customFormat="false" ht="15" hidden="false" customHeight="false" outlineLevel="0" collapsed="false">
      <c r="A916" s="2" t="str">
        <f aca="false">TRIM(UPPER(Raw_Data!A916))</f>
        <v>ORD200914</v>
      </c>
      <c r="B916" s="3" t="n">
        <f aca="false">IF(ISNUMBER(Raw_Data!B916),Raw_Data!B916,DATEVALUE(Raw_Data!B916))</f>
        <v>45698</v>
      </c>
      <c r="C916" s="2" t="str">
        <f aca="false">TRIM(UPPER(Raw_Data!C916))</f>
        <v>C70352</v>
      </c>
      <c r="D916" s="2" t="str">
        <f aca="false">PROPER(TRIM(Raw_Data!D916))</f>
        <v>Desk</v>
      </c>
      <c r="E916" s="2" t="n">
        <f aca="false">Raw_Data!E916</f>
        <v>1</v>
      </c>
      <c r="F916" s="4" t="n">
        <f aca="false">ROUND(Raw_Data!F916,2)</f>
        <v>626.6</v>
      </c>
      <c r="G916" s="2" t="str">
        <f aca="false">PROPER(TRIM(Raw_Data!G916))</f>
        <v>955 Main St</v>
      </c>
      <c r="H916" s="2" t="str">
        <f aca="false">PROPER(TRIM(Raw_Data!H916))</f>
        <v>Gift Card</v>
      </c>
      <c r="I916" s="2" t="str">
        <f aca="false">PROPER(TRIM(Raw_Data!I916))</f>
        <v>Returned</v>
      </c>
      <c r="J916" s="2" t="str">
        <f aca="false">TRIM(UPPER(Raw_Data!J916))</f>
        <v>TRK51589589</v>
      </c>
      <c r="K916" s="2" t="n">
        <f aca="false">Raw_Data!K916</f>
        <v>4</v>
      </c>
      <c r="L916" s="2" t="str">
        <f aca="false">IF(TRIM(Raw_Data!L916)="","No Coupon",TRIM(UPPER(Raw_Data!L916)))</f>
        <v>WINTER15</v>
      </c>
      <c r="M916" s="2" t="str">
        <f aca="false">PROPER(TRIM(Raw_Data!M916))</f>
        <v>Facebook</v>
      </c>
      <c r="N916" s="4" t="n">
        <f aca="false">ROUND(E916*F916,2)</f>
        <v>626.6</v>
      </c>
      <c r="O916" s="2" t="str">
        <f aca="false">IF(COUNTIF($A$2:$A$1201,A916)&gt;1,"DUPLICATE","Unique")</f>
        <v>Unique</v>
      </c>
      <c r="P916" s="2" t="str">
        <f aca="false">IF(L916="","MISSING","OK")</f>
        <v>OK</v>
      </c>
      <c r="Q916" s="2" t="str">
        <f aca="false">IF(ISNUMBER(B916),"OK","BAD DATE")</f>
        <v>OK</v>
      </c>
      <c r="R916" s="2" t="str">
        <f aca="false">IF(ROUND(F916,2)=F916,"OK","FIX")</f>
        <v>OK</v>
      </c>
    </row>
    <row r="917" customFormat="false" ht="15" hidden="false" customHeight="false" outlineLevel="0" collapsed="false">
      <c r="A917" s="2" t="str">
        <f aca="false">TRIM(UPPER(Raw_Data!A917))</f>
        <v>ORD200915</v>
      </c>
      <c r="B917" s="3" t="n">
        <f aca="false">IF(ISNUMBER(Raw_Data!B917),Raw_Data!B917,DATEVALUE(Raw_Data!B917))</f>
        <v>45338</v>
      </c>
      <c r="C917" s="2" t="str">
        <f aca="false">TRIM(UPPER(Raw_Data!C917))</f>
        <v>C20643</v>
      </c>
      <c r="D917" s="2" t="str">
        <f aca="false">PROPER(TRIM(Raw_Data!D917))</f>
        <v>Laptop</v>
      </c>
      <c r="E917" s="2" t="n">
        <f aca="false">Raw_Data!E917</f>
        <v>4</v>
      </c>
      <c r="F917" s="4" t="n">
        <f aca="false">ROUND(Raw_Data!F917,2)</f>
        <v>502.99</v>
      </c>
      <c r="G917" s="2" t="str">
        <f aca="false">PROPER(TRIM(Raw_Data!G917))</f>
        <v>939 Main St</v>
      </c>
      <c r="H917" s="2" t="str">
        <f aca="false">PROPER(TRIM(Raw_Data!H917))</f>
        <v>Debit Card</v>
      </c>
      <c r="I917" s="2" t="str">
        <f aca="false">PROPER(TRIM(Raw_Data!I917))</f>
        <v>Shipped</v>
      </c>
      <c r="J917" s="2" t="str">
        <f aca="false">TRIM(UPPER(Raw_Data!J917))</f>
        <v>TRK30736692</v>
      </c>
      <c r="K917" s="2" t="n">
        <f aca="false">Raw_Data!K917</f>
        <v>4</v>
      </c>
      <c r="L917" s="2" t="str">
        <f aca="false">IF(TRIM(Raw_Data!L917)="","No Coupon",TRIM(UPPER(Raw_Data!L917)))</f>
        <v>WINTER15</v>
      </c>
      <c r="M917" s="2" t="str">
        <f aca="false">PROPER(TRIM(Raw_Data!M917))</f>
        <v>Referral</v>
      </c>
      <c r="N917" s="4" t="n">
        <f aca="false">ROUND(E917*F917,2)</f>
        <v>2011.96</v>
      </c>
      <c r="O917" s="2" t="str">
        <f aca="false">IF(COUNTIF($A$2:$A$1201,A917)&gt;1,"DUPLICATE","Unique")</f>
        <v>Unique</v>
      </c>
      <c r="P917" s="2" t="str">
        <f aca="false">IF(L917="","MISSING","OK")</f>
        <v>OK</v>
      </c>
      <c r="Q917" s="2" t="str">
        <f aca="false">IF(ISNUMBER(B917),"OK","BAD DATE")</f>
        <v>OK</v>
      </c>
      <c r="R917" s="2" t="str">
        <f aca="false">IF(ROUND(F917,2)=F917,"OK","FIX")</f>
        <v>OK</v>
      </c>
    </row>
    <row r="918" customFormat="false" ht="15" hidden="false" customHeight="false" outlineLevel="0" collapsed="false">
      <c r="A918" s="2" t="str">
        <f aca="false">TRIM(UPPER(Raw_Data!A918))</f>
        <v>ORD200916</v>
      </c>
      <c r="B918" s="3" t="n">
        <f aca="false">IF(ISNUMBER(Raw_Data!B918),Raw_Data!B918,DATEVALUE(Raw_Data!B918))</f>
        <v>45464</v>
      </c>
      <c r="C918" s="2" t="str">
        <f aca="false">TRIM(UPPER(Raw_Data!C918))</f>
        <v>C35669</v>
      </c>
      <c r="D918" s="2" t="str">
        <f aca="false">PROPER(TRIM(Raw_Data!D918))</f>
        <v>Printer</v>
      </c>
      <c r="E918" s="2" t="n">
        <f aca="false">Raw_Data!E918</f>
        <v>5</v>
      </c>
      <c r="F918" s="4" t="n">
        <f aca="false">ROUND(Raw_Data!F918,2)</f>
        <v>578.83</v>
      </c>
      <c r="G918" s="2" t="str">
        <f aca="false">PROPER(TRIM(Raw_Data!G918))</f>
        <v>165 Main St</v>
      </c>
      <c r="H918" s="2" t="str">
        <f aca="false">PROPER(TRIM(Raw_Data!H918))</f>
        <v>Cash</v>
      </c>
      <c r="I918" s="2" t="str">
        <f aca="false">PROPER(TRIM(Raw_Data!I918))</f>
        <v>Returned</v>
      </c>
      <c r="J918" s="2" t="str">
        <f aca="false">TRIM(UPPER(Raw_Data!J918))</f>
        <v>TRK13928455</v>
      </c>
      <c r="K918" s="2" t="n">
        <f aca="false">Raw_Data!K918</f>
        <v>6</v>
      </c>
      <c r="L918" s="2" t="str">
        <f aca="false">IF(TRIM(Raw_Data!L918)="","No Coupon",TRIM(UPPER(Raw_Data!L918)))</f>
        <v>No Coupon</v>
      </c>
      <c r="M918" s="2" t="str">
        <f aca="false">PROPER(TRIM(Raw_Data!M918))</f>
        <v>Referral</v>
      </c>
      <c r="N918" s="4" t="n">
        <f aca="false">ROUND(E918*F918,2)</f>
        <v>2894.15</v>
      </c>
      <c r="O918" s="2" t="str">
        <f aca="false">IF(COUNTIF($A$2:$A$1201,A918)&gt;1,"DUPLICATE","Unique")</f>
        <v>Unique</v>
      </c>
      <c r="P918" s="2" t="str">
        <f aca="false">IF(L918="","MISSING","OK")</f>
        <v>OK</v>
      </c>
      <c r="Q918" s="2" t="str">
        <f aca="false">IF(ISNUMBER(B918),"OK","BAD DATE")</f>
        <v>OK</v>
      </c>
      <c r="R918" s="2" t="str">
        <f aca="false">IF(ROUND(F918,2)=F918,"OK","FIX")</f>
        <v>OK</v>
      </c>
    </row>
    <row r="919" customFormat="false" ht="15" hidden="false" customHeight="false" outlineLevel="0" collapsed="false">
      <c r="A919" s="2" t="str">
        <f aca="false">TRIM(UPPER(Raw_Data!A919))</f>
        <v>ORD200917</v>
      </c>
      <c r="B919" s="3" t="n">
        <f aca="false">IF(ISNUMBER(Raw_Data!B919),Raw_Data!B919,DATEVALUE(Raw_Data!B919))</f>
        <v>45677</v>
      </c>
      <c r="C919" s="2" t="str">
        <f aca="false">TRIM(UPPER(Raw_Data!C919))</f>
        <v>C65524</v>
      </c>
      <c r="D919" s="2" t="str">
        <f aca="false">PROPER(TRIM(Raw_Data!D919))</f>
        <v>Laptop</v>
      </c>
      <c r="E919" s="2" t="n">
        <f aca="false">Raw_Data!E919</f>
        <v>5</v>
      </c>
      <c r="F919" s="4" t="n">
        <f aca="false">ROUND(Raw_Data!F919,2)</f>
        <v>383.82</v>
      </c>
      <c r="G919" s="2" t="str">
        <f aca="false">PROPER(TRIM(Raw_Data!G919))</f>
        <v>836 Main St</v>
      </c>
      <c r="H919" s="2" t="str">
        <f aca="false">PROPER(TRIM(Raw_Data!H919))</f>
        <v>Credit Card</v>
      </c>
      <c r="I919" s="2" t="str">
        <f aca="false">PROPER(TRIM(Raw_Data!I919))</f>
        <v>Returned</v>
      </c>
      <c r="J919" s="2" t="str">
        <f aca="false">TRIM(UPPER(Raw_Data!J919))</f>
        <v>TRK19315310</v>
      </c>
      <c r="K919" s="2" t="n">
        <f aca="false">Raw_Data!K919</f>
        <v>7</v>
      </c>
      <c r="L919" s="2" t="str">
        <f aca="false">IF(TRIM(Raw_Data!L919)="","No Coupon",TRIM(UPPER(Raw_Data!L919)))</f>
        <v>FREESHIP</v>
      </c>
      <c r="M919" s="2" t="str">
        <f aca="false">PROPER(TRIM(Raw_Data!M919))</f>
        <v>Google</v>
      </c>
      <c r="N919" s="4" t="n">
        <f aca="false">ROUND(E919*F919,2)</f>
        <v>1919.1</v>
      </c>
      <c r="O919" s="2" t="str">
        <f aca="false">IF(COUNTIF($A$2:$A$1201,A919)&gt;1,"DUPLICATE","Unique")</f>
        <v>Unique</v>
      </c>
      <c r="P919" s="2" t="str">
        <f aca="false">IF(L919="","MISSING","OK")</f>
        <v>OK</v>
      </c>
      <c r="Q919" s="2" t="str">
        <f aca="false">IF(ISNUMBER(B919),"OK","BAD DATE")</f>
        <v>OK</v>
      </c>
      <c r="R919" s="2" t="str">
        <f aca="false">IF(ROUND(F919,2)=F919,"OK","FIX")</f>
        <v>OK</v>
      </c>
    </row>
    <row r="920" customFormat="false" ht="15" hidden="false" customHeight="false" outlineLevel="0" collapsed="false">
      <c r="A920" s="2" t="str">
        <f aca="false">TRIM(UPPER(Raw_Data!A920))</f>
        <v>ORD200918</v>
      </c>
      <c r="B920" s="3" t="n">
        <f aca="false">IF(ISNUMBER(Raw_Data!B920),Raw_Data!B920,DATEVALUE(Raw_Data!B920))</f>
        <v>45832</v>
      </c>
      <c r="C920" s="2" t="str">
        <f aca="false">TRIM(UPPER(Raw_Data!C920))</f>
        <v>C74359</v>
      </c>
      <c r="D920" s="2" t="str">
        <f aca="false">PROPER(TRIM(Raw_Data!D920))</f>
        <v>Laptop</v>
      </c>
      <c r="E920" s="2" t="n">
        <f aca="false">Raw_Data!E920</f>
        <v>5</v>
      </c>
      <c r="F920" s="4" t="n">
        <f aca="false">ROUND(Raw_Data!F920,2)</f>
        <v>368.25</v>
      </c>
      <c r="G920" s="2" t="str">
        <f aca="false">PROPER(TRIM(Raw_Data!G920))</f>
        <v>706 Main St</v>
      </c>
      <c r="H920" s="2" t="str">
        <f aca="false">PROPER(TRIM(Raw_Data!H920))</f>
        <v>Online</v>
      </c>
      <c r="I920" s="2" t="str">
        <f aca="false">PROPER(TRIM(Raw_Data!I920))</f>
        <v>Delivered</v>
      </c>
      <c r="J920" s="2" t="str">
        <f aca="false">TRIM(UPPER(Raw_Data!J920))</f>
        <v>TRK18250450</v>
      </c>
      <c r="K920" s="2" t="n">
        <f aca="false">Raw_Data!K920</f>
        <v>5</v>
      </c>
      <c r="L920" s="2" t="str">
        <f aca="false">IF(TRIM(Raw_Data!L920)="","No Coupon",TRIM(UPPER(Raw_Data!L920)))</f>
        <v>No Coupon</v>
      </c>
      <c r="M920" s="2" t="str">
        <f aca="false">PROPER(TRIM(Raw_Data!M920))</f>
        <v>Instagram</v>
      </c>
      <c r="N920" s="4" t="n">
        <f aca="false">ROUND(E920*F920,2)</f>
        <v>1841.25</v>
      </c>
      <c r="O920" s="2" t="str">
        <f aca="false">IF(COUNTIF($A$2:$A$1201,A920)&gt;1,"DUPLICATE","Unique")</f>
        <v>Unique</v>
      </c>
      <c r="P920" s="2" t="str">
        <f aca="false">IF(L920="","MISSING","OK")</f>
        <v>OK</v>
      </c>
      <c r="Q920" s="2" t="str">
        <f aca="false">IF(ISNUMBER(B920),"OK","BAD DATE")</f>
        <v>OK</v>
      </c>
      <c r="R920" s="2" t="str">
        <f aca="false">IF(ROUND(F920,2)=F920,"OK","FIX")</f>
        <v>OK</v>
      </c>
    </row>
    <row r="921" customFormat="false" ht="15" hidden="false" customHeight="false" outlineLevel="0" collapsed="false">
      <c r="A921" s="2" t="str">
        <f aca="false">TRIM(UPPER(Raw_Data!A921))</f>
        <v>ORD200919</v>
      </c>
      <c r="B921" s="3" t="n">
        <f aca="false">IF(ISNUMBER(Raw_Data!B921),Raw_Data!B921,DATEVALUE(Raw_Data!B921))</f>
        <v>45695</v>
      </c>
      <c r="C921" s="2" t="str">
        <f aca="false">TRIM(UPPER(Raw_Data!C921))</f>
        <v>C92086</v>
      </c>
      <c r="D921" s="2" t="str">
        <f aca="false">PROPER(TRIM(Raw_Data!D921))</f>
        <v>Printer</v>
      </c>
      <c r="E921" s="2" t="n">
        <f aca="false">Raw_Data!E921</f>
        <v>2</v>
      </c>
      <c r="F921" s="4" t="n">
        <f aca="false">ROUND(Raw_Data!F921,2)</f>
        <v>374.6</v>
      </c>
      <c r="G921" s="2" t="str">
        <f aca="false">PROPER(TRIM(Raw_Data!G921))</f>
        <v>187 Main St</v>
      </c>
      <c r="H921" s="2" t="str">
        <f aca="false">PROPER(TRIM(Raw_Data!H921))</f>
        <v>Online</v>
      </c>
      <c r="I921" s="2" t="str">
        <f aca="false">PROPER(TRIM(Raw_Data!I921))</f>
        <v>Shipped</v>
      </c>
      <c r="J921" s="2" t="str">
        <f aca="false">TRIM(UPPER(Raw_Data!J921))</f>
        <v>TRK23357668</v>
      </c>
      <c r="K921" s="2" t="n">
        <f aca="false">Raw_Data!K921</f>
        <v>3</v>
      </c>
      <c r="L921" s="2" t="str">
        <f aca="false">IF(TRIM(Raw_Data!L921)="","No Coupon",TRIM(UPPER(Raw_Data!L921)))</f>
        <v>FREESHIP</v>
      </c>
      <c r="M921" s="2" t="str">
        <f aca="false">PROPER(TRIM(Raw_Data!M921))</f>
        <v>Referral</v>
      </c>
      <c r="N921" s="4" t="n">
        <f aca="false">ROUND(E921*F921,2)</f>
        <v>749.2</v>
      </c>
      <c r="O921" s="2" t="str">
        <f aca="false">IF(COUNTIF($A$2:$A$1201,A921)&gt;1,"DUPLICATE","Unique")</f>
        <v>Unique</v>
      </c>
      <c r="P921" s="2" t="str">
        <f aca="false">IF(L921="","MISSING","OK")</f>
        <v>OK</v>
      </c>
      <c r="Q921" s="2" t="str">
        <f aca="false">IF(ISNUMBER(B921),"OK","BAD DATE")</f>
        <v>OK</v>
      </c>
      <c r="R921" s="2" t="str">
        <f aca="false">IF(ROUND(F921,2)=F921,"OK","FIX")</f>
        <v>OK</v>
      </c>
    </row>
    <row r="922" customFormat="false" ht="15" hidden="false" customHeight="false" outlineLevel="0" collapsed="false">
      <c r="A922" s="2" t="str">
        <f aca="false">TRIM(UPPER(Raw_Data!A922))</f>
        <v>ORD200920</v>
      </c>
      <c r="B922" s="3" t="n">
        <f aca="false">IF(ISNUMBER(Raw_Data!B922),Raw_Data!B922,DATEVALUE(Raw_Data!B922))</f>
        <v>45728</v>
      </c>
      <c r="C922" s="2" t="str">
        <f aca="false">TRIM(UPPER(Raw_Data!C922))</f>
        <v>C26137</v>
      </c>
      <c r="D922" s="2" t="str">
        <f aca="false">PROPER(TRIM(Raw_Data!D922))</f>
        <v>Tablet</v>
      </c>
      <c r="E922" s="2" t="n">
        <f aca="false">Raw_Data!E922</f>
        <v>2</v>
      </c>
      <c r="F922" s="4" t="n">
        <f aca="false">ROUND(Raw_Data!F922,2)</f>
        <v>428.09</v>
      </c>
      <c r="G922" s="2" t="str">
        <f aca="false">PROPER(TRIM(Raw_Data!G922))</f>
        <v>978 Main St</v>
      </c>
      <c r="H922" s="2" t="str">
        <f aca="false">PROPER(TRIM(Raw_Data!H922))</f>
        <v>Credit Card</v>
      </c>
      <c r="I922" s="2" t="str">
        <f aca="false">PROPER(TRIM(Raw_Data!I922))</f>
        <v>Returned</v>
      </c>
      <c r="J922" s="2" t="str">
        <f aca="false">TRIM(UPPER(Raw_Data!J922))</f>
        <v>TRK98110407</v>
      </c>
      <c r="K922" s="2" t="n">
        <f aca="false">Raw_Data!K922</f>
        <v>6</v>
      </c>
      <c r="L922" s="2" t="str">
        <f aca="false">IF(TRIM(Raw_Data!L922)="","No Coupon",TRIM(UPPER(Raw_Data!L922)))</f>
        <v>No Coupon</v>
      </c>
      <c r="M922" s="2" t="str">
        <f aca="false">PROPER(TRIM(Raw_Data!M922))</f>
        <v>Instagram</v>
      </c>
      <c r="N922" s="4" t="n">
        <f aca="false">ROUND(E922*F922,2)</f>
        <v>856.18</v>
      </c>
      <c r="O922" s="2" t="str">
        <f aca="false">IF(COUNTIF($A$2:$A$1201,A922)&gt;1,"DUPLICATE","Unique")</f>
        <v>Unique</v>
      </c>
      <c r="P922" s="2" t="str">
        <f aca="false">IF(L922="","MISSING","OK")</f>
        <v>OK</v>
      </c>
      <c r="Q922" s="2" t="str">
        <f aca="false">IF(ISNUMBER(B922),"OK","BAD DATE")</f>
        <v>OK</v>
      </c>
      <c r="R922" s="2" t="str">
        <f aca="false">IF(ROUND(F922,2)=F922,"OK","FIX")</f>
        <v>OK</v>
      </c>
    </row>
    <row r="923" customFormat="false" ht="15" hidden="false" customHeight="false" outlineLevel="0" collapsed="false">
      <c r="A923" s="2" t="str">
        <f aca="false">TRIM(UPPER(Raw_Data!A923))</f>
        <v>ORD200921</v>
      </c>
      <c r="B923" s="3" t="n">
        <f aca="false">IF(ISNUMBER(Raw_Data!B923),Raw_Data!B923,DATEVALUE(Raw_Data!B923))</f>
        <v>45131</v>
      </c>
      <c r="C923" s="2" t="str">
        <f aca="false">TRIM(UPPER(Raw_Data!C923))</f>
        <v>C90573</v>
      </c>
      <c r="D923" s="2" t="str">
        <f aca="false">PROPER(TRIM(Raw_Data!D923))</f>
        <v>Tablet</v>
      </c>
      <c r="E923" s="2" t="n">
        <f aca="false">Raw_Data!E923</f>
        <v>1</v>
      </c>
      <c r="F923" s="4" t="n">
        <f aca="false">ROUND(Raw_Data!F923,2)</f>
        <v>438.93</v>
      </c>
      <c r="G923" s="2" t="str">
        <f aca="false">PROPER(TRIM(Raw_Data!G923))</f>
        <v>144 Main St</v>
      </c>
      <c r="H923" s="2" t="str">
        <f aca="false">PROPER(TRIM(Raw_Data!H923))</f>
        <v>Gift Card</v>
      </c>
      <c r="I923" s="2" t="str">
        <f aca="false">PROPER(TRIM(Raw_Data!I923))</f>
        <v>Cancelled</v>
      </c>
      <c r="J923" s="2" t="str">
        <f aca="false">TRIM(UPPER(Raw_Data!J923))</f>
        <v>TRK90075720</v>
      </c>
      <c r="K923" s="2" t="n">
        <f aca="false">Raw_Data!K923</f>
        <v>3</v>
      </c>
      <c r="L923" s="2" t="str">
        <f aca="false">IF(TRIM(Raw_Data!L923)="","No Coupon",TRIM(UPPER(Raw_Data!L923)))</f>
        <v>SAVE10</v>
      </c>
      <c r="M923" s="2" t="str">
        <f aca="false">PROPER(TRIM(Raw_Data!M923))</f>
        <v>Referral</v>
      </c>
      <c r="N923" s="4" t="n">
        <f aca="false">ROUND(E923*F923,2)</f>
        <v>438.93</v>
      </c>
      <c r="O923" s="2" t="str">
        <f aca="false">IF(COUNTIF($A$2:$A$1201,A923)&gt;1,"DUPLICATE","Unique")</f>
        <v>Unique</v>
      </c>
      <c r="P923" s="2" t="str">
        <f aca="false">IF(L923="","MISSING","OK")</f>
        <v>OK</v>
      </c>
      <c r="Q923" s="2" t="str">
        <f aca="false">IF(ISNUMBER(B923),"OK","BAD DATE")</f>
        <v>OK</v>
      </c>
      <c r="R923" s="2" t="str">
        <f aca="false">IF(ROUND(F923,2)=F923,"OK","FIX")</f>
        <v>OK</v>
      </c>
    </row>
    <row r="924" customFormat="false" ht="15" hidden="false" customHeight="false" outlineLevel="0" collapsed="false">
      <c r="A924" s="2" t="str">
        <f aca="false">TRIM(UPPER(Raw_Data!A924))</f>
        <v>ORD200922</v>
      </c>
      <c r="B924" s="3" t="n">
        <f aca="false">IF(ISNUMBER(Raw_Data!B924),Raw_Data!B924,DATEVALUE(Raw_Data!B924))</f>
        <v>45460</v>
      </c>
      <c r="C924" s="2" t="str">
        <f aca="false">TRIM(UPPER(Raw_Data!C924))</f>
        <v>C81857</v>
      </c>
      <c r="D924" s="2" t="str">
        <f aca="false">PROPER(TRIM(Raw_Data!D924))</f>
        <v>Desk</v>
      </c>
      <c r="E924" s="2" t="n">
        <f aca="false">Raw_Data!E924</f>
        <v>2</v>
      </c>
      <c r="F924" s="4" t="n">
        <f aca="false">ROUND(Raw_Data!F924,2)</f>
        <v>563.82</v>
      </c>
      <c r="G924" s="2" t="str">
        <f aca="false">PROPER(TRIM(Raw_Data!G924))</f>
        <v>487 Main St</v>
      </c>
      <c r="H924" s="2" t="str">
        <f aca="false">PROPER(TRIM(Raw_Data!H924))</f>
        <v>Credit Card</v>
      </c>
      <c r="I924" s="2" t="str">
        <f aca="false">PROPER(TRIM(Raw_Data!I924))</f>
        <v>Pending</v>
      </c>
      <c r="J924" s="2" t="str">
        <f aca="false">TRIM(UPPER(Raw_Data!J924))</f>
        <v>TRK79737732</v>
      </c>
      <c r="K924" s="2" t="n">
        <f aca="false">Raw_Data!K924</f>
        <v>3</v>
      </c>
      <c r="L924" s="2" t="str">
        <f aca="false">IF(TRIM(Raw_Data!L924)="","No Coupon",TRIM(UPPER(Raw_Data!L924)))</f>
        <v>No Coupon</v>
      </c>
      <c r="M924" s="2" t="str">
        <f aca="false">PROPER(TRIM(Raw_Data!M924))</f>
        <v>Instagram</v>
      </c>
      <c r="N924" s="4" t="n">
        <f aca="false">ROUND(E924*F924,2)</f>
        <v>1127.64</v>
      </c>
      <c r="O924" s="2" t="str">
        <f aca="false">IF(COUNTIF($A$2:$A$1201,A924)&gt;1,"DUPLICATE","Unique")</f>
        <v>Unique</v>
      </c>
      <c r="P924" s="2" t="str">
        <f aca="false">IF(L924="","MISSING","OK")</f>
        <v>OK</v>
      </c>
      <c r="Q924" s="2" t="str">
        <f aca="false">IF(ISNUMBER(B924),"OK","BAD DATE")</f>
        <v>OK</v>
      </c>
      <c r="R924" s="2" t="str">
        <f aca="false">IF(ROUND(F924,2)=F924,"OK","FIX")</f>
        <v>OK</v>
      </c>
    </row>
    <row r="925" customFormat="false" ht="15" hidden="false" customHeight="false" outlineLevel="0" collapsed="false">
      <c r="A925" s="2" t="str">
        <f aca="false">TRIM(UPPER(Raw_Data!A925))</f>
        <v>ORD200923</v>
      </c>
      <c r="B925" s="3" t="n">
        <f aca="false">IF(ISNUMBER(Raw_Data!B925),Raw_Data!B925,DATEVALUE(Raw_Data!B925))</f>
        <v>44968</v>
      </c>
      <c r="C925" s="2" t="str">
        <f aca="false">TRIM(UPPER(Raw_Data!C925))</f>
        <v>C91582</v>
      </c>
      <c r="D925" s="2" t="str">
        <f aca="false">PROPER(TRIM(Raw_Data!D925))</f>
        <v>Printer</v>
      </c>
      <c r="E925" s="2" t="n">
        <f aca="false">Raw_Data!E925</f>
        <v>3</v>
      </c>
      <c r="F925" s="4" t="n">
        <f aca="false">ROUND(Raw_Data!F925,2)</f>
        <v>649.93</v>
      </c>
      <c r="G925" s="2" t="str">
        <f aca="false">PROPER(TRIM(Raw_Data!G925))</f>
        <v>836 Main St</v>
      </c>
      <c r="H925" s="2" t="str">
        <f aca="false">PROPER(TRIM(Raw_Data!H925))</f>
        <v>Credit Card</v>
      </c>
      <c r="I925" s="2" t="str">
        <f aca="false">PROPER(TRIM(Raw_Data!I925))</f>
        <v>Pending</v>
      </c>
      <c r="J925" s="2" t="str">
        <f aca="false">TRIM(UPPER(Raw_Data!J925))</f>
        <v>TRK99938245</v>
      </c>
      <c r="K925" s="2" t="n">
        <f aca="false">Raw_Data!K925</f>
        <v>7</v>
      </c>
      <c r="L925" s="2" t="str">
        <f aca="false">IF(TRIM(Raw_Data!L925)="","No Coupon",TRIM(UPPER(Raw_Data!L925)))</f>
        <v>WINTER15</v>
      </c>
      <c r="M925" s="2" t="str">
        <f aca="false">PROPER(TRIM(Raw_Data!M925))</f>
        <v>Facebook</v>
      </c>
      <c r="N925" s="4" t="n">
        <f aca="false">ROUND(E925*F925,2)</f>
        <v>1949.79</v>
      </c>
      <c r="O925" s="2" t="str">
        <f aca="false">IF(COUNTIF($A$2:$A$1201,A925)&gt;1,"DUPLICATE","Unique")</f>
        <v>Unique</v>
      </c>
      <c r="P925" s="2" t="str">
        <f aca="false">IF(L925="","MISSING","OK")</f>
        <v>OK</v>
      </c>
      <c r="Q925" s="2" t="str">
        <f aca="false">IF(ISNUMBER(B925),"OK","BAD DATE")</f>
        <v>OK</v>
      </c>
      <c r="R925" s="2" t="str">
        <f aca="false">IF(ROUND(F925,2)=F925,"OK","FIX")</f>
        <v>OK</v>
      </c>
    </row>
    <row r="926" customFormat="false" ht="15" hidden="false" customHeight="false" outlineLevel="0" collapsed="false">
      <c r="A926" s="2" t="str">
        <f aca="false">TRIM(UPPER(Raw_Data!A926))</f>
        <v>ORD200924</v>
      </c>
      <c r="B926" s="3" t="n">
        <f aca="false">IF(ISNUMBER(Raw_Data!B926),Raw_Data!B926,DATEVALUE(Raw_Data!B926))</f>
        <v>45738</v>
      </c>
      <c r="C926" s="2" t="str">
        <f aca="false">TRIM(UPPER(Raw_Data!C926))</f>
        <v>C81319</v>
      </c>
      <c r="D926" s="2" t="str">
        <f aca="false">PROPER(TRIM(Raw_Data!D926))</f>
        <v>Printer</v>
      </c>
      <c r="E926" s="2" t="n">
        <f aca="false">Raw_Data!E926</f>
        <v>5</v>
      </c>
      <c r="F926" s="4" t="n">
        <f aca="false">ROUND(Raw_Data!F926,2)</f>
        <v>268.43</v>
      </c>
      <c r="G926" s="2" t="str">
        <f aca="false">PROPER(TRIM(Raw_Data!G926))</f>
        <v>991 Main St</v>
      </c>
      <c r="H926" s="2" t="str">
        <f aca="false">PROPER(TRIM(Raw_Data!H926))</f>
        <v>Cash</v>
      </c>
      <c r="I926" s="2" t="str">
        <f aca="false">PROPER(TRIM(Raw_Data!I926))</f>
        <v>Returned</v>
      </c>
      <c r="J926" s="2" t="str">
        <f aca="false">TRIM(UPPER(Raw_Data!J926))</f>
        <v>TRK55330558</v>
      </c>
      <c r="K926" s="2" t="n">
        <f aca="false">Raw_Data!K926</f>
        <v>5</v>
      </c>
      <c r="L926" s="2" t="str">
        <f aca="false">IF(TRIM(Raw_Data!L926)="","No Coupon",TRIM(UPPER(Raw_Data!L926)))</f>
        <v>SAVE10</v>
      </c>
      <c r="M926" s="2" t="str">
        <f aca="false">PROPER(TRIM(Raw_Data!M926))</f>
        <v>Email</v>
      </c>
      <c r="N926" s="4" t="n">
        <f aca="false">ROUND(E926*F926,2)</f>
        <v>1342.15</v>
      </c>
      <c r="O926" s="2" t="str">
        <f aca="false">IF(COUNTIF($A$2:$A$1201,A926)&gt;1,"DUPLICATE","Unique")</f>
        <v>Unique</v>
      </c>
      <c r="P926" s="2" t="str">
        <f aca="false">IF(L926="","MISSING","OK")</f>
        <v>OK</v>
      </c>
      <c r="Q926" s="2" t="str">
        <f aca="false">IF(ISNUMBER(B926),"OK","BAD DATE")</f>
        <v>OK</v>
      </c>
      <c r="R926" s="2" t="str">
        <f aca="false">IF(ROUND(F926,2)=F926,"OK","FIX")</f>
        <v>OK</v>
      </c>
    </row>
    <row r="927" customFormat="false" ht="15" hidden="false" customHeight="false" outlineLevel="0" collapsed="false">
      <c r="A927" s="2" t="str">
        <f aca="false">TRIM(UPPER(Raw_Data!A927))</f>
        <v>ORD200925</v>
      </c>
      <c r="B927" s="3" t="n">
        <f aca="false">IF(ISNUMBER(Raw_Data!B927),Raw_Data!B927,DATEVALUE(Raw_Data!B927))</f>
        <v>45646</v>
      </c>
      <c r="C927" s="2" t="str">
        <f aca="false">TRIM(UPPER(Raw_Data!C927))</f>
        <v>C78500</v>
      </c>
      <c r="D927" s="2" t="str">
        <f aca="false">PROPER(TRIM(Raw_Data!D927))</f>
        <v>Monitor</v>
      </c>
      <c r="E927" s="2" t="n">
        <f aca="false">Raw_Data!E927</f>
        <v>5</v>
      </c>
      <c r="F927" s="4" t="n">
        <f aca="false">ROUND(Raw_Data!F927,2)</f>
        <v>502.47</v>
      </c>
      <c r="G927" s="2" t="str">
        <f aca="false">PROPER(TRIM(Raw_Data!G927))</f>
        <v>304 Main St</v>
      </c>
      <c r="H927" s="2" t="str">
        <f aca="false">PROPER(TRIM(Raw_Data!H927))</f>
        <v>Online</v>
      </c>
      <c r="I927" s="2" t="str">
        <f aca="false">PROPER(TRIM(Raw_Data!I927))</f>
        <v>Shipped</v>
      </c>
      <c r="J927" s="2" t="str">
        <f aca="false">TRIM(UPPER(Raw_Data!J927))</f>
        <v>TRK97460884</v>
      </c>
      <c r="K927" s="2" t="n">
        <f aca="false">Raw_Data!K927</f>
        <v>10</v>
      </c>
      <c r="L927" s="2" t="str">
        <f aca="false">IF(TRIM(Raw_Data!L927)="","No Coupon",TRIM(UPPER(Raw_Data!L927)))</f>
        <v>WINTER15</v>
      </c>
      <c r="M927" s="2" t="str">
        <f aca="false">PROPER(TRIM(Raw_Data!M927))</f>
        <v>Email</v>
      </c>
      <c r="N927" s="4" t="n">
        <f aca="false">ROUND(E927*F927,2)</f>
        <v>2512.35</v>
      </c>
      <c r="O927" s="2" t="str">
        <f aca="false">IF(COUNTIF($A$2:$A$1201,A927)&gt;1,"DUPLICATE","Unique")</f>
        <v>Unique</v>
      </c>
      <c r="P927" s="2" t="str">
        <f aca="false">IF(L927="","MISSING","OK")</f>
        <v>OK</v>
      </c>
      <c r="Q927" s="2" t="str">
        <f aca="false">IF(ISNUMBER(B927),"OK","BAD DATE")</f>
        <v>OK</v>
      </c>
      <c r="R927" s="2" t="str">
        <f aca="false">IF(ROUND(F927,2)=F927,"OK","FIX")</f>
        <v>OK</v>
      </c>
    </row>
    <row r="928" customFormat="false" ht="15" hidden="false" customHeight="false" outlineLevel="0" collapsed="false">
      <c r="A928" s="2" t="str">
        <f aca="false">TRIM(UPPER(Raw_Data!A928))</f>
        <v>ORD200926</v>
      </c>
      <c r="B928" s="3" t="n">
        <f aca="false">IF(ISNUMBER(Raw_Data!B928),Raw_Data!B928,DATEVALUE(Raw_Data!B928))</f>
        <v>45371</v>
      </c>
      <c r="C928" s="2" t="str">
        <f aca="false">TRIM(UPPER(Raw_Data!C928))</f>
        <v>C67533</v>
      </c>
      <c r="D928" s="2" t="str">
        <f aca="false">PROPER(TRIM(Raw_Data!D928))</f>
        <v>Desk</v>
      </c>
      <c r="E928" s="2" t="n">
        <f aca="false">Raw_Data!E928</f>
        <v>1</v>
      </c>
      <c r="F928" s="4" t="n">
        <f aca="false">ROUND(Raw_Data!F928,2)</f>
        <v>26.95</v>
      </c>
      <c r="G928" s="2" t="str">
        <f aca="false">PROPER(TRIM(Raw_Data!G928))</f>
        <v>672 Main St</v>
      </c>
      <c r="H928" s="2" t="str">
        <f aca="false">PROPER(TRIM(Raw_Data!H928))</f>
        <v>Cash</v>
      </c>
      <c r="I928" s="2" t="str">
        <f aca="false">PROPER(TRIM(Raw_Data!I928))</f>
        <v>Delivered</v>
      </c>
      <c r="J928" s="2" t="str">
        <f aca="false">TRIM(UPPER(Raw_Data!J928))</f>
        <v>TRK14566395</v>
      </c>
      <c r="K928" s="2" t="n">
        <f aca="false">Raw_Data!K928</f>
        <v>1</v>
      </c>
      <c r="L928" s="2" t="str">
        <f aca="false">IF(TRIM(Raw_Data!L928)="","No Coupon",TRIM(UPPER(Raw_Data!L928)))</f>
        <v>WINTER15</v>
      </c>
      <c r="M928" s="2" t="str">
        <f aca="false">PROPER(TRIM(Raw_Data!M928))</f>
        <v>Email</v>
      </c>
      <c r="N928" s="4" t="n">
        <f aca="false">ROUND(E928*F928,2)</f>
        <v>26.95</v>
      </c>
      <c r="O928" s="2" t="str">
        <f aca="false">IF(COUNTIF($A$2:$A$1201,A928)&gt;1,"DUPLICATE","Unique")</f>
        <v>Unique</v>
      </c>
      <c r="P928" s="2" t="str">
        <f aca="false">IF(L928="","MISSING","OK")</f>
        <v>OK</v>
      </c>
      <c r="Q928" s="2" t="str">
        <f aca="false">IF(ISNUMBER(B928),"OK","BAD DATE")</f>
        <v>OK</v>
      </c>
      <c r="R928" s="2" t="str">
        <f aca="false">IF(ROUND(F928,2)=F928,"OK","FIX")</f>
        <v>OK</v>
      </c>
    </row>
    <row r="929" customFormat="false" ht="15" hidden="false" customHeight="false" outlineLevel="0" collapsed="false">
      <c r="A929" s="2" t="str">
        <f aca="false">TRIM(UPPER(Raw_Data!A929))</f>
        <v>ORD200927</v>
      </c>
      <c r="B929" s="3" t="n">
        <f aca="false">IF(ISNUMBER(Raw_Data!B929),Raw_Data!B929,DATEVALUE(Raw_Data!B929))</f>
        <v>44971</v>
      </c>
      <c r="C929" s="2" t="str">
        <f aca="false">TRIM(UPPER(Raw_Data!C929))</f>
        <v>C35566</v>
      </c>
      <c r="D929" s="2" t="str">
        <f aca="false">PROPER(TRIM(Raw_Data!D929))</f>
        <v>Laptop</v>
      </c>
      <c r="E929" s="2" t="n">
        <f aca="false">Raw_Data!E929</f>
        <v>4</v>
      </c>
      <c r="F929" s="4" t="n">
        <f aca="false">ROUND(Raw_Data!F929,2)</f>
        <v>64.69</v>
      </c>
      <c r="G929" s="2" t="str">
        <f aca="false">PROPER(TRIM(Raw_Data!G929))</f>
        <v>638 Main St</v>
      </c>
      <c r="H929" s="2" t="str">
        <f aca="false">PROPER(TRIM(Raw_Data!H929))</f>
        <v>Debit Card</v>
      </c>
      <c r="I929" s="2" t="str">
        <f aca="false">PROPER(TRIM(Raw_Data!I929))</f>
        <v>Shipped</v>
      </c>
      <c r="J929" s="2" t="str">
        <f aca="false">TRIM(UPPER(Raw_Data!J929))</f>
        <v>TRK10003020</v>
      </c>
      <c r="K929" s="2" t="n">
        <f aca="false">Raw_Data!K929</f>
        <v>7</v>
      </c>
      <c r="L929" s="2" t="str">
        <f aca="false">IF(TRIM(Raw_Data!L929)="","No Coupon",TRIM(UPPER(Raw_Data!L929)))</f>
        <v>WINTER15</v>
      </c>
      <c r="M929" s="2" t="str">
        <f aca="false">PROPER(TRIM(Raw_Data!M929))</f>
        <v>Google</v>
      </c>
      <c r="N929" s="4" t="n">
        <f aca="false">ROUND(E929*F929,2)</f>
        <v>258.76</v>
      </c>
      <c r="O929" s="2" t="str">
        <f aca="false">IF(COUNTIF($A$2:$A$1201,A929)&gt;1,"DUPLICATE","Unique")</f>
        <v>Unique</v>
      </c>
      <c r="P929" s="2" t="str">
        <f aca="false">IF(L929="","MISSING","OK")</f>
        <v>OK</v>
      </c>
      <c r="Q929" s="2" t="str">
        <f aca="false">IF(ISNUMBER(B929),"OK","BAD DATE")</f>
        <v>OK</v>
      </c>
      <c r="R929" s="2" t="str">
        <f aca="false">IF(ROUND(F929,2)=F929,"OK","FIX")</f>
        <v>OK</v>
      </c>
    </row>
    <row r="930" customFormat="false" ht="15" hidden="false" customHeight="false" outlineLevel="0" collapsed="false">
      <c r="A930" s="2" t="str">
        <f aca="false">TRIM(UPPER(Raw_Data!A930))</f>
        <v>ORD200928</v>
      </c>
      <c r="B930" s="3" t="n">
        <f aca="false">IF(ISNUMBER(Raw_Data!B930),Raw_Data!B930,DATEVALUE(Raw_Data!B930))</f>
        <v>45421</v>
      </c>
      <c r="C930" s="2" t="str">
        <f aca="false">TRIM(UPPER(Raw_Data!C930))</f>
        <v>C77166</v>
      </c>
      <c r="D930" s="2" t="str">
        <f aca="false">PROPER(TRIM(Raw_Data!D930))</f>
        <v>Laptop</v>
      </c>
      <c r="E930" s="2" t="n">
        <f aca="false">Raw_Data!E930</f>
        <v>3</v>
      </c>
      <c r="F930" s="4" t="n">
        <f aca="false">ROUND(Raw_Data!F930,2)</f>
        <v>247.11</v>
      </c>
      <c r="G930" s="2" t="str">
        <f aca="false">PROPER(TRIM(Raw_Data!G930))</f>
        <v>821 Main St</v>
      </c>
      <c r="H930" s="2" t="str">
        <f aca="false">PROPER(TRIM(Raw_Data!H930))</f>
        <v>Debit Card</v>
      </c>
      <c r="I930" s="2" t="str">
        <f aca="false">PROPER(TRIM(Raw_Data!I930))</f>
        <v>Returned</v>
      </c>
      <c r="J930" s="2" t="str">
        <f aca="false">TRIM(UPPER(Raw_Data!J930))</f>
        <v>TRK18896595</v>
      </c>
      <c r="K930" s="2" t="n">
        <f aca="false">Raw_Data!K930</f>
        <v>3</v>
      </c>
      <c r="L930" s="2" t="str">
        <f aca="false">IF(TRIM(Raw_Data!L930)="","No Coupon",TRIM(UPPER(Raw_Data!L930)))</f>
        <v>WINTER15</v>
      </c>
      <c r="M930" s="2" t="str">
        <f aca="false">PROPER(TRIM(Raw_Data!M930))</f>
        <v>Referral</v>
      </c>
      <c r="N930" s="4" t="n">
        <f aca="false">ROUND(E930*F930,2)</f>
        <v>741.33</v>
      </c>
      <c r="O930" s="2" t="str">
        <f aca="false">IF(COUNTIF($A$2:$A$1201,A930)&gt;1,"DUPLICATE","Unique")</f>
        <v>Unique</v>
      </c>
      <c r="P930" s="2" t="str">
        <f aca="false">IF(L930="","MISSING","OK")</f>
        <v>OK</v>
      </c>
      <c r="Q930" s="2" t="str">
        <f aca="false">IF(ISNUMBER(B930),"OK","BAD DATE")</f>
        <v>OK</v>
      </c>
      <c r="R930" s="2" t="str">
        <f aca="false">IF(ROUND(F930,2)=F930,"OK","FIX")</f>
        <v>OK</v>
      </c>
    </row>
    <row r="931" customFormat="false" ht="15" hidden="false" customHeight="false" outlineLevel="0" collapsed="false">
      <c r="A931" s="2" t="str">
        <f aca="false">TRIM(UPPER(Raw_Data!A931))</f>
        <v>ORD200929</v>
      </c>
      <c r="B931" s="3" t="n">
        <f aca="false">IF(ISNUMBER(Raw_Data!B931),Raw_Data!B931,DATEVALUE(Raw_Data!B931))</f>
        <v>45581</v>
      </c>
      <c r="C931" s="2" t="str">
        <f aca="false">TRIM(UPPER(Raw_Data!C931))</f>
        <v>C67936</v>
      </c>
      <c r="D931" s="2" t="str">
        <f aca="false">PROPER(TRIM(Raw_Data!D931))</f>
        <v>Tablet</v>
      </c>
      <c r="E931" s="2" t="n">
        <f aca="false">Raw_Data!E931</f>
        <v>2</v>
      </c>
      <c r="F931" s="4" t="n">
        <f aca="false">ROUND(Raw_Data!F931,2)</f>
        <v>536.25</v>
      </c>
      <c r="G931" s="2" t="str">
        <f aca="false">PROPER(TRIM(Raw_Data!G931))</f>
        <v>553 Main St</v>
      </c>
      <c r="H931" s="2" t="str">
        <f aca="false">PROPER(TRIM(Raw_Data!H931))</f>
        <v>Debit Card</v>
      </c>
      <c r="I931" s="2" t="str">
        <f aca="false">PROPER(TRIM(Raw_Data!I931))</f>
        <v>Pending</v>
      </c>
      <c r="J931" s="2" t="str">
        <f aca="false">TRIM(UPPER(Raw_Data!J931))</f>
        <v>TRK71803414</v>
      </c>
      <c r="K931" s="2" t="n">
        <f aca="false">Raw_Data!K931</f>
        <v>3</v>
      </c>
      <c r="L931" s="2" t="str">
        <f aca="false">IF(TRIM(Raw_Data!L931)="","No Coupon",TRIM(UPPER(Raw_Data!L931)))</f>
        <v>No Coupon</v>
      </c>
      <c r="M931" s="2" t="str">
        <f aca="false">PROPER(TRIM(Raw_Data!M931))</f>
        <v>Email</v>
      </c>
      <c r="N931" s="4" t="n">
        <f aca="false">ROUND(E931*F931,2)</f>
        <v>1072.5</v>
      </c>
      <c r="O931" s="2" t="str">
        <f aca="false">IF(COUNTIF($A$2:$A$1201,A931)&gt;1,"DUPLICATE","Unique")</f>
        <v>Unique</v>
      </c>
      <c r="P931" s="2" t="str">
        <f aca="false">IF(L931="","MISSING","OK")</f>
        <v>OK</v>
      </c>
      <c r="Q931" s="2" t="str">
        <f aca="false">IF(ISNUMBER(B931),"OK","BAD DATE")</f>
        <v>OK</v>
      </c>
      <c r="R931" s="2" t="str">
        <f aca="false">IF(ROUND(F931,2)=F931,"OK","FIX")</f>
        <v>OK</v>
      </c>
    </row>
    <row r="932" customFormat="false" ht="15" hidden="false" customHeight="false" outlineLevel="0" collapsed="false">
      <c r="A932" s="2" t="str">
        <f aca="false">TRIM(UPPER(Raw_Data!A932))</f>
        <v>ORD200930</v>
      </c>
      <c r="B932" s="3" t="n">
        <f aca="false">IF(ISNUMBER(Raw_Data!B932),Raw_Data!B932,DATEVALUE(Raw_Data!B932))</f>
        <v>45642</v>
      </c>
      <c r="C932" s="2" t="str">
        <f aca="false">TRIM(UPPER(Raw_Data!C932))</f>
        <v>C59554</v>
      </c>
      <c r="D932" s="2" t="str">
        <f aca="false">PROPER(TRIM(Raw_Data!D932))</f>
        <v>Phone</v>
      </c>
      <c r="E932" s="2" t="n">
        <f aca="false">Raw_Data!E932</f>
        <v>2</v>
      </c>
      <c r="F932" s="4" t="n">
        <f aca="false">ROUND(Raw_Data!F932,2)</f>
        <v>456.04</v>
      </c>
      <c r="G932" s="2" t="str">
        <f aca="false">PROPER(TRIM(Raw_Data!G932))</f>
        <v>382 Main St</v>
      </c>
      <c r="H932" s="2" t="str">
        <f aca="false">PROPER(TRIM(Raw_Data!H932))</f>
        <v>Debit Card</v>
      </c>
      <c r="I932" s="2" t="str">
        <f aca="false">PROPER(TRIM(Raw_Data!I932))</f>
        <v>Returned</v>
      </c>
      <c r="J932" s="2" t="str">
        <f aca="false">TRIM(UPPER(Raw_Data!J932))</f>
        <v>TRK28182447</v>
      </c>
      <c r="K932" s="2" t="n">
        <f aca="false">Raw_Data!K932</f>
        <v>4</v>
      </c>
      <c r="L932" s="2" t="str">
        <f aca="false">IF(TRIM(Raw_Data!L932)="","No Coupon",TRIM(UPPER(Raw_Data!L932)))</f>
        <v>FREESHIP</v>
      </c>
      <c r="M932" s="2" t="str">
        <f aca="false">PROPER(TRIM(Raw_Data!M932))</f>
        <v>Email</v>
      </c>
      <c r="N932" s="4" t="n">
        <f aca="false">ROUND(E932*F932,2)</f>
        <v>912.08</v>
      </c>
      <c r="O932" s="2" t="str">
        <f aca="false">IF(COUNTIF($A$2:$A$1201,A932)&gt;1,"DUPLICATE","Unique")</f>
        <v>Unique</v>
      </c>
      <c r="P932" s="2" t="str">
        <f aca="false">IF(L932="","MISSING","OK")</f>
        <v>OK</v>
      </c>
      <c r="Q932" s="2" t="str">
        <f aca="false">IF(ISNUMBER(B932),"OK","BAD DATE")</f>
        <v>OK</v>
      </c>
      <c r="R932" s="2" t="str">
        <f aca="false">IF(ROUND(F932,2)=F932,"OK","FIX")</f>
        <v>OK</v>
      </c>
    </row>
    <row r="933" customFormat="false" ht="15" hidden="false" customHeight="false" outlineLevel="0" collapsed="false">
      <c r="A933" s="2" t="str">
        <f aca="false">TRIM(UPPER(Raw_Data!A933))</f>
        <v>ORD200931</v>
      </c>
      <c r="B933" s="3" t="n">
        <f aca="false">IF(ISNUMBER(Raw_Data!B933),Raw_Data!B933,DATEVALUE(Raw_Data!B933))</f>
        <v>45292</v>
      </c>
      <c r="C933" s="2" t="str">
        <f aca="false">TRIM(UPPER(Raw_Data!C933))</f>
        <v>C14005</v>
      </c>
      <c r="D933" s="2" t="str">
        <f aca="false">PROPER(TRIM(Raw_Data!D933))</f>
        <v>Printer</v>
      </c>
      <c r="E933" s="2" t="n">
        <f aca="false">Raw_Data!E933</f>
        <v>2</v>
      </c>
      <c r="F933" s="4" t="n">
        <f aca="false">ROUND(Raw_Data!F933,2)</f>
        <v>40.23</v>
      </c>
      <c r="G933" s="2" t="str">
        <f aca="false">PROPER(TRIM(Raw_Data!G933))</f>
        <v>623 Main St</v>
      </c>
      <c r="H933" s="2" t="str">
        <f aca="false">PROPER(TRIM(Raw_Data!H933))</f>
        <v>Credit Card</v>
      </c>
      <c r="I933" s="2" t="str">
        <f aca="false">PROPER(TRIM(Raw_Data!I933))</f>
        <v>Cancelled</v>
      </c>
      <c r="J933" s="2" t="str">
        <f aca="false">TRIM(UPPER(Raw_Data!J933))</f>
        <v>TRK87567926</v>
      </c>
      <c r="K933" s="2" t="n">
        <f aca="false">Raw_Data!K933</f>
        <v>4</v>
      </c>
      <c r="L933" s="2" t="str">
        <f aca="false">IF(TRIM(Raw_Data!L933)="","No Coupon",TRIM(UPPER(Raw_Data!L933)))</f>
        <v>SAVE10</v>
      </c>
      <c r="M933" s="2" t="str">
        <f aca="false">PROPER(TRIM(Raw_Data!M933))</f>
        <v>Google</v>
      </c>
      <c r="N933" s="4" t="n">
        <f aca="false">ROUND(E933*F933,2)</f>
        <v>80.46</v>
      </c>
      <c r="O933" s="2" t="str">
        <f aca="false">IF(COUNTIF($A$2:$A$1201,A933)&gt;1,"DUPLICATE","Unique")</f>
        <v>Unique</v>
      </c>
      <c r="P933" s="2" t="str">
        <f aca="false">IF(L933="","MISSING","OK")</f>
        <v>OK</v>
      </c>
      <c r="Q933" s="2" t="str">
        <f aca="false">IF(ISNUMBER(B933),"OK","BAD DATE")</f>
        <v>OK</v>
      </c>
      <c r="R933" s="2" t="str">
        <f aca="false">IF(ROUND(F933,2)=F933,"OK","FIX")</f>
        <v>OK</v>
      </c>
    </row>
    <row r="934" customFormat="false" ht="15" hidden="false" customHeight="false" outlineLevel="0" collapsed="false">
      <c r="A934" s="2" t="str">
        <f aca="false">TRIM(UPPER(Raw_Data!A934))</f>
        <v>ORD200932</v>
      </c>
      <c r="B934" s="3" t="n">
        <f aca="false">IF(ISNUMBER(Raw_Data!B934),Raw_Data!B934,DATEVALUE(Raw_Data!B934))</f>
        <v>45011</v>
      </c>
      <c r="C934" s="2" t="str">
        <f aca="false">TRIM(UPPER(Raw_Data!C934))</f>
        <v>C26118</v>
      </c>
      <c r="D934" s="2" t="str">
        <f aca="false">PROPER(TRIM(Raw_Data!D934))</f>
        <v>Laptop</v>
      </c>
      <c r="E934" s="2" t="n">
        <f aca="false">Raw_Data!E934</f>
        <v>2</v>
      </c>
      <c r="F934" s="4" t="n">
        <f aca="false">ROUND(Raw_Data!F934,2)</f>
        <v>72.39</v>
      </c>
      <c r="G934" s="2" t="str">
        <f aca="false">PROPER(TRIM(Raw_Data!G934))</f>
        <v>168 Main St</v>
      </c>
      <c r="H934" s="2" t="str">
        <f aca="false">PROPER(TRIM(Raw_Data!H934))</f>
        <v>Online</v>
      </c>
      <c r="I934" s="2" t="str">
        <f aca="false">PROPER(TRIM(Raw_Data!I934))</f>
        <v>Delivered</v>
      </c>
      <c r="J934" s="2" t="str">
        <f aca="false">TRIM(UPPER(Raw_Data!J934))</f>
        <v>TRK15334251</v>
      </c>
      <c r="K934" s="2" t="n">
        <f aca="false">Raw_Data!K934</f>
        <v>7</v>
      </c>
      <c r="L934" s="2" t="str">
        <f aca="false">IF(TRIM(Raw_Data!L934)="","No Coupon",TRIM(UPPER(Raw_Data!L934)))</f>
        <v>WINTER15</v>
      </c>
      <c r="M934" s="2" t="str">
        <f aca="false">PROPER(TRIM(Raw_Data!M934))</f>
        <v>Instagram</v>
      </c>
      <c r="N934" s="4" t="n">
        <f aca="false">ROUND(E934*F934,2)</f>
        <v>144.78</v>
      </c>
      <c r="O934" s="2" t="str">
        <f aca="false">IF(COUNTIF($A$2:$A$1201,A934)&gt;1,"DUPLICATE","Unique")</f>
        <v>Unique</v>
      </c>
      <c r="P934" s="2" t="str">
        <f aca="false">IF(L934="","MISSING","OK")</f>
        <v>OK</v>
      </c>
      <c r="Q934" s="2" t="str">
        <f aca="false">IF(ISNUMBER(B934),"OK","BAD DATE")</f>
        <v>OK</v>
      </c>
      <c r="R934" s="2" t="str">
        <f aca="false">IF(ROUND(F934,2)=F934,"OK","FIX")</f>
        <v>OK</v>
      </c>
    </row>
    <row r="935" customFormat="false" ht="15" hidden="false" customHeight="false" outlineLevel="0" collapsed="false">
      <c r="A935" s="2" t="str">
        <f aca="false">TRIM(UPPER(Raw_Data!A935))</f>
        <v>ORD200933</v>
      </c>
      <c r="B935" s="3" t="n">
        <f aca="false">IF(ISNUMBER(Raw_Data!B935),Raw_Data!B935,DATEVALUE(Raw_Data!B935))</f>
        <v>44952</v>
      </c>
      <c r="C935" s="2" t="str">
        <f aca="false">TRIM(UPPER(Raw_Data!C935))</f>
        <v>C59685</v>
      </c>
      <c r="D935" s="2" t="str">
        <f aca="false">PROPER(TRIM(Raw_Data!D935))</f>
        <v>Monitor</v>
      </c>
      <c r="E935" s="2" t="n">
        <f aca="false">Raw_Data!E935</f>
        <v>2</v>
      </c>
      <c r="F935" s="4" t="n">
        <f aca="false">ROUND(Raw_Data!F935,2)</f>
        <v>394.16</v>
      </c>
      <c r="G935" s="2" t="str">
        <f aca="false">PROPER(TRIM(Raw_Data!G935))</f>
        <v>255 Main St</v>
      </c>
      <c r="H935" s="2" t="str">
        <f aca="false">PROPER(TRIM(Raw_Data!H935))</f>
        <v>Online</v>
      </c>
      <c r="I935" s="2" t="str">
        <f aca="false">PROPER(TRIM(Raw_Data!I935))</f>
        <v>Shipped</v>
      </c>
      <c r="J935" s="2" t="str">
        <f aca="false">TRIM(UPPER(Raw_Data!J935))</f>
        <v>TRK43718093</v>
      </c>
      <c r="K935" s="2" t="n">
        <f aca="false">Raw_Data!K935</f>
        <v>2</v>
      </c>
      <c r="L935" s="2" t="str">
        <f aca="false">IF(TRIM(Raw_Data!L935)="","No Coupon",TRIM(UPPER(Raw_Data!L935)))</f>
        <v>No Coupon</v>
      </c>
      <c r="M935" s="2" t="str">
        <f aca="false">PROPER(TRIM(Raw_Data!M935))</f>
        <v>Referral</v>
      </c>
      <c r="N935" s="4" t="n">
        <f aca="false">ROUND(E935*F935,2)</f>
        <v>788.32</v>
      </c>
      <c r="O935" s="2" t="str">
        <f aca="false">IF(COUNTIF($A$2:$A$1201,A935)&gt;1,"DUPLICATE","Unique")</f>
        <v>Unique</v>
      </c>
      <c r="P935" s="2" t="str">
        <f aca="false">IF(L935="","MISSING","OK")</f>
        <v>OK</v>
      </c>
      <c r="Q935" s="2" t="str">
        <f aca="false">IF(ISNUMBER(B935),"OK","BAD DATE")</f>
        <v>OK</v>
      </c>
      <c r="R935" s="2" t="str">
        <f aca="false">IF(ROUND(F935,2)=F935,"OK","FIX")</f>
        <v>OK</v>
      </c>
    </row>
    <row r="936" customFormat="false" ht="15" hidden="false" customHeight="false" outlineLevel="0" collapsed="false">
      <c r="A936" s="2" t="str">
        <f aca="false">TRIM(UPPER(Raw_Data!A936))</f>
        <v>ORD200934</v>
      </c>
      <c r="B936" s="3" t="n">
        <f aca="false">IF(ISNUMBER(Raw_Data!B936),Raw_Data!B936,DATEVALUE(Raw_Data!B936))</f>
        <v>45809</v>
      </c>
      <c r="C936" s="2" t="str">
        <f aca="false">TRIM(UPPER(Raw_Data!C936))</f>
        <v>C40304</v>
      </c>
      <c r="D936" s="2" t="str">
        <f aca="false">PROPER(TRIM(Raw_Data!D936))</f>
        <v>Laptop</v>
      </c>
      <c r="E936" s="2" t="n">
        <f aca="false">Raw_Data!E936</f>
        <v>4</v>
      </c>
      <c r="F936" s="4" t="n">
        <f aca="false">ROUND(Raw_Data!F936,2)</f>
        <v>119.84</v>
      </c>
      <c r="G936" s="2" t="str">
        <f aca="false">PROPER(TRIM(Raw_Data!G936))</f>
        <v>692 Main St</v>
      </c>
      <c r="H936" s="2" t="str">
        <f aca="false">PROPER(TRIM(Raw_Data!H936))</f>
        <v>Gift Card</v>
      </c>
      <c r="I936" s="2" t="str">
        <f aca="false">PROPER(TRIM(Raw_Data!I936))</f>
        <v>Shipped</v>
      </c>
      <c r="J936" s="2" t="str">
        <f aca="false">TRIM(UPPER(Raw_Data!J936))</f>
        <v>TRK85790948</v>
      </c>
      <c r="K936" s="2" t="n">
        <f aca="false">Raw_Data!K936</f>
        <v>8</v>
      </c>
      <c r="L936" s="2" t="str">
        <f aca="false">IF(TRIM(Raw_Data!L936)="","No Coupon",TRIM(UPPER(Raw_Data!L936)))</f>
        <v>FREESHIP</v>
      </c>
      <c r="M936" s="2" t="str">
        <f aca="false">PROPER(TRIM(Raw_Data!M936))</f>
        <v>Referral</v>
      </c>
      <c r="N936" s="4" t="n">
        <f aca="false">ROUND(E936*F936,2)</f>
        <v>479.36</v>
      </c>
      <c r="O936" s="2" t="str">
        <f aca="false">IF(COUNTIF($A$2:$A$1201,A936)&gt;1,"DUPLICATE","Unique")</f>
        <v>Unique</v>
      </c>
      <c r="P936" s="2" t="str">
        <f aca="false">IF(L936="","MISSING","OK")</f>
        <v>OK</v>
      </c>
      <c r="Q936" s="2" t="str">
        <f aca="false">IF(ISNUMBER(B936),"OK","BAD DATE")</f>
        <v>OK</v>
      </c>
      <c r="R936" s="2" t="str">
        <f aca="false">IF(ROUND(F936,2)=F936,"OK","FIX")</f>
        <v>OK</v>
      </c>
    </row>
    <row r="937" customFormat="false" ht="15" hidden="false" customHeight="false" outlineLevel="0" collapsed="false">
      <c r="A937" s="2" t="str">
        <f aca="false">TRIM(UPPER(Raw_Data!A937))</f>
        <v>ORD200935</v>
      </c>
      <c r="B937" s="3" t="n">
        <f aca="false">IF(ISNUMBER(Raw_Data!B937),Raw_Data!B937,DATEVALUE(Raw_Data!B937))</f>
        <v>45254</v>
      </c>
      <c r="C937" s="2" t="str">
        <f aca="false">TRIM(UPPER(Raw_Data!C937))</f>
        <v>C39593</v>
      </c>
      <c r="D937" s="2" t="str">
        <f aca="false">PROPER(TRIM(Raw_Data!D937))</f>
        <v>Phone</v>
      </c>
      <c r="E937" s="2" t="n">
        <f aca="false">Raw_Data!E937</f>
        <v>3</v>
      </c>
      <c r="F937" s="4" t="n">
        <f aca="false">ROUND(Raw_Data!F937,2)</f>
        <v>692.71</v>
      </c>
      <c r="G937" s="2" t="str">
        <f aca="false">PROPER(TRIM(Raw_Data!G937))</f>
        <v>398 Main St</v>
      </c>
      <c r="H937" s="2" t="str">
        <f aca="false">PROPER(TRIM(Raw_Data!H937))</f>
        <v>Credit Card</v>
      </c>
      <c r="I937" s="2" t="str">
        <f aca="false">PROPER(TRIM(Raw_Data!I937))</f>
        <v>Delivered</v>
      </c>
      <c r="J937" s="2" t="str">
        <f aca="false">TRIM(UPPER(Raw_Data!J937))</f>
        <v>TRK62405253</v>
      </c>
      <c r="K937" s="2" t="n">
        <f aca="false">Raw_Data!K937</f>
        <v>3</v>
      </c>
      <c r="L937" s="2" t="str">
        <f aca="false">IF(TRIM(Raw_Data!L937)="","No Coupon",TRIM(UPPER(Raw_Data!L937)))</f>
        <v>FREESHIP</v>
      </c>
      <c r="M937" s="2" t="str">
        <f aca="false">PROPER(TRIM(Raw_Data!M937))</f>
        <v>Instagram</v>
      </c>
      <c r="N937" s="4" t="n">
        <f aca="false">ROUND(E937*F937,2)</f>
        <v>2078.13</v>
      </c>
      <c r="O937" s="2" t="str">
        <f aca="false">IF(COUNTIF($A$2:$A$1201,A937)&gt;1,"DUPLICATE","Unique")</f>
        <v>Unique</v>
      </c>
      <c r="P937" s="2" t="str">
        <f aca="false">IF(L937="","MISSING","OK")</f>
        <v>OK</v>
      </c>
      <c r="Q937" s="2" t="str">
        <f aca="false">IF(ISNUMBER(B937),"OK","BAD DATE")</f>
        <v>OK</v>
      </c>
      <c r="R937" s="2" t="str">
        <f aca="false">IF(ROUND(F937,2)=F937,"OK","FIX")</f>
        <v>OK</v>
      </c>
    </row>
    <row r="938" customFormat="false" ht="15" hidden="false" customHeight="false" outlineLevel="0" collapsed="false">
      <c r="A938" s="2" t="str">
        <f aca="false">TRIM(UPPER(Raw_Data!A938))</f>
        <v>ORD200936</v>
      </c>
      <c r="B938" s="3" t="n">
        <f aca="false">IF(ISNUMBER(Raw_Data!B938),Raw_Data!B938,DATEVALUE(Raw_Data!B938))</f>
        <v>45303</v>
      </c>
      <c r="C938" s="2" t="str">
        <f aca="false">TRIM(UPPER(Raw_Data!C938))</f>
        <v>C50612</v>
      </c>
      <c r="D938" s="2" t="str">
        <f aca="false">PROPER(TRIM(Raw_Data!D938))</f>
        <v>Chair</v>
      </c>
      <c r="E938" s="2" t="n">
        <f aca="false">Raw_Data!E938</f>
        <v>4</v>
      </c>
      <c r="F938" s="4" t="n">
        <f aca="false">ROUND(Raw_Data!F938,2)</f>
        <v>56.66</v>
      </c>
      <c r="G938" s="2" t="str">
        <f aca="false">PROPER(TRIM(Raw_Data!G938))</f>
        <v>737 Main St</v>
      </c>
      <c r="H938" s="2" t="str">
        <f aca="false">PROPER(TRIM(Raw_Data!H938))</f>
        <v>Online</v>
      </c>
      <c r="I938" s="2" t="str">
        <f aca="false">PROPER(TRIM(Raw_Data!I938))</f>
        <v>Delivered</v>
      </c>
      <c r="J938" s="2" t="str">
        <f aca="false">TRIM(UPPER(Raw_Data!J938))</f>
        <v>TRK44140968</v>
      </c>
      <c r="K938" s="2" t="n">
        <f aca="false">Raw_Data!K938</f>
        <v>4</v>
      </c>
      <c r="L938" s="2" t="str">
        <f aca="false">IF(TRIM(Raw_Data!L938)="","No Coupon",TRIM(UPPER(Raw_Data!L938)))</f>
        <v>SAVE10</v>
      </c>
      <c r="M938" s="2" t="str">
        <f aca="false">PROPER(TRIM(Raw_Data!M938))</f>
        <v>Instagram</v>
      </c>
      <c r="N938" s="4" t="n">
        <f aca="false">ROUND(E938*F938,2)</f>
        <v>226.64</v>
      </c>
      <c r="O938" s="2" t="str">
        <f aca="false">IF(COUNTIF($A$2:$A$1201,A938)&gt;1,"DUPLICATE","Unique")</f>
        <v>Unique</v>
      </c>
      <c r="P938" s="2" t="str">
        <f aca="false">IF(L938="","MISSING","OK")</f>
        <v>OK</v>
      </c>
      <c r="Q938" s="2" t="str">
        <f aca="false">IF(ISNUMBER(B938),"OK","BAD DATE")</f>
        <v>OK</v>
      </c>
      <c r="R938" s="2" t="str">
        <f aca="false">IF(ROUND(F938,2)=F938,"OK","FIX")</f>
        <v>OK</v>
      </c>
    </row>
    <row r="939" customFormat="false" ht="15" hidden="false" customHeight="false" outlineLevel="0" collapsed="false">
      <c r="A939" s="2" t="str">
        <f aca="false">TRIM(UPPER(Raw_Data!A939))</f>
        <v>ORD200937</v>
      </c>
      <c r="B939" s="3" t="n">
        <f aca="false">IF(ISNUMBER(Raw_Data!B939),Raw_Data!B939,DATEVALUE(Raw_Data!B939))</f>
        <v>45307</v>
      </c>
      <c r="C939" s="2" t="str">
        <f aca="false">TRIM(UPPER(Raw_Data!C939))</f>
        <v>C39791</v>
      </c>
      <c r="D939" s="2" t="str">
        <f aca="false">PROPER(TRIM(Raw_Data!D939))</f>
        <v>Chair</v>
      </c>
      <c r="E939" s="2" t="n">
        <f aca="false">Raw_Data!E939</f>
        <v>2</v>
      </c>
      <c r="F939" s="4" t="n">
        <f aca="false">ROUND(Raw_Data!F939,2)</f>
        <v>298.53</v>
      </c>
      <c r="G939" s="2" t="str">
        <f aca="false">PROPER(TRIM(Raw_Data!G939))</f>
        <v>536 Main St</v>
      </c>
      <c r="H939" s="2" t="str">
        <f aca="false">PROPER(TRIM(Raw_Data!H939))</f>
        <v>Debit Card</v>
      </c>
      <c r="I939" s="2" t="str">
        <f aca="false">PROPER(TRIM(Raw_Data!I939))</f>
        <v>Cancelled</v>
      </c>
      <c r="J939" s="2" t="str">
        <f aca="false">TRIM(UPPER(Raw_Data!J939))</f>
        <v>TRK46221436</v>
      </c>
      <c r="K939" s="2" t="n">
        <f aca="false">Raw_Data!K939</f>
        <v>5</v>
      </c>
      <c r="L939" s="2" t="str">
        <f aca="false">IF(TRIM(Raw_Data!L939)="","No Coupon",TRIM(UPPER(Raw_Data!L939)))</f>
        <v>WINTER15</v>
      </c>
      <c r="M939" s="2" t="str">
        <f aca="false">PROPER(TRIM(Raw_Data!M939))</f>
        <v>Email</v>
      </c>
      <c r="N939" s="4" t="n">
        <f aca="false">ROUND(E939*F939,2)</f>
        <v>597.06</v>
      </c>
      <c r="O939" s="2" t="str">
        <f aca="false">IF(COUNTIF($A$2:$A$1201,A939)&gt;1,"DUPLICATE","Unique")</f>
        <v>Unique</v>
      </c>
      <c r="P939" s="2" t="str">
        <f aca="false">IF(L939="","MISSING","OK")</f>
        <v>OK</v>
      </c>
      <c r="Q939" s="2" t="str">
        <f aca="false">IF(ISNUMBER(B939),"OK","BAD DATE")</f>
        <v>OK</v>
      </c>
      <c r="R939" s="2" t="str">
        <f aca="false">IF(ROUND(F939,2)=F939,"OK","FIX")</f>
        <v>OK</v>
      </c>
    </row>
    <row r="940" customFormat="false" ht="15" hidden="false" customHeight="false" outlineLevel="0" collapsed="false">
      <c r="A940" s="2" t="str">
        <f aca="false">TRIM(UPPER(Raw_Data!A940))</f>
        <v>ORD200938</v>
      </c>
      <c r="B940" s="3" t="n">
        <f aca="false">IF(ISNUMBER(Raw_Data!B940),Raw_Data!B940,DATEVALUE(Raw_Data!B940))</f>
        <v>45119</v>
      </c>
      <c r="C940" s="2" t="str">
        <f aca="false">TRIM(UPPER(Raw_Data!C940))</f>
        <v>C39017</v>
      </c>
      <c r="D940" s="2" t="str">
        <f aca="false">PROPER(TRIM(Raw_Data!D940))</f>
        <v>Chair</v>
      </c>
      <c r="E940" s="2" t="n">
        <f aca="false">Raw_Data!E940</f>
        <v>3</v>
      </c>
      <c r="F940" s="4" t="n">
        <f aca="false">ROUND(Raw_Data!F940,2)</f>
        <v>331.46</v>
      </c>
      <c r="G940" s="2" t="str">
        <f aca="false">PROPER(TRIM(Raw_Data!G940))</f>
        <v>696 Main St</v>
      </c>
      <c r="H940" s="2" t="str">
        <f aca="false">PROPER(TRIM(Raw_Data!H940))</f>
        <v>Credit Card</v>
      </c>
      <c r="I940" s="2" t="str">
        <f aca="false">PROPER(TRIM(Raw_Data!I940))</f>
        <v>Cancelled</v>
      </c>
      <c r="J940" s="2" t="str">
        <f aca="false">TRIM(UPPER(Raw_Data!J940))</f>
        <v>TRK91155214</v>
      </c>
      <c r="K940" s="2" t="n">
        <f aca="false">Raw_Data!K940</f>
        <v>6</v>
      </c>
      <c r="L940" s="2" t="str">
        <f aca="false">IF(TRIM(Raw_Data!L940)="","No Coupon",TRIM(UPPER(Raw_Data!L940)))</f>
        <v>WINTER15</v>
      </c>
      <c r="M940" s="2" t="str">
        <f aca="false">PROPER(TRIM(Raw_Data!M940))</f>
        <v>Referral</v>
      </c>
      <c r="N940" s="4" t="n">
        <f aca="false">ROUND(E940*F940,2)</f>
        <v>994.38</v>
      </c>
      <c r="O940" s="2" t="str">
        <f aca="false">IF(COUNTIF($A$2:$A$1201,A940)&gt;1,"DUPLICATE","Unique")</f>
        <v>Unique</v>
      </c>
      <c r="P940" s="2" t="str">
        <f aca="false">IF(L940="","MISSING","OK")</f>
        <v>OK</v>
      </c>
      <c r="Q940" s="2" t="str">
        <f aca="false">IF(ISNUMBER(B940),"OK","BAD DATE")</f>
        <v>OK</v>
      </c>
      <c r="R940" s="2" t="str">
        <f aca="false">IF(ROUND(F940,2)=F940,"OK","FIX")</f>
        <v>OK</v>
      </c>
    </row>
    <row r="941" customFormat="false" ht="15" hidden="false" customHeight="false" outlineLevel="0" collapsed="false">
      <c r="A941" s="2" t="str">
        <f aca="false">TRIM(UPPER(Raw_Data!A941))</f>
        <v>ORD200939</v>
      </c>
      <c r="B941" s="3" t="n">
        <f aca="false">IF(ISNUMBER(Raw_Data!B941),Raw_Data!B941,DATEVALUE(Raw_Data!B941))</f>
        <v>45763</v>
      </c>
      <c r="C941" s="2" t="str">
        <f aca="false">TRIM(UPPER(Raw_Data!C941))</f>
        <v>C48510</v>
      </c>
      <c r="D941" s="2" t="str">
        <f aca="false">PROPER(TRIM(Raw_Data!D941))</f>
        <v>Laptop</v>
      </c>
      <c r="E941" s="2" t="n">
        <f aca="false">Raw_Data!E941</f>
        <v>2</v>
      </c>
      <c r="F941" s="4" t="n">
        <f aca="false">ROUND(Raw_Data!F941,2)</f>
        <v>521.4</v>
      </c>
      <c r="G941" s="2" t="str">
        <f aca="false">PROPER(TRIM(Raw_Data!G941))</f>
        <v>212 Main St</v>
      </c>
      <c r="H941" s="2" t="str">
        <f aca="false">PROPER(TRIM(Raw_Data!H941))</f>
        <v>Cash</v>
      </c>
      <c r="I941" s="2" t="str">
        <f aca="false">PROPER(TRIM(Raw_Data!I941))</f>
        <v>Delivered</v>
      </c>
      <c r="J941" s="2" t="str">
        <f aca="false">TRIM(UPPER(Raw_Data!J941))</f>
        <v>TRK53152886</v>
      </c>
      <c r="K941" s="2" t="n">
        <f aca="false">Raw_Data!K941</f>
        <v>7</v>
      </c>
      <c r="L941" s="2" t="str">
        <f aca="false">IF(TRIM(Raw_Data!L941)="","No Coupon",TRIM(UPPER(Raw_Data!L941)))</f>
        <v>SAVE10</v>
      </c>
      <c r="M941" s="2" t="str">
        <f aca="false">PROPER(TRIM(Raw_Data!M941))</f>
        <v>Instagram</v>
      </c>
      <c r="N941" s="4" t="n">
        <f aca="false">ROUND(E941*F941,2)</f>
        <v>1042.8</v>
      </c>
      <c r="O941" s="2" t="str">
        <f aca="false">IF(COUNTIF($A$2:$A$1201,A941)&gt;1,"DUPLICATE","Unique")</f>
        <v>Unique</v>
      </c>
      <c r="P941" s="2" t="str">
        <f aca="false">IF(L941="","MISSING","OK")</f>
        <v>OK</v>
      </c>
      <c r="Q941" s="2" t="str">
        <f aca="false">IF(ISNUMBER(B941),"OK","BAD DATE")</f>
        <v>OK</v>
      </c>
      <c r="R941" s="2" t="str">
        <f aca="false">IF(ROUND(F941,2)=F941,"OK","FIX")</f>
        <v>OK</v>
      </c>
    </row>
    <row r="942" customFormat="false" ht="15" hidden="false" customHeight="false" outlineLevel="0" collapsed="false">
      <c r="A942" s="2" t="str">
        <f aca="false">TRIM(UPPER(Raw_Data!A942))</f>
        <v>ORD200940</v>
      </c>
      <c r="B942" s="3" t="n">
        <f aca="false">IF(ISNUMBER(Raw_Data!B942),Raw_Data!B942,DATEVALUE(Raw_Data!B942))</f>
        <v>45012</v>
      </c>
      <c r="C942" s="2" t="str">
        <f aca="false">TRIM(UPPER(Raw_Data!C942))</f>
        <v>C74003</v>
      </c>
      <c r="D942" s="2" t="str">
        <f aca="false">PROPER(TRIM(Raw_Data!D942))</f>
        <v>Printer</v>
      </c>
      <c r="E942" s="2" t="n">
        <f aca="false">Raw_Data!E942</f>
        <v>4</v>
      </c>
      <c r="F942" s="4" t="n">
        <f aca="false">ROUND(Raw_Data!F942,2)</f>
        <v>305.32</v>
      </c>
      <c r="G942" s="2" t="str">
        <f aca="false">PROPER(TRIM(Raw_Data!G942))</f>
        <v>679 Main St</v>
      </c>
      <c r="H942" s="2" t="str">
        <f aca="false">PROPER(TRIM(Raw_Data!H942))</f>
        <v>Online</v>
      </c>
      <c r="I942" s="2" t="str">
        <f aca="false">PROPER(TRIM(Raw_Data!I942))</f>
        <v>Cancelled</v>
      </c>
      <c r="J942" s="2" t="str">
        <f aca="false">TRIM(UPPER(Raw_Data!J942))</f>
        <v>TRK91525779</v>
      </c>
      <c r="K942" s="2" t="n">
        <f aca="false">Raw_Data!K942</f>
        <v>4</v>
      </c>
      <c r="L942" s="2" t="str">
        <f aca="false">IF(TRIM(Raw_Data!L942)="","No Coupon",TRIM(UPPER(Raw_Data!L942)))</f>
        <v>SAVE10</v>
      </c>
      <c r="M942" s="2" t="str">
        <f aca="false">PROPER(TRIM(Raw_Data!M942))</f>
        <v>Google</v>
      </c>
      <c r="N942" s="4" t="n">
        <f aca="false">ROUND(E942*F942,2)</f>
        <v>1221.28</v>
      </c>
      <c r="O942" s="2" t="str">
        <f aca="false">IF(COUNTIF($A$2:$A$1201,A942)&gt;1,"DUPLICATE","Unique")</f>
        <v>Unique</v>
      </c>
      <c r="P942" s="2" t="str">
        <f aca="false">IF(L942="","MISSING","OK")</f>
        <v>OK</v>
      </c>
      <c r="Q942" s="2" t="str">
        <f aca="false">IF(ISNUMBER(B942),"OK","BAD DATE")</f>
        <v>OK</v>
      </c>
      <c r="R942" s="2" t="str">
        <f aca="false">IF(ROUND(F942,2)=F942,"OK","FIX")</f>
        <v>OK</v>
      </c>
    </row>
    <row r="943" customFormat="false" ht="15" hidden="false" customHeight="false" outlineLevel="0" collapsed="false">
      <c r="A943" s="2" t="str">
        <f aca="false">TRIM(UPPER(Raw_Data!A943))</f>
        <v>ORD200941</v>
      </c>
      <c r="B943" s="3" t="n">
        <f aca="false">IF(ISNUMBER(Raw_Data!B943),Raw_Data!B943,DATEVALUE(Raw_Data!B943))</f>
        <v>45124</v>
      </c>
      <c r="C943" s="2" t="str">
        <f aca="false">TRIM(UPPER(Raw_Data!C943))</f>
        <v>C91155</v>
      </c>
      <c r="D943" s="2" t="str">
        <f aca="false">PROPER(TRIM(Raw_Data!D943))</f>
        <v>Printer</v>
      </c>
      <c r="E943" s="2" t="n">
        <f aca="false">Raw_Data!E943</f>
        <v>5</v>
      </c>
      <c r="F943" s="4" t="n">
        <f aca="false">ROUND(Raw_Data!F943,2)</f>
        <v>111.7</v>
      </c>
      <c r="G943" s="2" t="str">
        <f aca="false">PROPER(TRIM(Raw_Data!G943))</f>
        <v>599 Main St</v>
      </c>
      <c r="H943" s="2" t="str">
        <f aca="false">PROPER(TRIM(Raw_Data!H943))</f>
        <v>Credit Card</v>
      </c>
      <c r="I943" s="2" t="str">
        <f aca="false">PROPER(TRIM(Raw_Data!I943))</f>
        <v>Cancelled</v>
      </c>
      <c r="J943" s="2" t="str">
        <f aca="false">TRIM(UPPER(Raw_Data!J943))</f>
        <v>TRK82162952</v>
      </c>
      <c r="K943" s="2" t="n">
        <f aca="false">Raw_Data!K943</f>
        <v>9</v>
      </c>
      <c r="L943" s="2" t="str">
        <f aca="false">IF(TRIM(Raw_Data!L943)="","No Coupon",TRIM(UPPER(Raw_Data!L943)))</f>
        <v>FREESHIP</v>
      </c>
      <c r="M943" s="2" t="str">
        <f aca="false">PROPER(TRIM(Raw_Data!M943))</f>
        <v>Email</v>
      </c>
      <c r="N943" s="4" t="n">
        <f aca="false">ROUND(E943*F943,2)</f>
        <v>558.5</v>
      </c>
      <c r="O943" s="2" t="str">
        <f aca="false">IF(COUNTIF($A$2:$A$1201,A943)&gt;1,"DUPLICATE","Unique")</f>
        <v>Unique</v>
      </c>
      <c r="P943" s="2" t="str">
        <f aca="false">IF(L943="","MISSING","OK")</f>
        <v>OK</v>
      </c>
      <c r="Q943" s="2" t="str">
        <f aca="false">IF(ISNUMBER(B943),"OK","BAD DATE")</f>
        <v>OK</v>
      </c>
      <c r="R943" s="2" t="str">
        <f aca="false">IF(ROUND(F943,2)=F943,"OK","FIX")</f>
        <v>OK</v>
      </c>
    </row>
    <row r="944" customFormat="false" ht="15" hidden="false" customHeight="false" outlineLevel="0" collapsed="false">
      <c r="A944" s="2" t="str">
        <f aca="false">TRIM(UPPER(Raw_Data!A944))</f>
        <v>ORD200942</v>
      </c>
      <c r="B944" s="3" t="n">
        <f aca="false">IF(ISNUMBER(Raw_Data!B944),Raw_Data!B944,DATEVALUE(Raw_Data!B944))</f>
        <v>45198</v>
      </c>
      <c r="C944" s="2" t="str">
        <f aca="false">TRIM(UPPER(Raw_Data!C944))</f>
        <v>C17591</v>
      </c>
      <c r="D944" s="2" t="str">
        <f aca="false">PROPER(TRIM(Raw_Data!D944))</f>
        <v>Tablet</v>
      </c>
      <c r="E944" s="2" t="n">
        <f aca="false">Raw_Data!E944</f>
        <v>1</v>
      </c>
      <c r="F944" s="4" t="n">
        <f aca="false">ROUND(Raw_Data!F944,2)</f>
        <v>479.76</v>
      </c>
      <c r="G944" s="2" t="str">
        <f aca="false">PROPER(TRIM(Raw_Data!G944))</f>
        <v>882 Main St</v>
      </c>
      <c r="H944" s="2" t="str">
        <f aca="false">PROPER(TRIM(Raw_Data!H944))</f>
        <v>Credit Card</v>
      </c>
      <c r="I944" s="2" t="str">
        <f aca="false">PROPER(TRIM(Raw_Data!I944))</f>
        <v>Pending</v>
      </c>
      <c r="J944" s="2" t="str">
        <f aca="false">TRIM(UPPER(Raw_Data!J944))</f>
        <v>TRK56070470</v>
      </c>
      <c r="K944" s="2" t="n">
        <f aca="false">Raw_Data!K944</f>
        <v>1</v>
      </c>
      <c r="L944" s="2" t="str">
        <f aca="false">IF(TRIM(Raw_Data!L944)="","No Coupon",TRIM(UPPER(Raw_Data!L944)))</f>
        <v>No Coupon</v>
      </c>
      <c r="M944" s="2" t="str">
        <f aca="false">PROPER(TRIM(Raw_Data!M944))</f>
        <v>Email</v>
      </c>
      <c r="N944" s="4" t="n">
        <f aca="false">ROUND(E944*F944,2)</f>
        <v>479.76</v>
      </c>
      <c r="O944" s="2" t="str">
        <f aca="false">IF(COUNTIF($A$2:$A$1201,A944)&gt;1,"DUPLICATE","Unique")</f>
        <v>Unique</v>
      </c>
      <c r="P944" s="2" t="str">
        <f aca="false">IF(L944="","MISSING","OK")</f>
        <v>OK</v>
      </c>
      <c r="Q944" s="2" t="str">
        <f aca="false">IF(ISNUMBER(B944),"OK","BAD DATE")</f>
        <v>OK</v>
      </c>
      <c r="R944" s="2" t="str">
        <f aca="false">IF(ROUND(F944,2)=F944,"OK","FIX")</f>
        <v>OK</v>
      </c>
    </row>
    <row r="945" customFormat="false" ht="15" hidden="false" customHeight="false" outlineLevel="0" collapsed="false">
      <c r="A945" s="2" t="str">
        <f aca="false">TRIM(UPPER(Raw_Data!A945))</f>
        <v>ORD200943</v>
      </c>
      <c r="B945" s="3" t="n">
        <f aca="false">IF(ISNUMBER(Raw_Data!B945),Raw_Data!B945,DATEVALUE(Raw_Data!B945))</f>
        <v>45287</v>
      </c>
      <c r="C945" s="2" t="str">
        <f aca="false">TRIM(UPPER(Raw_Data!C945))</f>
        <v>C43330</v>
      </c>
      <c r="D945" s="2" t="str">
        <f aca="false">PROPER(TRIM(Raw_Data!D945))</f>
        <v>Monitor</v>
      </c>
      <c r="E945" s="2" t="n">
        <f aca="false">Raw_Data!E945</f>
        <v>3</v>
      </c>
      <c r="F945" s="4" t="n">
        <f aca="false">ROUND(Raw_Data!F945,2)</f>
        <v>193.49</v>
      </c>
      <c r="G945" s="2" t="str">
        <f aca="false">PROPER(TRIM(Raw_Data!G945))</f>
        <v>355 Main St</v>
      </c>
      <c r="H945" s="2" t="str">
        <f aca="false">PROPER(TRIM(Raw_Data!H945))</f>
        <v>Gift Card</v>
      </c>
      <c r="I945" s="2" t="str">
        <f aca="false">PROPER(TRIM(Raw_Data!I945))</f>
        <v>Returned</v>
      </c>
      <c r="J945" s="2" t="str">
        <f aca="false">TRIM(UPPER(Raw_Data!J945))</f>
        <v>TRK71594838</v>
      </c>
      <c r="K945" s="2" t="n">
        <f aca="false">Raw_Data!K945</f>
        <v>6</v>
      </c>
      <c r="L945" s="2" t="str">
        <f aca="false">IF(TRIM(Raw_Data!L945)="","No Coupon",TRIM(UPPER(Raw_Data!L945)))</f>
        <v>FREESHIP</v>
      </c>
      <c r="M945" s="2" t="str">
        <f aca="false">PROPER(TRIM(Raw_Data!M945))</f>
        <v>Facebook</v>
      </c>
      <c r="N945" s="4" t="n">
        <f aca="false">ROUND(E945*F945,2)</f>
        <v>580.47</v>
      </c>
      <c r="O945" s="2" t="str">
        <f aca="false">IF(COUNTIF($A$2:$A$1201,A945)&gt;1,"DUPLICATE","Unique")</f>
        <v>Unique</v>
      </c>
      <c r="P945" s="2" t="str">
        <f aca="false">IF(L945="","MISSING","OK")</f>
        <v>OK</v>
      </c>
      <c r="Q945" s="2" t="str">
        <f aca="false">IF(ISNUMBER(B945),"OK","BAD DATE")</f>
        <v>OK</v>
      </c>
      <c r="R945" s="2" t="str">
        <f aca="false">IF(ROUND(F945,2)=F945,"OK","FIX")</f>
        <v>OK</v>
      </c>
    </row>
    <row r="946" customFormat="false" ht="15" hidden="false" customHeight="false" outlineLevel="0" collapsed="false">
      <c r="A946" s="2" t="str">
        <f aca="false">TRIM(UPPER(Raw_Data!A946))</f>
        <v>ORD200944</v>
      </c>
      <c r="B946" s="3" t="n">
        <f aca="false">IF(ISNUMBER(Raw_Data!B946),Raw_Data!B946,DATEVALUE(Raw_Data!B946))</f>
        <v>45642</v>
      </c>
      <c r="C946" s="2" t="str">
        <f aca="false">TRIM(UPPER(Raw_Data!C946))</f>
        <v>C32687</v>
      </c>
      <c r="D946" s="2" t="str">
        <f aca="false">PROPER(TRIM(Raw_Data!D946))</f>
        <v>Laptop</v>
      </c>
      <c r="E946" s="2" t="n">
        <f aca="false">Raw_Data!E946</f>
        <v>2</v>
      </c>
      <c r="F946" s="4" t="n">
        <f aca="false">ROUND(Raw_Data!F946,2)</f>
        <v>426.22</v>
      </c>
      <c r="G946" s="2" t="str">
        <f aca="false">PROPER(TRIM(Raw_Data!G946))</f>
        <v>448 Main St</v>
      </c>
      <c r="H946" s="2" t="str">
        <f aca="false">PROPER(TRIM(Raw_Data!H946))</f>
        <v>Online</v>
      </c>
      <c r="I946" s="2" t="str">
        <f aca="false">PROPER(TRIM(Raw_Data!I946))</f>
        <v>Delivered</v>
      </c>
      <c r="J946" s="2" t="str">
        <f aca="false">TRIM(UPPER(Raw_Data!J946))</f>
        <v>TRK98284560</v>
      </c>
      <c r="K946" s="2" t="n">
        <f aca="false">Raw_Data!K946</f>
        <v>7</v>
      </c>
      <c r="L946" s="2" t="str">
        <f aca="false">IF(TRIM(Raw_Data!L946)="","No Coupon",TRIM(UPPER(Raw_Data!L946)))</f>
        <v>WINTER15</v>
      </c>
      <c r="M946" s="2" t="str">
        <f aca="false">PROPER(TRIM(Raw_Data!M946))</f>
        <v>Google</v>
      </c>
      <c r="N946" s="4" t="n">
        <f aca="false">ROUND(E946*F946,2)</f>
        <v>852.44</v>
      </c>
      <c r="O946" s="2" t="str">
        <f aca="false">IF(COUNTIF($A$2:$A$1201,A946)&gt;1,"DUPLICATE","Unique")</f>
        <v>Unique</v>
      </c>
      <c r="P946" s="2" t="str">
        <f aca="false">IF(L946="","MISSING","OK")</f>
        <v>OK</v>
      </c>
      <c r="Q946" s="2" t="str">
        <f aca="false">IF(ISNUMBER(B946),"OK","BAD DATE")</f>
        <v>OK</v>
      </c>
      <c r="R946" s="2" t="str">
        <f aca="false">IF(ROUND(F946,2)=F946,"OK","FIX")</f>
        <v>OK</v>
      </c>
    </row>
    <row r="947" customFormat="false" ht="15" hidden="false" customHeight="false" outlineLevel="0" collapsed="false">
      <c r="A947" s="2" t="str">
        <f aca="false">TRIM(UPPER(Raw_Data!A947))</f>
        <v>ORD200945</v>
      </c>
      <c r="B947" s="3" t="n">
        <f aca="false">IF(ISNUMBER(Raw_Data!B947),Raw_Data!B947,DATEVALUE(Raw_Data!B947))</f>
        <v>45158</v>
      </c>
      <c r="C947" s="2" t="str">
        <f aca="false">TRIM(UPPER(Raw_Data!C947))</f>
        <v>C79722</v>
      </c>
      <c r="D947" s="2" t="str">
        <f aca="false">PROPER(TRIM(Raw_Data!D947))</f>
        <v>Tablet</v>
      </c>
      <c r="E947" s="2" t="n">
        <f aca="false">Raw_Data!E947</f>
        <v>5</v>
      </c>
      <c r="F947" s="4" t="n">
        <f aca="false">ROUND(Raw_Data!F947,2)</f>
        <v>276.44</v>
      </c>
      <c r="G947" s="2" t="str">
        <f aca="false">PROPER(TRIM(Raw_Data!G947))</f>
        <v>619 Main St</v>
      </c>
      <c r="H947" s="2" t="str">
        <f aca="false">PROPER(TRIM(Raw_Data!H947))</f>
        <v>Gift Card</v>
      </c>
      <c r="I947" s="2" t="str">
        <f aca="false">PROPER(TRIM(Raw_Data!I947))</f>
        <v>Shipped</v>
      </c>
      <c r="J947" s="2" t="str">
        <f aca="false">TRIM(UPPER(Raw_Data!J947))</f>
        <v>TRK29976438</v>
      </c>
      <c r="K947" s="2" t="n">
        <f aca="false">Raw_Data!K947</f>
        <v>10</v>
      </c>
      <c r="L947" s="2" t="str">
        <f aca="false">IF(TRIM(Raw_Data!L947)="","No Coupon",TRIM(UPPER(Raw_Data!L947)))</f>
        <v>FREESHIP</v>
      </c>
      <c r="M947" s="2" t="str">
        <f aca="false">PROPER(TRIM(Raw_Data!M947))</f>
        <v>Referral</v>
      </c>
      <c r="N947" s="4" t="n">
        <f aca="false">ROUND(E947*F947,2)</f>
        <v>1382.2</v>
      </c>
      <c r="O947" s="2" t="str">
        <f aca="false">IF(COUNTIF($A$2:$A$1201,A947)&gt;1,"DUPLICATE","Unique")</f>
        <v>Unique</v>
      </c>
      <c r="P947" s="2" t="str">
        <f aca="false">IF(L947="","MISSING","OK")</f>
        <v>OK</v>
      </c>
      <c r="Q947" s="2" t="str">
        <f aca="false">IF(ISNUMBER(B947),"OK","BAD DATE")</f>
        <v>OK</v>
      </c>
      <c r="R947" s="2" t="str">
        <f aca="false">IF(ROUND(F947,2)=F947,"OK","FIX")</f>
        <v>OK</v>
      </c>
    </row>
    <row r="948" customFormat="false" ht="15" hidden="false" customHeight="false" outlineLevel="0" collapsed="false">
      <c r="A948" s="2" t="str">
        <f aca="false">TRIM(UPPER(Raw_Data!A948))</f>
        <v>ORD200946</v>
      </c>
      <c r="B948" s="3" t="n">
        <f aca="false">IF(ISNUMBER(Raw_Data!B948),Raw_Data!B948,DATEVALUE(Raw_Data!B948))</f>
        <v>45416</v>
      </c>
      <c r="C948" s="2" t="str">
        <f aca="false">TRIM(UPPER(Raw_Data!C948))</f>
        <v>C65021</v>
      </c>
      <c r="D948" s="2" t="str">
        <f aca="false">PROPER(TRIM(Raw_Data!D948))</f>
        <v>Phone</v>
      </c>
      <c r="E948" s="2" t="n">
        <f aca="false">Raw_Data!E948</f>
        <v>2</v>
      </c>
      <c r="F948" s="4" t="n">
        <f aca="false">ROUND(Raw_Data!F948,2)</f>
        <v>404.96</v>
      </c>
      <c r="G948" s="2" t="str">
        <f aca="false">PROPER(TRIM(Raw_Data!G948))</f>
        <v>546 Main St</v>
      </c>
      <c r="H948" s="2" t="str">
        <f aca="false">PROPER(TRIM(Raw_Data!H948))</f>
        <v>Cash</v>
      </c>
      <c r="I948" s="2" t="str">
        <f aca="false">PROPER(TRIM(Raw_Data!I948))</f>
        <v>Shipped</v>
      </c>
      <c r="J948" s="2" t="str">
        <f aca="false">TRIM(UPPER(Raw_Data!J948))</f>
        <v>TRK20626179</v>
      </c>
      <c r="K948" s="2" t="n">
        <f aca="false">Raw_Data!K948</f>
        <v>4</v>
      </c>
      <c r="L948" s="2" t="str">
        <f aca="false">IF(TRIM(Raw_Data!L948)="","No Coupon",TRIM(UPPER(Raw_Data!L948)))</f>
        <v>SAVE10</v>
      </c>
      <c r="M948" s="2" t="str">
        <f aca="false">PROPER(TRIM(Raw_Data!M948))</f>
        <v>Email</v>
      </c>
      <c r="N948" s="4" t="n">
        <f aca="false">ROUND(E948*F948,2)</f>
        <v>809.92</v>
      </c>
      <c r="O948" s="2" t="str">
        <f aca="false">IF(COUNTIF($A$2:$A$1201,A948)&gt;1,"DUPLICATE","Unique")</f>
        <v>Unique</v>
      </c>
      <c r="P948" s="2" t="str">
        <f aca="false">IF(L948="","MISSING","OK")</f>
        <v>OK</v>
      </c>
      <c r="Q948" s="2" t="str">
        <f aca="false">IF(ISNUMBER(B948),"OK","BAD DATE")</f>
        <v>OK</v>
      </c>
      <c r="R948" s="2" t="str">
        <f aca="false">IF(ROUND(F948,2)=F948,"OK","FIX")</f>
        <v>OK</v>
      </c>
    </row>
    <row r="949" customFormat="false" ht="15" hidden="false" customHeight="false" outlineLevel="0" collapsed="false">
      <c r="A949" s="2" t="str">
        <f aca="false">TRIM(UPPER(Raw_Data!A949))</f>
        <v>ORD200947</v>
      </c>
      <c r="B949" s="3" t="n">
        <f aca="false">IF(ISNUMBER(Raw_Data!B949),Raw_Data!B949,DATEVALUE(Raw_Data!B949))</f>
        <v>45176</v>
      </c>
      <c r="C949" s="2" t="str">
        <f aca="false">TRIM(UPPER(Raw_Data!C949))</f>
        <v>C85520</v>
      </c>
      <c r="D949" s="2" t="str">
        <f aca="false">PROPER(TRIM(Raw_Data!D949))</f>
        <v>Phone</v>
      </c>
      <c r="E949" s="2" t="n">
        <f aca="false">Raw_Data!E949</f>
        <v>4</v>
      </c>
      <c r="F949" s="4" t="n">
        <f aca="false">ROUND(Raw_Data!F949,2)</f>
        <v>465.66</v>
      </c>
      <c r="G949" s="2" t="str">
        <f aca="false">PROPER(TRIM(Raw_Data!G949))</f>
        <v>119 Main St</v>
      </c>
      <c r="H949" s="2" t="str">
        <f aca="false">PROPER(TRIM(Raw_Data!H949))</f>
        <v>Online</v>
      </c>
      <c r="I949" s="2" t="str">
        <f aca="false">PROPER(TRIM(Raw_Data!I949))</f>
        <v>Returned</v>
      </c>
      <c r="J949" s="2" t="str">
        <f aca="false">TRIM(UPPER(Raw_Data!J949))</f>
        <v>TRK65994177</v>
      </c>
      <c r="K949" s="2" t="n">
        <f aca="false">Raw_Data!K949</f>
        <v>9</v>
      </c>
      <c r="L949" s="2" t="str">
        <f aca="false">IF(TRIM(Raw_Data!L949)="","No Coupon",TRIM(UPPER(Raw_Data!L949)))</f>
        <v>FREESHIP</v>
      </c>
      <c r="M949" s="2" t="str">
        <f aca="false">PROPER(TRIM(Raw_Data!M949))</f>
        <v>Email</v>
      </c>
      <c r="N949" s="4" t="n">
        <f aca="false">ROUND(E949*F949,2)</f>
        <v>1862.64</v>
      </c>
      <c r="O949" s="2" t="str">
        <f aca="false">IF(COUNTIF($A$2:$A$1201,A949)&gt;1,"DUPLICATE","Unique")</f>
        <v>Unique</v>
      </c>
      <c r="P949" s="2" t="str">
        <f aca="false">IF(L949="","MISSING","OK")</f>
        <v>OK</v>
      </c>
      <c r="Q949" s="2" t="str">
        <f aca="false">IF(ISNUMBER(B949),"OK","BAD DATE")</f>
        <v>OK</v>
      </c>
      <c r="R949" s="2" t="str">
        <f aca="false">IF(ROUND(F949,2)=F949,"OK","FIX")</f>
        <v>OK</v>
      </c>
    </row>
    <row r="950" customFormat="false" ht="15" hidden="false" customHeight="false" outlineLevel="0" collapsed="false">
      <c r="A950" s="2" t="str">
        <f aca="false">TRIM(UPPER(Raw_Data!A950))</f>
        <v>ORD200948</v>
      </c>
      <c r="B950" s="3" t="n">
        <f aca="false">IF(ISNUMBER(Raw_Data!B950),Raw_Data!B950,DATEVALUE(Raw_Data!B950))</f>
        <v>45464</v>
      </c>
      <c r="C950" s="2" t="str">
        <f aca="false">TRIM(UPPER(Raw_Data!C950))</f>
        <v>C94569</v>
      </c>
      <c r="D950" s="2" t="str">
        <f aca="false">PROPER(TRIM(Raw_Data!D950))</f>
        <v>Phone</v>
      </c>
      <c r="E950" s="2" t="n">
        <f aca="false">Raw_Data!E950</f>
        <v>2</v>
      </c>
      <c r="F950" s="4" t="n">
        <f aca="false">ROUND(Raw_Data!F950,2)</f>
        <v>594.07</v>
      </c>
      <c r="G950" s="2" t="str">
        <f aca="false">PROPER(TRIM(Raw_Data!G950))</f>
        <v>739 Main St</v>
      </c>
      <c r="H950" s="2" t="str">
        <f aca="false">PROPER(TRIM(Raw_Data!H950))</f>
        <v>Gift Card</v>
      </c>
      <c r="I950" s="2" t="str">
        <f aca="false">PROPER(TRIM(Raw_Data!I950))</f>
        <v>Cancelled</v>
      </c>
      <c r="J950" s="2" t="str">
        <f aca="false">TRIM(UPPER(Raw_Data!J950))</f>
        <v>TRK79269291</v>
      </c>
      <c r="K950" s="2" t="n">
        <f aca="false">Raw_Data!K950</f>
        <v>2</v>
      </c>
      <c r="L950" s="2" t="str">
        <f aca="false">IF(TRIM(Raw_Data!L950)="","No Coupon",TRIM(UPPER(Raw_Data!L950)))</f>
        <v>No Coupon</v>
      </c>
      <c r="M950" s="2" t="str">
        <f aca="false">PROPER(TRIM(Raw_Data!M950))</f>
        <v>Google</v>
      </c>
      <c r="N950" s="4" t="n">
        <f aca="false">ROUND(E950*F950,2)</f>
        <v>1188.14</v>
      </c>
      <c r="O950" s="2" t="str">
        <f aca="false">IF(COUNTIF($A$2:$A$1201,A950)&gt;1,"DUPLICATE","Unique")</f>
        <v>Unique</v>
      </c>
      <c r="P950" s="2" t="str">
        <f aca="false">IF(L950="","MISSING","OK")</f>
        <v>OK</v>
      </c>
      <c r="Q950" s="2" t="str">
        <f aca="false">IF(ISNUMBER(B950),"OK","BAD DATE")</f>
        <v>OK</v>
      </c>
      <c r="R950" s="2" t="str">
        <f aca="false">IF(ROUND(F950,2)=F950,"OK","FIX")</f>
        <v>OK</v>
      </c>
    </row>
    <row r="951" customFormat="false" ht="15" hidden="false" customHeight="false" outlineLevel="0" collapsed="false">
      <c r="A951" s="2" t="str">
        <f aca="false">TRIM(UPPER(Raw_Data!A951))</f>
        <v>ORD200949</v>
      </c>
      <c r="B951" s="3" t="n">
        <f aca="false">IF(ISNUMBER(Raw_Data!B951),Raw_Data!B951,DATEVALUE(Raw_Data!B951))</f>
        <v>45239</v>
      </c>
      <c r="C951" s="2" t="str">
        <f aca="false">TRIM(UPPER(Raw_Data!C951))</f>
        <v>C55778</v>
      </c>
      <c r="D951" s="2" t="str">
        <f aca="false">PROPER(TRIM(Raw_Data!D951))</f>
        <v>Desk</v>
      </c>
      <c r="E951" s="2" t="n">
        <f aca="false">Raw_Data!E951</f>
        <v>5</v>
      </c>
      <c r="F951" s="4" t="n">
        <f aca="false">ROUND(Raw_Data!F951,2)</f>
        <v>110.38</v>
      </c>
      <c r="G951" s="2" t="str">
        <f aca="false">PROPER(TRIM(Raw_Data!G951))</f>
        <v>319 Main St</v>
      </c>
      <c r="H951" s="2" t="str">
        <f aca="false">PROPER(TRIM(Raw_Data!H951))</f>
        <v>Cash</v>
      </c>
      <c r="I951" s="2" t="str">
        <f aca="false">PROPER(TRIM(Raw_Data!I951))</f>
        <v>Pending</v>
      </c>
      <c r="J951" s="2" t="str">
        <f aca="false">TRIM(UPPER(Raw_Data!J951))</f>
        <v>TRK93797108</v>
      </c>
      <c r="K951" s="2" t="n">
        <f aca="false">Raw_Data!K951</f>
        <v>10</v>
      </c>
      <c r="L951" s="2" t="str">
        <f aca="false">IF(TRIM(Raw_Data!L951)="","No Coupon",TRIM(UPPER(Raw_Data!L951)))</f>
        <v>No Coupon</v>
      </c>
      <c r="M951" s="2" t="str">
        <f aca="false">PROPER(TRIM(Raw_Data!M951))</f>
        <v>Referral</v>
      </c>
      <c r="N951" s="4" t="n">
        <f aca="false">ROUND(E951*F951,2)</f>
        <v>551.9</v>
      </c>
      <c r="O951" s="2" t="str">
        <f aca="false">IF(COUNTIF($A$2:$A$1201,A951)&gt;1,"DUPLICATE","Unique")</f>
        <v>Unique</v>
      </c>
      <c r="P951" s="2" t="str">
        <f aca="false">IF(L951="","MISSING","OK")</f>
        <v>OK</v>
      </c>
      <c r="Q951" s="2" t="str">
        <f aca="false">IF(ISNUMBER(B951),"OK","BAD DATE")</f>
        <v>OK</v>
      </c>
      <c r="R951" s="2" t="str">
        <f aca="false">IF(ROUND(F951,2)=F951,"OK","FIX")</f>
        <v>OK</v>
      </c>
    </row>
    <row r="952" customFormat="false" ht="15" hidden="false" customHeight="false" outlineLevel="0" collapsed="false">
      <c r="A952" s="2" t="str">
        <f aca="false">TRIM(UPPER(Raw_Data!A952))</f>
        <v>ORD200950</v>
      </c>
      <c r="B952" s="3" t="n">
        <f aca="false">IF(ISNUMBER(Raw_Data!B952),Raw_Data!B952,DATEVALUE(Raw_Data!B952))</f>
        <v>45443</v>
      </c>
      <c r="C952" s="2" t="str">
        <f aca="false">TRIM(UPPER(Raw_Data!C952))</f>
        <v>C19722</v>
      </c>
      <c r="D952" s="2" t="str">
        <f aca="false">PROPER(TRIM(Raw_Data!D952))</f>
        <v>Laptop</v>
      </c>
      <c r="E952" s="2" t="n">
        <f aca="false">Raw_Data!E952</f>
        <v>1</v>
      </c>
      <c r="F952" s="4" t="n">
        <f aca="false">ROUND(Raw_Data!F952,2)</f>
        <v>596.24</v>
      </c>
      <c r="G952" s="2" t="str">
        <f aca="false">PROPER(TRIM(Raw_Data!G952))</f>
        <v>891 Main St</v>
      </c>
      <c r="H952" s="2" t="str">
        <f aca="false">PROPER(TRIM(Raw_Data!H952))</f>
        <v>Credit Card</v>
      </c>
      <c r="I952" s="2" t="str">
        <f aca="false">PROPER(TRIM(Raw_Data!I952))</f>
        <v>Returned</v>
      </c>
      <c r="J952" s="2" t="str">
        <f aca="false">TRIM(UPPER(Raw_Data!J952))</f>
        <v>TRK78094361</v>
      </c>
      <c r="K952" s="2" t="n">
        <f aca="false">Raw_Data!K952</f>
        <v>4</v>
      </c>
      <c r="L952" s="2" t="str">
        <f aca="false">IF(TRIM(Raw_Data!L952)="","No Coupon",TRIM(UPPER(Raw_Data!L952)))</f>
        <v>FREESHIP</v>
      </c>
      <c r="M952" s="2" t="str">
        <f aca="false">PROPER(TRIM(Raw_Data!M952))</f>
        <v>Instagram</v>
      </c>
      <c r="N952" s="4" t="n">
        <f aca="false">ROUND(E952*F952,2)</f>
        <v>596.24</v>
      </c>
      <c r="O952" s="2" t="str">
        <f aca="false">IF(COUNTIF($A$2:$A$1201,A952)&gt;1,"DUPLICATE","Unique")</f>
        <v>Unique</v>
      </c>
      <c r="P952" s="2" t="str">
        <f aca="false">IF(L952="","MISSING","OK")</f>
        <v>OK</v>
      </c>
      <c r="Q952" s="2" t="str">
        <f aca="false">IF(ISNUMBER(B952),"OK","BAD DATE")</f>
        <v>OK</v>
      </c>
      <c r="R952" s="2" t="str">
        <f aca="false">IF(ROUND(F952,2)=F952,"OK","FIX")</f>
        <v>OK</v>
      </c>
    </row>
    <row r="953" customFormat="false" ht="15" hidden="false" customHeight="false" outlineLevel="0" collapsed="false">
      <c r="A953" s="2" t="str">
        <f aca="false">TRIM(UPPER(Raw_Data!A953))</f>
        <v>ORD200951</v>
      </c>
      <c r="B953" s="3" t="n">
        <f aca="false">IF(ISNUMBER(Raw_Data!B953),Raw_Data!B953,DATEVALUE(Raw_Data!B953))</f>
        <v>45495</v>
      </c>
      <c r="C953" s="2" t="str">
        <f aca="false">TRIM(UPPER(Raw_Data!C953))</f>
        <v>C74928</v>
      </c>
      <c r="D953" s="2" t="str">
        <f aca="false">PROPER(TRIM(Raw_Data!D953))</f>
        <v>Printer</v>
      </c>
      <c r="E953" s="2" t="n">
        <f aca="false">Raw_Data!E953</f>
        <v>2</v>
      </c>
      <c r="F953" s="4" t="n">
        <f aca="false">ROUND(Raw_Data!F953,2)</f>
        <v>306.24</v>
      </c>
      <c r="G953" s="2" t="str">
        <f aca="false">PROPER(TRIM(Raw_Data!G953))</f>
        <v>589 Main St</v>
      </c>
      <c r="H953" s="2" t="str">
        <f aca="false">PROPER(TRIM(Raw_Data!H953))</f>
        <v>Online</v>
      </c>
      <c r="I953" s="2" t="str">
        <f aca="false">PROPER(TRIM(Raw_Data!I953))</f>
        <v>Returned</v>
      </c>
      <c r="J953" s="2" t="str">
        <f aca="false">TRIM(UPPER(Raw_Data!J953))</f>
        <v>TRK39845914</v>
      </c>
      <c r="K953" s="2" t="n">
        <f aca="false">Raw_Data!K953</f>
        <v>4</v>
      </c>
      <c r="L953" s="2" t="str">
        <f aca="false">IF(TRIM(Raw_Data!L953)="","No Coupon",TRIM(UPPER(Raw_Data!L953)))</f>
        <v>FREESHIP</v>
      </c>
      <c r="M953" s="2" t="str">
        <f aca="false">PROPER(TRIM(Raw_Data!M953))</f>
        <v>Email</v>
      </c>
      <c r="N953" s="4" t="n">
        <f aca="false">ROUND(E953*F953,2)</f>
        <v>612.48</v>
      </c>
      <c r="O953" s="2" t="str">
        <f aca="false">IF(COUNTIF($A$2:$A$1201,A953)&gt;1,"DUPLICATE","Unique")</f>
        <v>Unique</v>
      </c>
      <c r="P953" s="2" t="str">
        <f aca="false">IF(L953="","MISSING","OK")</f>
        <v>OK</v>
      </c>
      <c r="Q953" s="2" t="str">
        <f aca="false">IF(ISNUMBER(B953),"OK","BAD DATE")</f>
        <v>OK</v>
      </c>
      <c r="R953" s="2" t="str">
        <f aca="false">IF(ROUND(F953,2)=F953,"OK","FIX")</f>
        <v>OK</v>
      </c>
    </row>
    <row r="954" customFormat="false" ht="15" hidden="false" customHeight="false" outlineLevel="0" collapsed="false">
      <c r="A954" s="2" t="str">
        <f aca="false">TRIM(UPPER(Raw_Data!A954))</f>
        <v>ORD200952</v>
      </c>
      <c r="B954" s="3" t="n">
        <f aca="false">IF(ISNUMBER(Raw_Data!B954),Raw_Data!B954,DATEVALUE(Raw_Data!B954))</f>
        <v>45715</v>
      </c>
      <c r="C954" s="2" t="str">
        <f aca="false">TRIM(UPPER(Raw_Data!C954))</f>
        <v>C49111</v>
      </c>
      <c r="D954" s="2" t="str">
        <f aca="false">PROPER(TRIM(Raw_Data!D954))</f>
        <v>Monitor</v>
      </c>
      <c r="E954" s="2" t="n">
        <f aca="false">Raw_Data!E954</f>
        <v>3</v>
      </c>
      <c r="F954" s="4" t="n">
        <f aca="false">ROUND(Raw_Data!F954,2)</f>
        <v>503.39</v>
      </c>
      <c r="G954" s="2" t="str">
        <f aca="false">PROPER(TRIM(Raw_Data!G954))</f>
        <v>225 Main St</v>
      </c>
      <c r="H954" s="2" t="str">
        <f aca="false">PROPER(TRIM(Raw_Data!H954))</f>
        <v>Online</v>
      </c>
      <c r="I954" s="2" t="str">
        <f aca="false">PROPER(TRIM(Raw_Data!I954))</f>
        <v>Pending</v>
      </c>
      <c r="J954" s="2" t="str">
        <f aca="false">TRIM(UPPER(Raw_Data!J954))</f>
        <v>TRK45303393</v>
      </c>
      <c r="K954" s="2" t="n">
        <f aca="false">Raw_Data!K954</f>
        <v>5</v>
      </c>
      <c r="L954" s="2" t="str">
        <f aca="false">IF(TRIM(Raw_Data!L954)="","No Coupon",TRIM(UPPER(Raw_Data!L954)))</f>
        <v>No Coupon</v>
      </c>
      <c r="M954" s="2" t="str">
        <f aca="false">PROPER(TRIM(Raw_Data!M954))</f>
        <v>Facebook</v>
      </c>
      <c r="N954" s="4" t="n">
        <f aca="false">ROUND(E954*F954,2)</f>
        <v>1510.17</v>
      </c>
      <c r="O954" s="2" t="str">
        <f aca="false">IF(COUNTIF($A$2:$A$1201,A954)&gt;1,"DUPLICATE","Unique")</f>
        <v>Unique</v>
      </c>
      <c r="P954" s="2" t="str">
        <f aca="false">IF(L954="","MISSING","OK")</f>
        <v>OK</v>
      </c>
      <c r="Q954" s="2" t="str">
        <f aca="false">IF(ISNUMBER(B954),"OK","BAD DATE")</f>
        <v>OK</v>
      </c>
      <c r="R954" s="2" t="str">
        <f aca="false">IF(ROUND(F954,2)=F954,"OK","FIX")</f>
        <v>OK</v>
      </c>
    </row>
    <row r="955" customFormat="false" ht="15" hidden="false" customHeight="false" outlineLevel="0" collapsed="false">
      <c r="A955" s="2" t="str">
        <f aca="false">TRIM(UPPER(Raw_Data!A955))</f>
        <v>ORD200953</v>
      </c>
      <c r="B955" s="3" t="n">
        <f aca="false">IF(ISNUMBER(Raw_Data!B955),Raw_Data!B955,DATEVALUE(Raw_Data!B955))</f>
        <v>44963</v>
      </c>
      <c r="C955" s="2" t="str">
        <f aca="false">TRIM(UPPER(Raw_Data!C955))</f>
        <v>C43721</v>
      </c>
      <c r="D955" s="2" t="str">
        <f aca="false">PROPER(TRIM(Raw_Data!D955))</f>
        <v>Phone</v>
      </c>
      <c r="E955" s="2" t="n">
        <f aca="false">Raw_Data!E955</f>
        <v>1</v>
      </c>
      <c r="F955" s="4" t="n">
        <f aca="false">ROUND(Raw_Data!F955,2)</f>
        <v>131.61</v>
      </c>
      <c r="G955" s="2" t="str">
        <f aca="false">PROPER(TRIM(Raw_Data!G955))</f>
        <v>971 Main St</v>
      </c>
      <c r="H955" s="2" t="str">
        <f aca="false">PROPER(TRIM(Raw_Data!H955))</f>
        <v>Cash</v>
      </c>
      <c r="I955" s="2" t="str">
        <f aca="false">PROPER(TRIM(Raw_Data!I955))</f>
        <v>Shipped</v>
      </c>
      <c r="J955" s="2" t="str">
        <f aca="false">TRIM(UPPER(Raw_Data!J955))</f>
        <v>TRK89392104</v>
      </c>
      <c r="K955" s="2" t="n">
        <f aca="false">Raw_Data!K955</f>
        <v>2</v>
      </c>
      <c r="L955" s="2" t="str">
        <f aca="false">IF(TRIM(Raw_Data!L955)="","No Coupon",TRIM(UPPER(Raw_Data!L955)))</f>
        <v>FREESHIP</v>
      </c>
      <c r="M955" s="2" t="str">
        <f aca="false">PROPER(TRIM(Raw_Data!M955))</f>
        <v>Facebook</v>
      </c>
      <c r="N955" s="4" t="n">
        <f aca="false">ROUND(E955*F955,2)</f>
        <v>131.61</v>
      </c>
      <c r="O955" s="2" t="str">
        <f aca="false">IF(COUNTIF($A$2:$A$1201,A955)&gt;1,"DUPLICATE","Unique")</f>
        <v>Unique</v>
      </c>
      <c r="P955" s="2" t="str">
        <f aca="false">IF(L955="","MISSING","OK")</f>
        <v>OK</v>
      </c>
      <c r="Q955" s="2" t="str">
        <f aca="false">IF(ISNUMBER(B955),"OK","BAD DATE")</f>
        <v>OK</v>
      </c>
      <c r="R955" s="2" t="str">
        <f aca="false">IF(ROUND(F955,2)=F955,"OK","FIX")</f>
        <v>OK</v>
      </c>
    </row>
    <row r="956" customFormat="false" ht="15" hidden="false" customHeight="false" outlineLevel="0" collapsed="false">
      <c r="A956" s="2" t="str">
        <f aca="false">TRIM(UPPER(Raw_Data!A956))</f>
        <v>ORD200954</v>
      </c>
      <c r="B956" s="3" t="n">
        <f aca="false">IF(ISNUMBER(Raw_Data!B956),Raw_Data!B956,DATEVALUE(Raw_Data!B956))</f>
        <v>45587</v>
      </c>
      <c r="C956" s="2" t="str">
        <f aca="false">TRIM(UPPER(Raw_Data!C956))</f>
        <v>C68609</v>
      </c>
      <c r="D956" s="2" t="str">
        <f aca="false">PROPER(TRIM(Raw_Data!D956))</f>
        <v>Chair</v>
      </c>
      <c r="E956" s="2" t="n">
        <f aca="false">Raw_Data!E956</f>
        <v>3</v>
      </c>
      <c r="F956" s="4" t="n">
        <f aca="false">ROUND(Raw_Data!F956,2)</f>
        <v>443.44</v>
      </c>
      <c r="G956" s="2" t="str">
        <f aca="false">PROPER(TRIM(Raw_Data!G956))</f>
        <v>240 Main St</v>
      </c>
      <c r="H956" s="2" t="str">
        <f aca="false">PROPER(TRIM(Raw_Data!H956))</f>
        <v>Gift Card</v>
      </c>
      <c r="I956" s="2" t="str">
        <f aca="false">PROPER(TRIM(Raw_Data!I956))</f>
        <v>Shipped</v>
      </c>
      <c r="J956" s="2" t="str">
        <f aca="false">TRIM(UPPER(Raw_Data!J956))</f>
        <v>TRK58273778</v>
      </c>
      <c r="K956" s="2" t="n">
        <f aca="false">Raw_Data!K956</f>
        <v>3</v>
      </c>
      <c r="L956" s="2" t="str">
        <f aca="false">IF(TRIM(Raw_Data!L956)="","No Coupon",TRIM(UPPER(Raw_Data!L956)))</f>
        <v>FREESHIP</v>
      </c>
      <c r="M956" s="2" t="str">
        <f aca="false">PROPER(TRIM(Raw_Data!M956))</f>
        <v>Google</v>
      </c>
      <c r="N956" s="4" t="n">
        <f aca="false">ROUND(E956*F956,2)</f>
        <v>1330.32</v>
      </c>
      <c r="O956" s="2" t="str">
        <f aca="false">IF(COUNTIF($A$2:$A$1201,A956)&gt;1,"DUPLICATE","Unique")</f>
        <v>Unique</v>
      </c>
      <c r="P956" s="2" t="str">
        <f aca="false">IF(L956="","MISSING","OK")</f>
        <v>OK</v>
      </c>
      <c r="Q956" s="2" t="str">
        <f aca="false">IF(ISNUMBER(B956),"OK","BAD DATE")</f>
        <v>OK</v>
      </c>
      <c r="R956" s="2" t="str">
        <f aca="false">IF(ROUND(F956,2)=F956,"OK","FIX")</f>
        <v>OK</v>
      </c>
    </row>
    <row r="957" customFormat="false" ht="15" hidden="false" customHeight="false" outlineLevel="0" collapsed="false">
      <c r="A957" s="2" t="str">
        <f aca="false">TRIM(UPPER(Raw_Data!A957))</f>
        <v>ORD200955</v>
      </c>
      <c r="B957" s="3" t="n">
        <f aca="false">IF(ISNUMBER(Raw_Data!B957),Raw_Data!B957,DATEVALUE(Raw_Data!B957))</f>
        <v>44949</v>
      </c>
      <c r="C957" s="2" t="str">
        <f aca="false">TRIM(UPPER(Raw_Data!C957))</f>
        <v>C82068</v>
      </c>
      <c r="D957" s="2" t="str">
        <f aca="false">PROPER(TRIM(Raw_Data!D957))</f>
        <v>Chair</v>
      </c>
      <c r="E957" s="2" t="n">
        <f aca="false">Raw_Data!E957</f>
        <v>1</v>
      </c>
      <c r="F957" s="4" t="n">
        <f aca="false">ROUND(Raw_Data!F957,2)</f>
        <v>408.13</v>
      </c>
      <c r="G957" s="2" t="str">
        <f aca="false">PROPER(TRIM(Raw_Data!G957))</f>
        <v>164 Main St</v>
      </c>
      <c r="H957" s="2" t="str">
        <f aca="false">PROPER(TRIM(Raw_Data!H957))</f>
        <v>Gift Card</v>
      </c>
      <c r="I957" s="2" t="str">
        <f aca="false">PROPER(TRIM(Raw_Data!I957))</f>
        <v>Shipped</v>
      </c>
      <c r="J957" s="2" t="str">
        <f aca="false">TRIM(UPPER(Raw_Data!J957))</f>
        <v>TRK25779180</v>
      </c>
      <c r="K957" s="2" t="n">
        <f aca="false">Raw_Data!K957</f>
        <v>3</v>
      </c>
      <c r="L957" s="2" t="str">
        <f aca="false">IF(TRIM(Raw_Data!L957)="","No Coupon",TRIM(UPPER(Raw_Data!L957)))</f>
        <v>WINTER15</v>
      </c>
      <c r="M957" s="2" t="str">
        <f aca="false">PROPER(TRIM(Raw_Data!M957))</f>
        <v>Instagram</v>
      </c>
      <c r="N957" s="4" t="n">
        <f aca="false">ROUND(E957*F957,2)</f>
        <v>408.13</v>
      </c>
      <c r="O957" s="2" t="str">
        <f aca="false">IF(COUNTIF($A$2:$A$1201,A957)&gt;1,"DUPLICATE","Unique")</f>
        <v>Unique</v>
      </c>
      <c r="P957" s="2" t="str">
        <f aca="false">IF(L957="","MISSING","OK")</f>
        <v>OK</v>
      </c>
      <c r="Q957" s="2" t="str">
        <f aca="false">IF(ISNUMBER(B957),"OK","BAD DATE")</f>
        <v>OK</v>
      </c>
      <c r="R957" s="2" t="str">
        <f aca="false">IF(ROUND(F957,2)=F957,"OK","FIX")</f>
        <v>OK</v>
      </c>
    </row>
    <row r="958" customFormat="false" ht="15" hidden="false" customHeight="false" outlineLevel="0" collapsed="false">
      <c r="A958" s="2" t="str">
        <f aca="false">TRIM(UPPER(Raw_Data!A958))</f>
        <v>ORD200956</v>
      </c>
      <c r="B958" s="3" t="n">
        <f aca="false">IF(ISNUMBER(Raw_Data!B958),Raw_Data!B958,DATEVALUE(Raw_Data!B958))</f>
        <v>45393</v>
      </c>
      <c r="C958" s="2" t="str">
        <f aca="false">TRIM(UPPER(Raw_Data!C958))</f>
        <v>C21191</v>
      </c>
      <c r="D958" s="2" t="str">
        <f aca="false">PROPER(TRIM(Raw_Data!D958))</f>
        <v>Phone</v>
      </c>
      <c r="E958" s="2" t="n">
        <f aca="false">Raw_Data!E958</f>
        <v>2</v>
      </c>
      <c r="F958" s="4" t="n">
        <f aca="false">ROUND(Raw_Data!F958,2)</f>
        <v>160.98</v>
      </c>
      <c r="G958" s="2" t="str">
        <f aca="false">PROPER(TRIM(Raw_Data!G958))</f>
        <v>381 Main St</v>
      </c>
      <c r="H958" s="2" t="str">
        <f aca="false">PROPER(TRIM(Raw_Data!H958))</f>
        <v>Debit Card</v>
      </c>
      <c r="I958" s="2" t="str">
        <f aca="false">PROPER(TRIM(Raw_Data!I958))</f>
        <v>Delivered</v>
      </c>
      <c r="J958" s="2" t="str">
        <f aca="false">TRIM(UPPER(Raw_Data!J958))</f>
        <v>TRK86246309</v>
      </c>
      <c r="K958" s="2" t="n">
        <f aca="false">Raw_Data!K958</f>
        <v>3</v>
      </c>
      <c r="L958" s="2" t="str">
        <f aca="false">IF(TRIM(Raw_Data!L958)="","No Coupon",TRIM(UPPER(Raw_Data!L958)))</f>
        <v>SAVE10</v>
      </c>
      <c r="M958" s="2" t="str">
        <f aca="false">PROPER(TRIM(Raw_Data!M958))</f>
        <v>Referral</v>
      </c>
      <c r="N958" s="4" t="n">
        <f aca="false">ROUND(E958*F958,2)</f>
        <v>321.96</v>
      </c>
      <c r="O958" s="2" t="str">
        <f aca="false">IF(COUNTIF($A$2:$A$1201,A958)&gt;1,"DUPLICATE","Unique")</f>
        <v>Unique</v>
      </c>
      <c r="P958" s="2" t="str">
        <f aca="false">IF(L958="","MISSING","OK")</f>
        <v>OK</v>
      </c>
      <c r="Q958" s="2" t="str">
        <f aca="false">IF(ISNUMBER(B958),"OK","BAD DATE")</f>
        <v>OK</v>
      </c>
      <c r="R958" s="2" t="str">
        <f aca="false">IF(ROUND(F958,2)=F958,"OK","FIX")</f>
        <v>OK</v>
      </c>
    </row>
    <row r="959" customFormat="false" ht="15" hidden="false" customHeight="false" outlineLevel="0" collapsed="false">
      <c r="A959" s="2" t="str">
        <f aca="false">TRIM(UPPER(Raw_Data!A959))</f>
        <v>ORD200957</v>
      </c>
      <c r="B959" s="3" t="n">
        <f aca="false">IF(ISNUMBER(Raw_Data!B959),Raw_Data!B959,DATEVALUE(Raw_Data!B959))</f>
        <v>44938</v>
      </c>
      <c r="C959" s="2" t="str">
        <f aca="false">TRIM(UPPER(Raw_Data!C959))</f>
        <v>C73575</v>
      </c>
      <c r="D959" s="2" t="str">
        <f aca="false">PROPER(TRIM(Raw_Data!D959))</f>
        <v>Monitor</v>
      </c>
      <c r="E959" s="2" t="n">
        <f aca="false">Raw_Data!E959</f>
        <v>5</v>
      </c>
      <c r="F959" s="4" t="n">
        <f aca="false">ROUND(Raw_Data!F959,2)</f>
        <v>643.89</v>
      </c>
      <c r="G959" s="2" t="str">
        <f aca="false">PROPER(TRIM(Raw_Data!G959))</f>
        <v>851 Main St</v>
      </c>
      <c r="H959" s="2" t="str">
        <f aca="false">PROPER(TRIM(Raw_Data!H959))</f>
        <v>Cash</v>
      </c>
      <c r="I959" s="2" t="str">
        <f aca="false">PROPER(TRIM(Raw_Data!I959))</f>
        <v>Returned</v>
      </c>
      <c r="J959" s="2" t="str">
        <f aca="false">TRIM(UPPER(Raw_Data!J959))</f>
        <v>TRK23387612</v>
      </c>
      <c r="K959" s="2" t="n">
        <f aca="false">Raw_Data!K959</f>
        <v>8</v>
      </c>
      <c r="L959" s="2" t="str">
        <f aca="false">IF(TRIM(Raw_Data!L959)="","No Coupon",TRIM(UPPER(Raw_Data!L959)))</f>
        <v>WINTER15</v>
      </c>
      <c r="M959" s="2" t="str">
        <f aca="false">PROPER(TRIM(Raw_Data!M959))</f>
        <v>Facebook</v>
      </c>
      <c r="N959" s="4" t="n">
        <f aca="false">ROUND(E959*F959,2)</f>
        <v>3219.45</v>
      </c>
      <c r="O959" s="2" t="str">
        <f aca="false">IF(COUNTIF($A$2:$A$1201,A959)&gt;1,"DUPLICATE","Unique")</f>
        <v>Unique</v>
      </c>
      <c r="P959" s="2" t="str">
        <f aca="false">IF(L959="","MISSING","OK")</f>
        <v>OK</v>
      </c>
      <c r="Q959" s="2" t="str">
        <f aca="false">IF(ISNUMBER(B959),"OK","BAD DATE")</f>
        <v>OK</v>
      </c>
      <c r="R959" s="2" t="str">
        <f aca="false">IF(ROUND(F959,2)=F959,"OK","FIX")</f>
        <v>OK</v>
      </c>
    </row>
    <row r="960" customFormat="false" ht="15" hidden="false" customHeight="false" outlineLevel="0" collapsed="false">
      <c r="A960" s="2" t="str">
        <f aca="false">TRIM(UPPER(Raw_Data!A960))</f>
        <v>ORD200958</v>
      </c>
      <c r="B960" s="3" t="n">
        <f aca="false">IF(ISNUMBER(Raw_Data!B960),Raw_Data!B960,DATEVALUE(Raw_Data!B960))</f>
        <v>45059</v>
      </c>
      <c r="C960" s="2" t="str">
        <f aca="false">TRIM(UPPER(Raw_Data!C960))</f>
        <v>C82685</v>
      </c>
      <c r="D960" s="2" t="str">
        <f aca="false">PROPER(TRIM(Raw_Data!D960))</f>
        <v>Desk</v>
      </c>
      <c r="E960" s="2" t="n">
        <f aca="false">Raw_Data!E960</f>
        <v>3</v>
      </c>
      <c r="F960" s="4" t="n">
        <f aca="false">ROUND(Raw_Data!F960,2)</f>
        <v>158.66</v>
      </c>
      <c r="G960" s="2" t="str">
        <f aca="false">PROPER(TRIM(Raw_Data!G960))</f>
        <v>537 Main St</v>
      </c>
      <c r="H960" s="2" t="str">
        <f aca="false">PROPER(TRIM(Raw_Data!H960))</f>
        <v>Gift Card</v>
      </c>
      <c r="I960" s="2" t="str">
        <f aca="false">PROPER(TRIM(Raw_Data!I960))</f>
        <v>Delivered</v>
      </c>
      <c r="J960" s="2" t="str">
        <f aca="false">TRIM(UPPER(Raw_Data!J960))</f>
        <v>TRK70184320</v>
      </c>
      <c r="K960" s="2" t="n">
        <f aca="false">Raw_Data!K960</f>
        <v>7</v>
      </c>
      <c r="L960" s="2" t="str">
        <f aca="false">IF(TRIM(Raw_Data!L960)="","No Coupon",TRIM(UPPER(Raw_Data!L960)))</f>
        <v>WINTER15</v>
      </c>
      <c r="M960" s="2" t="str">
        <f aca="false">PROPER(TRIM(Raw_Data!M960))</f>
        <v>Email</v>
      </c>
      <c r="N960" s="4" t="n">
        <f aca="false">ROUND(E960*F960,2)</f>
        <v>475.98</v>
      </c>
      <c r="O960" s="2" t="str">
        <f aca="false">IF(COUNTIF($A$2:$A$1201,A960)&gt;1,"DUPLICATE","Unique")</f>
        <v>Unique</v>
      </c>
      <c r="P960" s="2" t="str">
        <f aca="false">IF(L960="","MISSING","OK")</f>
        <v>OK</v>
      </c>
      <c r="Q960" s="2" t="str">
        <f aca="false">IF(ISNUMBER(B960),"OK","BAD DATE")</f>
        <v>OK</v>
      </c>
      <c r="R960" s="2" t="str">
        <f aca="false">IF(ROUND(F960,2)=F960,"OK","FIX")</f>
        <v>OK</v>
      </c>
    </row>
    <row r="961" customFormat="false" ht="15" hidden="false" customHeight="false" outlineLevel="0" collapsed="false">
      <c r="A961" s="2" t="str">
        <f aca="false">TRIM(UPPER(Raw_Data!A961))</f>
        <v>ORD200959</v>
      </c>
      <c r="B961" s="3" t="n">
        <f aca="false">IF(ISNUMBER(Raw_Data!B961),Raw_Data!B961,DATEVALUE(Raw_Data!B961))</f>
        <v>45395</v>
      </c>
      <c r="C961" s="2" t="str">
        <f aca="false">TRIM(UPPER(Raw_Data!C961))</f>
        <v>C73996</v>
      </c>
      <c r="D961" s="2" t="str">
        <f aca="false">PROPER(TRIM(Raw_Data!D961))</f>
        <v>Tablet</v>
      </c>
      <c r="E961" s="2" t="n">
        <f aca="false">Raw_Data!E961</f>
        <v>2</v>
      </c>
      <c r="F961" s="4" t="n">
        <f aca="false">ROUND(Raw_Data!F961,2)</f>
        <v>143.82</v>
      </c>
      <c r="G961" s="2" t="str">
        <f aca="false">PROPER(TRIM(Raw_Data!G961))</f>
        <v>856 Main St</v>
      </c>
      <c r="H961" s="2" t="str">
        <f aca="false">PROPER(TRIM(Raw_Data!H961))</f>
        <v>Credit Card</v>
      </c>
      <c r="I961" s="2" t="str">
        <f aca="false">PROPER(TRIM(Raw_Data!I961))</f>
        <v>Returned</v>
      </c>
      <c r="J961" s="2" t="str">
        <f aca="false">TRIM(UPPER(Raw_Data!J961))</f>
        <v>TRK74579570</v>
      </c>
      <c r="K961" s="2" t="n">
        <f aca="false">Raw_Data!K961</f>
        <v>6</v>
      </c>
      <c r="L961" s="2" t="str">
        <f aca="false">IF(TRIM(Raw_Data!L961)="","No Coupon",TRIM(UPPER(Raw_Data!L961)))</f>
        <v>SAVE10</v>
      </c>
      <c r="M961" s="2" t="str">
        <f aca="false">PROPER(TRIM(Raw_Data!M961))</f>
        <v>Instagram</v>
      </c>
      <c r="N961" s="4" t="n">
        <f aca="false">ROUND(E961*F961,2)</f>
        <v>287.64</v>
      </c>
      <c r="O961" s="2" t="str">
        <f aca="false">IF(COUNTIF($A$2:$A$1201,A961)&gt;1,"DUPLICATE","Unique")</f>
        <v>Unique</v>
      </c>
      <c r="P961" s="2" t="str">
        <f aca="false">IF(L961="","MISSING","OK")</f>
        <v>OK</v>
      </c>
      <c r="Q961" s="2" t="str">
        <f aca="false">IF(ISNUMBER(B961),"OK","BAD DATE")</f>
        <v>OK</v>
      </c>
      <c r="R961" s="2" t="str">
        <f aca="false">IF(ROUND(F961,2)=F961,"OK","FIX")</f>
        <v>OK</v>
      </c>
    </row>
    <row r="962" customFormat="false" ht="15" hidden="false" customHeight="false" outlineLevel="0" collapsed="false">
      <c r="A962" s="2" t="str">
        <f aca="false">TRIM(UPPER(Raw_Data!A962))</f>
        <v>ORD200960</v>
      </c>
      <c r="B962" s="3" t="n">
        <f aca="false">IF(ISNUMBER(Raw_Data!B962),Raw_Data!B962,DATEVALUE(Raw_Data!B962))</f>
        <v>45271</v>
      </c>
      <c r="C962" s="2" t="str">
        <f aca="false">TRIM(UPPER(Raw_Data!C962))</f>
        <v>C87687</v>
      </c>
      <c r="D962" s="2" t="str">
        <f aca="false">PROPER(TRIM(Raw_Data!D962))</f>
        <v>Laptop</v>
      </c>
      <c r="E962" s="2" t="n">
        <f aca="false">Raw_Data!E962</f>
        <v>3</v>
      </c>
      <c r="F962" s="4" t="n">
        <f aca="false">ROUND(Raw_Data!F962,2)</f>
        <v>379.07</v>
      </c>
      <c r="G962" s="2" t="str">
        <f aca="false">PROPER(TRIM(Raw_Data!G962))</f>
        <v>312 Main St</v>
      </c>
      <c r="H962" s="2" t="str">
        <f aca="false">PROPER(TRIM(Raw_Data!H962))</f>
        <v>Gift Card</v>
      </c>
      <c r="I962" s="2" t="str">
        <f aca="false">PROPER(TRIM(Raw_Data!I962))</f>
        <v>Pending</v>
      </c>
      <c r="J962" s="2" t="str">
        <f aca="false">TRIM(UPPER(Raw_Data!J962))</f>
        <v>TRK60383805</v>
      </c>
      <c r="K962" s="2" t="n">
        <f aca="false">Raw_Data!K962</f>
        <v>3</v>
      </c>
      <c r="L962" s="2" t="str">
        <f aca="false">IF(TRIM(Raw_Data!L962)="","No Coupon",TRIM(UPPER(Raw_Data!L962)))</f>
        <v>WINTER15</v>
      </c>
      <c r="M962" s="2" t="str">
        <f aca="false">PROPER(TRIM(Raw_Data!M962))</f>
        <v>Google</v>
      </c>
      <c r="N962" s="4" t="n">
        <f aca="false">ROUND(E962*F962,2)</f>
        <v>1137.21</v>
      </c>
      <c r="O962" s="2" t="str">
        <f aca="false">IF(COUNTIF($A$2:$A$1201,A962)&gt;1,"DUPLICATE","Unique")</f>
        <v>Unique</v>
      </c>
      <c r="P962" s="2" t="str">
        <f aca="false">IF(L962="","MISSING","OK")</f>
        <v>OK</v>
      </c>
      <c r="Q962" s="2" t="str">
        <f aca="false">IF(ISNUMBER(B962),"OK","BAD DATE")</f>
        <v>OK</v>
      </c>
      <c r="R962" s="2" t="str">
        <f aca="false">IF(ROUND(F962,2)=F962,"OK","FIX")</f>
        <v>OK</v>
      </c>
    </row>
    <row r="963" customFormat="false" ht="15" hidden="false" customHeight="false" outlineLevel="0" collapsed="false">
      <c r="A963" s="2" t="str">
        <f aca="false">TRIM(UPPER(Raw_Data!A963))</f>
        <v>ORD200961</v>
      </c>
      <c r="B963" s="3" t="n">
        <f aca="false">IF(ISNUMBER(Raw_Data!B963),Raw_Data!B963,DATEVALUE(Raw_Data!B963))</f>
        <v>45607</v>
      </c>
      <c r="C963" s="2" t="str">
        <f aca="false">TRIM(UPPER(Raw_Data!C963))</f>
        <v>C55464</v>
      </c>
      <c r="D963" s="2" t="str">
        <f aca="false">PROPER(TRIM(Raw_Data!D963))</f>
        <v>Phone</v>
      </c>
      <c r="E963" s="2" t="n">
        <f aca="false">Raw_Data!E963</f>
        <v>1</v>
      </c>
      <c r="F963" s="4" t="n">
        <f aca="false">ROUND(Raw_Data!F963,2)</f>
        <v>601.36</v>
      </c>
      <c r="G963" s="2" t="str">
        <f aca="false">PROPER(TRIM(Raw_Data!G963))</f>
        <v>532 Main St</v>
      </c>
      <c r="H963" s="2" t="str">
        <f aca="false">PROPER(TRIM(Raw_Data!H963))</f>
        <v>Online</v>
      </c>
      <c r="I963" s="2" t="str">
        <f aca="false">PROPER(TRIM(Raw_Data!I963))</f>
        <v>Shipped</v>
      </c>
      <c r="J963" s="2" t="str">
        <f aca="false">TRIM(UPPER(Raw_Data!J963))</f>
        <v>TRK81178598</v>
      </c>
      <c r="K963" s="2" t="n">
        <f aca="false">Raw_Data!K963</f>
        <v>1</v>
      </c>
      <c r="L963" s="2" t="str">
        <f aca="false">IF(TRIM(Raw_Data!L963)="","No Coupon",TRIM(UPPER(Raw_Data!L963)))</f>
        <v>No Coupon</v>
      </c>
      <c r="M963" s="2" t="str">
        <f aca="false">PROPER(TRIM(Raw_Data!M963))</f>
        <v>Facebook</v>
      </c>
      <c r="N963" s="4" t="n">
        <f aca="false">ROUND(E963*F963,2)</f>
        <v>601.36</v>
      </c>
      <c r="O963" s="2" t="str">
        <f aca="false">IF(COUNTIF($A$2:$A$1201,A963)&gt;1,"DUPLICATE","Unique")</f>
        <v>Unique</v>
      </c>
      <c r="P963" s="2" t="str">
        <f aca="false">IF(L963="","MISSING","OK")</f>
        <v>OK</v>
      </c>
      <c r="Q963" s="2" t="str">
        <f aca="false">IF(ISNUMBER(B963),"OK","BAD DATE")</f>
        <v>OK</v>
      </c>
      <c r="R963" s="2" t="str">
        <f aca="false">IF(ROUND(F963,2)=F963,"OK","FIX")</f>
        <v>OK</v>
      </c>
    </row>
    <row r="964" customFormat="false" ht="15" hidden="false" customHeight="false" outlineLevel="0" collapsed="false">
      <c r="A964" s="2" t="str">
        <f aca="false">TRIM(UPPER(Raw_Data!A964))</f>
        <v>ORD200962</v>
      </c>
      <c r="B964" s="3" t="n">
        <f aca="false">IF(ISNUMBER(Raw_Data!B964),Raw_Data!B964,DATEVALUE(Raw_Data!B964))</f>
        <v>45541</v>
      </c>
      <c r="C964" s="2" t="str">
        <f aca="false">TRIM(UPPER(Raw_Data!C964))</f>
        <v>C12459</v>
      </c>
      <c r="D964" s="2" t="str">
        <f aca="false">PROPER(TRIM(Raw_Data!D964))</f>
        <v>Phone</v>
      </c>
      <c r="E964" s="2" t="n">
        <f aca="false">Raw_Data!E964</f>
        <v>2</v>
      </c>
      <c r="F964" s="4" t="n">
        <f aca="false">ROUND(Raw_Data!F964,2)</f>
        <v>142.08</v>
      </c>
      <c r="G964" s="2" t="str">
        <f aca="false">PROPER(TRIM(Raw_Data!G964))</f>
        <v>838 Main St</v>
      </c>
      <c r="H964" s="2" t="str">
        <f aca="false">PROPER(TRIM(Raw_Data!H964))</f>
        <v>Gift Card</v>
      </c>
      <c r="I964" s="2" t="str">
        <f aca="false">PROPER(TRIM(Raw_Data!I964))</f>
        <v>Delivered</v>
      </c>
      <c r="J964" s="2" t="str">
        <f aca="false">TRIM(UPPER(Raw_Data!J964))</f>
        <v>TRK30674085</v>
      </c>
      <c r="K964" s="2" t="n">
        <f aca="false">Raw_Data!K964</f>
        <v>4</v>
      </c>
      <c r="L964" s="2" t="str">
        <f aca="false">IF(TRIM(Raw_Data!L964)="","No Coupon",TRIM(UPPER(Raw_Data!L964)))</f>
        <v>SAVE10</v>
      </c>
      <c r="M964" s="2" t="str">
        <f aca="false">PROPER(TRIM(Raw_Data!M964))</f>
        <v>Referral</v>
      </c>
      <c r="N964" s="4" t="n">
        <f aca="false">ROUND(E964*F964,2)</f>
        <v>284.16</v>
      </c>
      <c r="O964" s="2" t="str">
        <f aca="false">IF(COUNTIF($A$2:$A$1201,A964)&gt;1,"DUPLICATE","Unique")</f>
        <v>Unique</v>
      </c>
      <c r="P964" s="2" t="str">
        <f aca="false">IF(L964="","MISSING","OK")</f>
        <v>OK</v>
      </c>
      <c r="Q964" s="2" t="str">
        <f aca="false">IF(ISNUMBER(B964),"OK","BAD DATE")</f>
        <v>OK</v>
      </c>
      <c r="R964" s="2" t="str">
        <f aca="false">IF(ROUND(F964,2)=F964,"OK","FIX")</f>
        <v>OK</v>
      </c>
    </row>
    <row r="965" customFormat="false" ht="15" hidden="false" customHeight="false" outlineLevel="0" collapsed="false">
      <c r="A965" s="2" t="str">
        <f aca="false">TRIM(UPPER(Raw_Data!A965))</f>
        <v>ORD200963</v>
      </c>
      <c r="B965" s="3" t="n">
        <f aca="false">IF(ISNUMBER(Raw_Data!B965),Raw_Data!B965,DATEVALUE(Raw_Data!B965))</f>
        <v>45362</v>
      </c>
      <c r="C965" s="2" t="str">
        <f aca="false">TRIM(UPPER(Raw_Data!C965))</f>
        <v>C88075</v>
      </c>
      <c r="D965" s="2" t="str">
        <f aca="false">PROPER(TRIM(Raw_Data!D965))</f>
        <v>Chair</v>
      </c>
      <c r="E965" s="2" t="n">
        <f aca="false">Raw_Data!E965</f>
        <v>5</v>
      </c>
      <c r="F965" s="4" t="n">
        <f aca="false">ROUND(Raw_Data!F965,2)</f>
        <v>530.34</v>
      </c>
      <c r="G965" s="2" t="str">
        <f aca="false">PROPER(TRIM(Raw_Data!G965))</f>
        <v>970 Main St</v>
      </c>
      <c r="H965" s="2" t="str">
        <f aca="false">PROPER(TRIM(Raw_Data!H965))</f>
        <v>Online</v>
      </c>
      <c r="I965" s="2" t="str">
        <f aca="false">PROPER(TRIM(Raw_Data!I965))</f>
        <v>Shipped</v>
      </c>
      <c r="J965" s="2" t="str">
        <f aca="false">TRIM(UPPER(Raw_Data!J965))</f>
        <v>TRK42832976</v>
      </c>
      <c r="K965" s="2" t="n">
        <f aca="false">Raw_Data!K965</f>
        <v>9</v>
      </c>
      <c r="L965" s="2" t="str">
        <f aca="false">IF(TRIM(Raw_Data!L965)="","No Coupon",TRIM(UPPER(Raw_Data!L965)))</f>
        <v>FREESHIP</v>
      </c>
      <c r="M965" s="2" t="str">
        <f aca="false">PROPER(TRIM(Raw_Data!M965))</f>
        <v>Google</v>
      </c>
      <c r="N965" s="4" t="n">
        <f aca="false">ROUND(E965*F965,2)</f>
        <v>2651.7</v>
      </c>
      <c r="O965" s="2" t="str">
        <f aca="false">IF(COUNTIF($A$2:$A$1201,A965)&gt;1,"DUPLICATE","Unique")</f>
        <v>Unique</v>
      </c>
      <c r="P965" s="2" t="str">
        <f aca="false">IF(L965="","MISSING","OK")</f>
        <v>OK</v>
      </c>
      <c r="Q965" s="2" t="str">
        <f aca="false">IF(ISNUMBER(B965),"OK","BAD DATE")</f>
        <v>OK</v>
      </c>
      <c r="R965" s="2" t="str">
        <f aca="false">IF(ROUND(F965,2)=F965,"OK","FIX")</f>
        <v>OK</v>
      </c>
    </row>
    <row r="966" customFormat="false" ht="15" hidden="false" customHeight="false" outlineLevel="0" collapsed="false">
      <c r="A966" s="2" t="str">
        <f aca="false">TRIM(UPPER(Raw_Data!A966))</f>
        <v>ORD200964</v>
      </c>
      <c r="B966" s="3" t="n">
        <f aca="false">IF(ISNUMBER(Raw_Data!B966),Raw_Data!B966,DATEVALUE(Raw_Data!B966))</f>
        <v>45158</v>
      </c>
      <c r="C966" s="2" t="str">
        <f aca="false">TRIM(UPPER(Raw_Data!C966))</f>
        <v>C18583</v>
      </c>
      <c r="D966" s="2" t="str">
        <f aca="false">PROPER(TRIM(Raw_Data!D966))</f>
        <v>Phone</v>
      </c>
      <c r="E966" s="2" t="n">
        <f aca="false">Raw_Data!E966</f>
        <v>5</v>
      </c>
      <c r="F966" s="4" t="n">
        <f aca="false">ROUND(Raw_Data!F966,2)</f>
        <v>364.42</v>
      </c>
      <c r="G966" s="2" t="str">
        <f aca="false">PROPER(TRIM(Raw_Data!G966))</f>
        <v>778 Main St</v>
      </c>
      <c r="H966" s="2" t="str">
        <f aca="false">PROPER(TRIM(Raw_Data!H966))</f>
        <v>Credit Card</v>
      </c>
      <c r="I966" s="2" t="str">
        <f aca="false">PROPER(TRIM(Raw_Data!I966))</f>
        <v>Cancelled</v>
      </c>
      <c r="J966" s="2" t="str">
        <f aca="false">TRIM(UPPER(Raw_Data!J966))</f>
        <v>TRK43084595</v>
      </c>
      <c r="K966" s="2" t="n">
        <f aca="false">Raw_Data!K966</f>
        <v>10</v>
      </c>
      <c r="L966" s="2" t="str">
        <f aca="false">IF(TRIM(Raw_Data!L966)="","No Coupon",TRIM(UPPER(Raw_Data!L966)))</f>
        <v>SAVE10</v>
      </c>
      <c r="M966" s="2" t="str">
        <f aca="false">PROPER(TRIM(Raw_Data!M966))</f>
        <v>Referral</v>
      </c>
      <c r="N966" s="4" t="n">
        <f aca="false">ROUND(E966*F966,2)</f>
        <v>1822.1</v>
      </c>
      <c r="O966" s="2" t="str">
        <f aca="false">IF(COUNTIF($A$2:$A$1201,A966)&gt;1,"DUPLICATE","Unique")</f>
        <v>Unique</v>
      </c>
      <c r="P966" s="2" t="str">
        <f aca="false">IF(L966="","MISSING","OK")</f>
        <v>OK</v>
      </c>
      <c r="Q966" s="2" t="str">
        <f aca="false">IF(ISNUMBER(B966),"OK","BAD DATE")</f>
        <v>OK</v>
      </c>
      <c r="R966" s="2" t="str">
        <f aca="false">IF(ROUND(F966,2)=F966,"OK","FIX")</f>
        <v>OK</v>
      </c>
    </row>
    <row r="967" customFormat="false" ht="15" hidden="false" customHeight="false" outlineLevel="0" collapsed="false">
      <c r="A967" s="2" t="str">
        <f aca="false">TRIM(UPPER(Raw_Data!A967))</f>
        <v>ORD200965</v>
      </c>
      <c r="B967" s="3" t="n">
        <f aca="false">IF(ISNUMBER(Raw_Data!B967),Raw_Data!B967,DATEVALUE(Raw_Data!B967))</f>
        <v>45826</v>
      </c>
      <c r="C967" s="2" t="str">
        <f aca="false">TRIM(UPPER(Raw_Data!C967))</f>
        <v>C70412</v>
      </c>
      <c r="D967" s="2" t="str">
        <f aca="false">PROPER(TRIM(Raw_Data!D967))</f>
        <v>Laptop</v>
      </c>
      <c r="E967" s="2" t="n">
        <f aca="false">Raw_Data!E967</f>
        <v>4</v>
      </c>
      <c r="F967" s="4" t="n">
        <f aca="false">ROUND(Raw_Data!F967,2)</f>
        <v>578.28</v>
      </c>
      <c r="G967" s="2" t="str">
        <f aca="false">PROPER(TRIM(Raw_Data!G967))</f>
        <v>791 Main St</v>
      </c>
      <c r="H967" s="2" t="str">
        <f aca="false">PROPER(TRIM(Raw_Data!H967))</f>
        <v>Gift Card</v>
      </c>
      <c r="I967" s="2" t="str">
        <f aca="false">PROPER(TRIM(Raw_Data!I967))</f>
        <v>Cancelled</v>
      </c>
      <c r="J967" s="2" t="str">
        <f aca="false">TRIM(UPPER(Raw_Data!J967))</f>
        <v>TRK22192783</v>
      </c>
      <c r="K967" s="2" t="n">
        <f aca="false">Raw_Data!K967</f>
        <v>5</v>
      </c>
      <c r="L967" s="2" t="str">
        <f aca="false">IF(TRIM(Raw_Data!L967)="","No Coupon",TRIM(UPPER(Raw_Data!L967)))</f>
        <v>FREESHIP</v>
      </c>
      <c r="M967" s="2" t="str">
        <f aca="false">PROPER(TRIM(Raw_Data!M967))</f>
        <v>Email</v>
      </c>
      <c r="N967" s="4" t="n">
        <f aca="false">ROUND(E967*F967,2)</f>
        <v>2313.12</v>
      </c>
      <c r="O967" s="2" t="str">
        <f aca="false">IF(COUNTIF($A$2:$A$1201,A967)&gt;1,"DUPLICATE","Unique")</f>
        <v>Unique</v>
      </c>
      <c r="P967" s="2" t="str">
        <f aca="false">IF(L967="","MISSING","OK")</f>
        <v>OK</v>
      </c>
      <c r="Q967" s="2" t="str">
        <f aca="false">IF(ISNUMBER(B967),"OK","BAD DATE")</f>
        <v>OK</v>
      </c>
      <c r="R967" s="2" t="str">
        <f aca="false">IF(ROUND(F967,2)=F967,"OK","FIX")</f>
        <v>OK</v>
      </c>
    </row>
    <row r="968" customFormat="false" ht="15" hidden="false" customHeight="false" outlineLevel="0" collapsed="false">
      <c r="A968" s="2" t="str">
        <f aca="false">TRIM(UPPER(Raw_Data!A968))</f>
        <v>ORD200966</v>
      </c>
      <c r="B968" s="3" t="n">
        <f aca="false">IF(ISNUMBER(Raw_Data!B968),Raw_Data!B968,DATEVALUE(Raw_Data!B968))</f>
        <v>45797</v>
      </c>
      <c r="C968" s="2" t="str">
        <f aca="false">TRIM(UPPER(Raw_Data!C968))</f>
        <v>C58503</v>
      </c>
      <c r="D968" s="2" t="str">
        <f aca="false">PROPER(TRIM(Raw_Data!D968))</f>
        <v>Monitor</v>
      </c>
      <c r="E968" s="2" t="n">
        <f aca="false">Raw_Data!E968</f>
        <v>5</v>
      </c>
      <c r="F968" s="4" t="n">
        <f aca="false">ROUND(Raw_Data!F968,2)</f>
        <v>280.52</v>
      </c>
      <c r="G968" s="2" t="str">
        <f aca="false">PROPER(TRIM(Raw_Data!G968))</f>
        <v>290 Main St</v>
      </c>
      <c r="H968" s="2" t="str">
        <f aca="false">PROPER(TRIM(Raw_Data!H968))</f>
        <v>Credit Card</v>
      </c>
      <c r="I968" s="2" t="str">
        <f aca="false">PROPER(TRIM(Raw_Data!I968))</f>
        <v>Cancelled</v>
      </c>
      <c r="J968" s="2" t="str">
        <f aca="false">TRIM(UPPER(Raw_Data!J968))</f>
        <v>TRK12981657</v>
      </c>
      <c r="K968" s="2" t="n">
        <f aca="false">Raw_Data!K968</f>
        <v>7</v>
      </c>
      <c r="L968" s="2" t="str">
        <f aca="false">IF(TRIM(Raw_Data!L968)="","No Coupon",TRIM(UPPER(Raw_Data!L968)))</f>
        <v>WINTER15</v>
      </c>
      <c r="M968" s="2" t="str">
        <f aca="false">PROPER(TRIM(Raw_Data!M968))</f>
        <v>Facebook</v>
      </c>
      <c r="N968" s="4" t="n">
        <f aca="false">ROUND(E968*F968,2)</f>
        <v>1402.6</v>
      </c>
      <c r="O968" s="2" t="str">
        <f aca="false">IF(COUNTIF($A$2:$A$1201,A968)&gt;1,"DUPLICATE","Unique")</f>
        <v>Unique</v>
      </c>
      <c r="P968" s="2" t="str">
        <f aca="false">IF(L968="","MISSING","OK")</f>
        <v>OK</v>
      </c>
      <c r="Q968" s="2" t="str">
        <f aca="false">IF(ISNUMBER(B968),"OK","BAD DATE")</f>
        <v>OK</v>
      </c>
      <c r="R968" s="2" t="str">
        <f aca="false">IF(ROUND(F968,2)=F968,"OK","FIX")</f>
        <v>OK</v>
      </c>
    </row>
    <row r="969" customFormat="false" ht="15" hidden="false" customHeight="false" outlineLevel="0" collapsed="false">
      <c r="A969" s="2" t="str">
        <f aca="false">TRIM(UPPER(Raw_Data!A969))</f>
        <v>ORD200967</v>
      </c>
      <c r="B969" s="3" t="n">
        <f aca="false">IF(ISNUMBER(Raw_Data!B969),Raw_Data!B969,DATEVALUE(Raw_Data!B969))</f>
        <v>45783</v>
      </c>
      <c r="C969" s="2" t="str">
        <f aca="false">TRIM(UPPER(Raw_Data!C969))</f>
        <v>C52879</v>
      </c>
      <c r="D969" s="2" t="str">
        <f aca="false">PROPER(TRIM(Raw_Data!D969))</f>
        <v>Tablet</v>
      </c>
      <c r="E969" s="2" t="n">
        <f aca="false">Raw_Data!E969</f>
        <v>5</v>
      </c>
      <c r="F969" s="4" t="n">
        <f aca="false">ROUND(Raw_Data!F969,2)</f>
        <v>638.92</v>
      </c>
      <c r="G969" s="2" t="str">
        <f aca="false">PROPER(TRIM(Raw_Data!G969))</f>
        <v>502 Main St</v>
      </c>
      <c r="H969" s="2" t="str">
        <f aca="false">PROPER(TRIM(Raw_Data!H969))</f>
        <v>Credit Card</v>
      </c>
      <c r="I969" s="2" t="str">
        <f aca="false">PROPER(TRIM(Raw_Data!I969))</f>
        <v>Returned</v>
      </c>
      <c r="J969" s="2" t="str">
        <f aca="false">TRIM(UPPER(Raw_Data!J969))</f>
        <v>TRK67403284</v>
      </c>
      <c r="K969" s="2" t="n">
        <f aca="false">Raw_Data!K969</f>
        <v>5</v>
      </c>
      <c r="L969" s="2" t="str">
        <f aca="false">IF(TRIM(Raw_Data!L969)="","No Coupon",TRIM(UPPER(Raw_Data!L969)))</f>
        <v>FREESHIP</v>
      </c>
      <c r="M969" s="2" t="str">
        <f aca="false">PROPER(TRIM(Raw_Data!M969))</f>
        <v>Google</v>
      </c>
      <c r="N969" s="4" t="n">
        <f aca="false">ROUND(E969*F969,2)</f>
        <v>3194.6</v>
      </c>
      <c r="O969" s="2" t="str">
        <f aca="false">IF(COUNTIF($A$2:$A$1201,A969)&gt;1,"DUPLICATE","Unique")</f>
        <v>Unique</v>
      </c>
      <c r="P969" s="2" t="str">
        <f aca="false">IF(L969="","MISSING","OK")</f>
        <v>OK</v>
      </c>
      <c r="Q969" s="2" t="str">
        <f aca="false">IF(ISNUMBER(B969),"OK","BAD DATE")</f>
        <v>OK</v>
      </c>
      <c r="R969" s="2" t="str">
        <f aca="false">IF(ROUND(F969,2)=F969,"OK","FIX")</f>
        <v>OK</v>
      </c>
    </row>
    <row r="970" customFormat="false" ht="15" hidden="false" customHeight="false" outlineLevel="0" collapsed="false">
      <c r="A970" s="2" t="str">
        <f aca="false">TRIM(UPPER(Raw_Data!A970))</f>
        <v>ORD200968</v>
      </c>
      <c r="B970" s="3" t="n">
        <f aca="false">IF(ISNUMBER(Raw_Data!B970),Raw_Data!B970,DATEVALUE(Raw_Data!B970))</f>
        <v>45330</v>
      </c>
      <c r="C970" s="2" t="str">
        <f aca="false">TRIM(UPPER(Raw_Data!C970))</f>
        <v>C67870</v>
      </c>
      <c r="D970" s="2" t="str">
        <f aca="false">PROPER(TRIM(Raw_Data!D970))</f>
        <v>Monitor</v>
      </c>
      <c r="E970" s="2" t="n">
        <f aca="false">Raw_Data!E970</f>
        <v>4</v>
      </c>
      <c r="F970" s="4" t="n">
        <f aca="false">ROUND(Raw_Data!F970,2)</f>
        <v>412.2</v>
      </c>
      <c r="G970" s="2" t="str">
        <f aca="false">PROPER(TRIM(Raw_Data!G970))</f>
        <v>664 Main St</v>
      </c>
      <c r="H970" s="2" t="str">
        <f aca="false">PROPER(TRIM(Raw_Data!H970))</f>
        <v>Credit Card</v>
      </c>
      <c r="I970" s="2" t="str">
        <f aca="false">PROPER(TRIM(Raw_Data!I970))</f>
        <v>Shipped</v>
      </c>
      <c r="J970" s="2" t="str">
        <f aca="false">TRIM(UPPER(Raw_Data!J970))</f>
        <v>TRK72602178</v>
      </c>
      <c r="K970" s="2" t="n">
        <f aca="false">Raw_Data!K970</f>
        <v>6</v>
      </c>
      <c r="L970" s="2" t="str">
        <f aca="false">IF(TRIM(Raw_Data!L970)="","No Coupon",TRIM(UPPER(Raw_Data!L970)))</f>
        <v>WINTER15</v>
      </c>
      <c r="M970" s="2" t="str">
        <f aca="false">PROPER(TRIM(Raw_Data!M970))</f>
        <v>Referral</v>
      </c>
      <c r="N970" s="4" t="n">
        <f aca="false">ROUND(E970*F970,2)</f>
        <v>1648.8</v>
      </c>
      <c r="O970" s="2" t="str">
        <f aca="false">IF(COUNTIF($A$2:$A$1201,A970)&gt;1,"DUPLICATE","Unique")</f>
        <v>Unique</v>
      </c>
      <c r="P970" s="2" t="str">
        <f aca="false">IF(L970="","MISSING","OK")</f>
        <v>OK</v>
      </c>
      <c r="Q970" s="2" t="str">
        <f aca="false">IF(ISNUMBER(B970),"OK","BAD DATE")</f>
        <v>OK</v>
      </c>
      <c r="R970" s="2" t="str">
        <f aca="false">IF(ROUND(F970,2)=F970,"OK","FIX")</f>
        <v>OK</v>
      </c>
    </row>
    <row r="971" customFormat="false" ht="15" hidden="false" customHeight="false" outlineLevel="0" collapsed="false">
      <c r="A971" s="2" t="str">
        <f aca="false">TRIM(UPPER(Raw_Data!A971))</f>
        <v>ORD200969</v>
      </c>
      <c r="B971" s="3" t="n">
        <f aca="false">IF(ISNUMBER(Raw_Data!B971),Raw_Data!B971,DATEVALUE(Raw_Data!B971))</f>
        <v>45813</v>
      </c>
      <c r="C971" s="2" t="str">
        <f aca="false">TRIM(UPPER(Raw_Data!C971))</f>
        <v>C19439</v>
      </c>
      <c r="D971" s="2" t="str">
        <f aca="false">PROPER(TRIM(Raw_Data!D971))</f>
        <v>Desk</v>
      </c>
      <c r="E971" s="2" t="n">
        <f aca="false">Raw_Data!E971</f>
        <v>1</v>
      </c>
      <c r="F971" s="4" t="n">
        <f aca="false">ROUND(Raw_Data!F971,2)</f>
        <v>440.34</v>
      </c>
      <c r="G971" s="2" t="str">
        <f aca="false">PROPER(TRIM(Raw_Data!G971))</f>
        <v>675 Main St</v>
      </c>
      <c r="H971" s="2" t="str">
        <f aca="false">PROPER(TRIM(Raw_Data!H971))</f>
        <v>Gift Card</v>
      </c>
      <c r="I971" s="2" t="str">
        <f aca="false">PROPER(TRIM(Raw_Data!I971))</f>
        <v>Shipped</v>
      </c>
      <c r="J971" s="2" t="str">
        <f aca="false">TRIM(UPPER(Raw_Data!J971))</f>
        <v>TRK25383993</v>
      </c>
      <c r="K971" s="2" t="n">
        <f aca="false">Raw_Data!K971</f>
        <v>2</v>
      </c>
      <c r="L971" s="2" t="str">
        <f aca="false">IF(TRIM(Raw_Data!L971)="","No Coupon",TRIM(UPPER(Raw_Data!L971)))</f>
        <v>WINTER15</v>
      </c>
      <c r="M971" s="2" t="str">
        <f aca="false">PROPER(TRIM(Raw_Data!M971))</f>
        <v>Facebook</v>
      </c>
      <c r="N971" s="4" t="n">
        <f aca="false">ROUND(E971*F971,2)</f>
        <v>440.34</v>
      </c>
      <c r="O971" s="2" t="str">
        <f aca="false">IF(COUNTIF($A$2:$A$1201,A971)&gt;1,"DUPLICATE","Unique")</f>
        <v>Unique</v>
      </c>
      <c r="P971" s="2" t="str">
        <f aca="false">IF(L971="","MISSING","OK")</f>
        <v>OK</v>
      </c>
      <c r="Q971" s="2" t="str">
        <f aca="false">IF(ISNUMBER(B971),"OK","BAD DATE")</f>
        <v>OK</v>
      </c>
      <c r="R971" s="2" t="str">
        <f aca="false">IF(ROUND(F971,2)=F971,"OK","FIX")</f>
        <v>OK</v>
      </c>
    </row>
    <row r="972" customFormat="false" ht="15" hidden="false" customHeight="false" outlineLevel="0" collapsed="false">
      <c r="A972" s="2" t="str">
        <f aca="false">TRIM(UPPER(Raw_Data!A972))</f>
        <v>ORD200970</v>
      </c>
      <c r="B972" s="3" t="n">
        <f aca="false">IF(ISNUMBER(Raw_Data!B972),Raw_Data!B972,DATEVALUE(Raw_Data!B972))</f>
        <v>45542</v>
      </c>
      <c r="C972" s="2" t="str">
        <f aca="false">TRIM(UPPER(Raw_Data!C972))</f>
        <v>C72664</v>
      </c>
      <c r="D972" s="2" t="str">
        <f aca="false">PROPER(TRIM(Raw_Data!D972))</f>
        <v>Desk</v>
      </c>
      <c r="E972" s="2" t="n">
        <f aca="false">Raw_Data!E972</f>
        <v>1</v>
      </c>
      <c r="F972" s="4" t="n">
        <f aca="false">ROUND(Raw_Data!F972,2)</f>
        <v>627.15</v>
      </c>
      <c r="G972" s="2" t="str">
        <f aca="false">PROPER(TRIM(Raw_Data!G972))</f>
        <v>241 Main St</v>
      </c>
      <c r="H972" s="2" t="str">
        <f aca="false">PROPER(TRIM(Raw_Data!H972))</f>
        <v>Cash</v>
      </c>
      <c r="I972" s="2" t="str">
        <f aca="false">PROPER(TRIM(Raw_Data!I972))</f>
        <v>Delivered</v>
      </c>
      <c r="J972" s="2" t="str">
        <f aca="false">TRIM(UPPER(Raw_Data!J972))</f>
        <v>TRK86694331</v>
      </c>
      <c r="K972" s="2" t="n">
        <f aca="false">Raw_Data!K972</f>
        <v>5</v>
      </c>
      <c r="L972" s="2" t="str">
        <f aca="false">IF(TRIM(Raw_Data!L972)="","No Coupon",TRIM(UPPER(Raw_Data!L972)))</f>
        <v>SAVE10</v>
      </c>
      <c r="M972" s="2" t="str">
        <f aca="false">PROPER(TRIM(Raw_Data!M972))</f>
        <v>Instagram</v>
      </c>
      <c r="N972" s="4" t="n">
        <f aca="false">ROUND(E972*F972,2)</f>
        <v>627.15</v>
      </c>
      <c r="O972" s="2" t="str">
        <f aca="false">IF(COUNTIF($A$2:$A$1201,A972)&gt;1,"DUPLICATE","Unique")</f>
        <v>Unique</v>
      </c>
      <c r="P972" s="2" t="str">
        <f aca="false">IF(L972="","MISSING","OK")</f>
        <v>OK</v>
      </c>
      <c r="Q972" s="2" t="str">
        <f aca="false">IF(ISNUMBER(B972),"OK","BAD DATE")</f>
        <v>OK</v>
      </c>
      <c r="R972" s="2" t="str">
        <f aca="false">IF(ROUND(F972,2)=F972,"OK","FIX")</f>
        <v>OK</v>
      </c>
    </row>
    <row r="973" customFormat="false" ht="15" hidden="false" customHeight="false" outlineLevel="0" collapsed="false">
      <c r="A973" s="2" t="str">
        <f aca="false">TRIM(UPPER(Raw_Data!A973))</f>
        <v>ORD200971</v>
      </c>
      <c r="B973" s="3" t="n">
        <f aca="false">IF(ISNUMBER(Raw_Data!B973),Raw_Data!B973,DATEVALUE(Raw_Data!B973))</f>
        <v>45439</v>
      </c>
      <c r="C973" s="2" t="str">
        <f aca="false">TRIM(UPPER(Raw_Data!C973))</f>
        <v>C32650</v>
      </c>
      <c r="D973" s="2" t="str">
        <f aca="false">PROPER(TRIM(Raw_Data!D973))</f>
        <v>Monitor</v>
      </c>
      <c r="E973" s="2" t="n">
        <f aca="false">Raw_Data!E973</f>
        <v>2</v>
      </c>
      <c r="F973" s="4" t="n">
        <f aca="false">ROUND(Raw_Data!F973,2)</f>
        <v>605.26</v>
      </c>
      <c r="G973" s="2" t="str">
        <f aca="false">PROPER(TRIM(Raw_Data!G973))</f>
        <v>934 Main St</v>
      </c>
      <c r="H973" s="2" t="str">
        <f aca="false">PROPER(TRIM(Raw_Data!H973))</f>
        <v>Cash</v>
      </c>
      <c r="I973" s="2" t="str">
        <f aca="false">PROPER(TRIM(Raw_Data!I973))</f>
        <v>Cancelled</v>
      </c>
      <c r="J973" s="2" t="str">
        <f aca="false">TRIM(UPPER(Raw_Data!J973))</f>
        <v>TRK66648743</v>
      </c>
      <c r="K973" s="2" t="n">
        <f aca="false">Raw_Data!K973</f>
        <v>4</v>
      </c>
      <c r="L973" s="2" t="str">
        <f aca="false">IF(TRIM(Raw_Data!L973)="","No Coupon",TRIM(UPPER(Raw_Data!L973)))</f>
        <v>WINTER15</v>
      </c>
      <c r="M973" s="2" t="str">
        <f aca="false">PROPER(TRIM(Raw_Data!M973))</f>
        <v>Referral</v>
      </c>
      <c r="N973" s="4" t="n">
        <f aca="false">ROUND(E973*F973,2)</f>
        <v>1210.52</v>
      </c>
      <c r="O973" s="2" t="str">
        <f aca="false">IF(COUNTIF($A$2:$A$1201,A973)&gt;1,"DUPLICATE","Unique")</f>
        <v>Unique</v>
      </c>
      <c r="P973" s="2" t="str">
        <f aca="false">IF(L973="","MISSING","OK")</f>
        <v>OK</v>
      </c>
      <c r="Q973" s="2" t="str">
        <f aca="false">IF(ISNUMBER(B973),"OK","BAD DATE")</f>
        <v>OK</v>
      </c>
      <c r="R973" s="2" t="str">
        <f aca="false">IF(ROUND(F973,2)=F973,"OK","FIX")</f>
        <v>OK</v>
      </c>
    </row>
    <row r="974" customFormat="false" ht="15" hidden="false" customHeight="false" outlineLevel="0" collapsed="false">
      <c r="A974" s="2" t="str">
        <f aca="false">TRIM(UPPER(Raw_Data!A974))</f>
        <v>ORD200972</v>
      </c>
      <c r="B974" s="3" t="n">
        <f aca="false">IF(ISNUMBER(Raw_Data!B974),Raw_Data!B974,DATEVALUE(Raw_Data!B974))</f>
        <v>45452</v>
      </c>
      <c r="C974" s="2" t="str">
        <f aca="false">TRIM(UPPER(Raw_Data!C974))</f>
        <v>C66438</v>
      </c>
      <c r="D974" s="2" t="str">
        <f aca="false">PROPER(TRIM(Raw_Data!D974))</f>
        <v>Laptop</v>
      </c>
      <c r="E974" s="2" t="n">
        <f aca="false">Raw_Data!E974</f>
        <v>1</v>
      </c>
      <c r="F974" s="4" t="n">
        <f aca="false">ROUND(Raw_Data!F974,2)</f>
        <v>90.27</v>
      </c>
      <c r="G974" s="2" t="str">
        <f aca="false">PROPER(TRIM(Raw_Data!G974))</f>
        <v>816 Main St</v>
      </c>
      <c r="H974" s="2" t="str">
        <f aca="false">PROPER(TRIM(Raw_Data!H974))</f>
        <v>Cash</v>
      </c>
      <c r="I974" s="2" t="str">
        <f aca="false">PROPER(TRIM(Raw_Data!I974))</f>
        <v>Delivered</v>
      </c>
      <c r="J974" s="2" t="str">
        <f aca="false">TRIM(UPPER(Raw_Data!J974))</f>
        <v>TRK32035271</v>
      </c>
      <c r="K974" s="2" t="n">
        <f aca="false">Raw_Data!K974</f>
        <v>5</v>
      </c>
      <c r="L974" s="2" t="str">
        <f aca="false">IF(TRIM(Raw_Data!L974)="","No Coupon",TRIM(UPPER(Raw_Data!L974)))</f>
        <v>SAVE10</v>
      </c>
      <c r="M974" s="2" t="str">
        <f aca="false">PROPER(TRIM(Raw_Data!M974))</f>
        <v>Facebook</v>
      </c>
      <c r="N974" s="4" t="n">
        <f aca="false">ROUND(E974*F974,2)</f>
        <v>90.27</v>
      </c>
      <c r="O974" s="2" t="str">
        <f aca="false">IF(COUNTIF($A$2:$A$1201,A974)&gt;1,"DUPLICATE","Unique")</f>
        <v>Unique</v>
      </c>
      <c r="P974" s="2" t="str">
        <f aca="false">IF(L974="","MISSING","OK")</f>
        <v>OK</v>
      </c>
      <c r="Q974" s="2" t="str">
        <f aca="false">IF(ISNUMBER(B974),"OK","BAD DATE")</f>
        <v>OK</v>
      </c>
      <c r="R974" s="2" t="str">
        <f aca="false">IF(ROUND(F974,2)=F974,"OK","FIX")</f>
        <v>OK</v>
      </c>
    </row>
    <row r="975" customFormat="false" ht="15" hidden="false" customHeight="false" outlineLevel="0" collapsed="false">
      <c r="A975" s="2" t="str">
        <f aca="false">TRIM(UPPER(Raw_Data!A975))</f>
        <v>ORD200973</v>
      </c>
      <c r="B975" s="3" t="n">
        <f aca="false">IF(ISNUMBER(Raw_Data!B975),Raw_Data!B975,DATEVALUE(Raw_Data!B975))</f>
        <v>45817</v>
      </c>
      <c r="C975" s="2" t="str">
        <f aca="false">TRIM(UPPER(Raw_Data!C975))</f>
        <v>C70010</v>
      </c>
      <c r="D975" s="2" t="str">
        <f aca="false">PROPER(TRIM(Raw_Data!D975))</f>
        <v>Desk</v>
      </c>
      <c r="E975" s="2" t="n">
        <f aca="false">Raw_Data!E975</f>
        <v>5</v>
      </c>
      <c r="F975" s="4" t="n">
        <f aca="false">ROUND(Raw_Data!F975,2)</f>
        <v>230.77</v>
      </c>
      <c r="G975" s="2" t="str">
        <f aca="false">PROPER(TRIM(Raw_Data!G975))</f>
        <v>141 Main St</v>
      </c>
      <c r="H975" s="2" t="str">
        <f aca="false">PROPER(TRIM(Raw_Data!H975))</f>
        <v>Online</v>
      </c>
      <c r="I975" s="2" t="str">
        <f aca="false">PROPER(TRIM(Raw_Data!I975))</f>
        <v>Pending</v>
      </c>
      <c r="J975" s="2" t="str">
        <f aca="false">TRIM(UPPER(Raw_Data!J975))</f>
        <v>TRK50594008</v>
      </c>
      <c r="K975" s="2" t="n">
        <f aca="false">Raw_Data!K975</f>
        <v>10</v>
      </c>
      <c r="L975" s="2" t="str">
        <f aca="false">IF(TRIM(Raw_Data!L975)="","No Coupon",TRIM(UPPER(Raw_Data!L975)))</f>
        <v>WINTER15</v>
      </c>
      <c r="M975" s="2" t="str">
        <f aca="false">PROPER(TRIM(Raw_Data!M975))</f>
        <v>Referral</v>
      </c>
      <c r="N975" s="4" t="n">
        <f aca="false">ROUND(E975*F975,2)</f>
        <v>1153.85</v>
      </c>
      <c r="O975" s="2" t="str">
        <f aca="false">IF(COUNTIF($A$2:$A$1201,A975)&gt;1,"DUPLICATE","Unique")</f>
        <v>Unique</v>
      </c>
      <c r="P975" s="2" t="str">
        <f aca="false">IF(L975="","MISSING","OK")</f>
        <v>OK</v>
      </c>
      <c r="Q975" s="2" t="str">
        <f aca="false">IF(ISNUMBER(B975),"OK","BAD DATE")</f>
        <v>OK</v>
      </c>
      <c r="R975" s="2" t="str">
        <f aca="false">IF(ROUND(F975,2)=F975,"OK","FIX")</f>
        <v>OK</v>
      </c>
    </row>
    <row r="976" customFormat="false" ht="15" hidden="false" customHeight="false" outlineLevel="0" collapsed="false">
      <c r="A976" s="2" t="str">
        <f aca="false">TRIM(UPPER(Raw_Data!A976))</f>
        <v>ORD200974</v>
      </c>
      <c r="B976" s="3" t="n">
        <f aca="false">IF(ISNUMBER(Raw_Data!B976),Raw_Data!B976,DATEVALUE(Raw_Data!B976))</f>
        <v>45196</v>
      </c>
      <c r="C976" s="2" t="str">
        <f aca="false">TRIM(UPPER(Raw_Data!C976))</f>
        <v>C30722</v>
      </c>
      <c r="D976" s="2" t="str">
        <f aca="false">PROPER(TRIM(Raw_Data!D976))</f>
        <v>Desk</v>
      </c>
      <c r="E976" s="2" t="n">
        <f aca="false">Raw_Data!E976</f>
        <v>5</v>
      </c>
      <c r="F976" s="4" t="n">
        <f aca="false">ROUND(Raw_Data!F976,2)</f>
        <v>266.78</v>
      </c>
      <c r="G976" s="2" t="str">
        <f aca="false">PROPER(TRIM(Raw_Data!G976))</f>
        <v>274 Main St</v>
      </c>
      <c r="H976" s="2" t="str">
        <f aca="false">PROPER(TRIM(Raw_Data!H976))</f>
        <v>Gift Card</v>
      </c>
      <c r="I976" s="2" t="str">
        <f aca="false">PROPER(TRIM(Raw_Data!I976))</f>
        <v>Cancelled</v>
      </c>
      <c r="J976" s="2" t="str">
        <f aca="false">TRIM(UPPER(Raw_Data!J976))</f>
        <v>TRK52088168</v>
      </c>
      <c r="K976" s="2" t="n">
        <f aca="false">Raw_Data!K976</f>
        <v>5</v>
      </c>
      <c r="L976" s="2" t="str">
        <f aca="false">IF(TRIM(Raw_Data!L976)="","No Coupon",TRIM(UPPER(Raw_Data!L976)))</f>
        <v>No Coupon</v>
      </c>
      <c r="M976" s="2" t="str">
        <f aca="false">PROPER(TRIM(Raw_Data!M976))</f>
        <v>Email</v>
      </c>
      <c r="N976" s="4" t="n">
        <f aca="false">ROUND(E976*F976,2)</f>
        <v>1333.9</v>
      </c>
      <c r="O976" s="2" t="str">
        <f aca="false">IF(COUNTIF($A$2:$A$1201,A976)&gt;1,"DUPLICATE","Unique")</f>
        <v>Unique</v>
      </c>
      <c r="P976" s="2" t="str">
        <f aca="false">IF(L976="","MISSING","OK")</f>
        <v>OK</v>
      </c>
      <c r="Q976" s="2" t="str">
        <f aca="false">IF(ISNUMBER(B976),"OK","BAD DATE")</f>
        <v>OK</v>
      </c>
      <c r="R976" s="2" t="str">
        <f aca="false">IF(ROUND(F976,2)=F976,"OK","FIX")</f>
        <v>OK</v>
      </c>
    </row>
    <row r="977" customFormat="false" ht="15" hidden="false" customHeight="false" outlineLevel="0" collapsed="false">
      <c r="A977" s="2" t="str">
        <f aca="false">TRIM(UPPER(Raw_Data!A977))</f>
        <v>ORD200975</v>
      </c>
      <c r="B977" s="3" t="n">
        <f aca="false">IF(ISNUMBER(Raw_Data!B977),Raw_Data!B977,DATEVALUE(Raw_Data!B977))</f>
        <v>45064</v>
      </c>
      <c r="C977" s="2" t="str">
        <f aca="false">TRIM(UPPER(Raw_Data!C977))</f>
        <v>C70529</v>
      </c>
      <c r="D977" s="2" t="str">
        <f aca="false">PROPER(TRIM(Raw_Data!D977))</f>
        <v>Desk</v>
      </c>
      <c r="E977" s="2" t="n">
        <f aca="false">Raw_Data!E977</f>
        <v>1</v>
      </c>
      <c r="F977" s="4" t="n">
        <f aca="false">ROUND(Raw_Data!F977,2)</f>
        <v>105.92</v>
      </c>
      <c r="G977" s="2" t="str">
        <f aca="false">PROPER(TRIM(Raw_Data!G977))</f>
        <v>974 Main St</v>
      </c>
      <c r="H977" s="2" t="str">
        <f aca="false">PROPER(TRIM(Raw_Data!H977))</f>
        <v>Gift Card</v>
      </c>
      <c r="I977" s="2" t="str">
        <f aca="false">PROPER(TRIM(Raw_Data!I977))</f>
        <v>Returned</v>
      </c>
      <c r="J977" s="2" t="str">
        <f aca="false">TRIM(UPPER(Raw_Data!J977))</f>
        <v>TRK82165408</v>
      </c>
      <c r="K977" s="2" t="n">
        <f aca="false">Raw_Data!K977</f>
        <v>6</v>
      </c>
      <c r="L977" s="2" t="str">
        <f aca="false">IF(TRIM(Raw_Data!L977)="","No Coupon",TRIM(UPPER(Raw_Data!L977)))</f>
        <v>SAVE10</v>
      </c>
      <c r="M977" s="2" t="str">
        <f aca="false">PROPER(TRIM(Raw_Data!M977))</f>
        <v>Email</v>
      </c>
      <c r="N977" s="4" t="n">
        <f aca="false">ROUND(E977*F977,2)</f>
        <v>105.92</v>
      </c>
      <c r="O977" s="2" t="str">
        <f aca="false">IF(COUNTIF($A$2:$A$1201,A977)&gt;1,"DUPLICATE","Unique")</f>
        <v>Unique</v>
      </c>
      <c r="P977" s="2" t="str">
        <f aca="false">IF(L977="","MISSING","OK")</f>
        <v>OK</v>
      </c>
      <c r="Q977" s="2" t="str">
        <f aca="false">IF(ISNUMBER(B977),"OK","BAD DATE")</f>
        <v>OK</v>
      </c>
      <c r="R977" s="2" t="str">
        <f aca="false">IF(ROUND(F977,2)=F977,"OK","FIX")</f>
        <v>OK</v>
      </c>
    </row>
    <row r="978" customFormat="false" ht="15" hidden="false" customHeight="false" outlineLevel="0" collapsed="false">
      <c r="A978" s="2" t="str">
        <f aca="false">TRIM(UPPER(Raw_Data!A978))</f>
        <v>ORD200976</v>
      </c>
      <c r="B978" s="3" t="n">
        <f aca="false">IF(ISNUMBER(Raw_Data!B978),Raw_Data!B978,DATEVALUE(Raw_Data!B978))</f>
        <v>45386</v>
      </c>
      <c r="C978" s="2" t="str">
        <f aca="false">TRIM(UPPER(Raw_Data!C978))</f>
        <v>C18984</v>
      </c>
      <c r="D978" s="2" t="str">
        <f aca="false">PROPER(TRIM(Raw_Data!D978))</f>
        <v>Tablet</v>
      </c>
      <c r="E978" s="2" t="n">
        <f aca="false">Raw_Data!E978</f>
        <v>3</v>
      </c>
      <c r="F978" s="4" t="n">
        <f aca="false">ROUND(Raw_Data!F978,2)</f>
        <v>589.3</v>
      </c>
      <c r="G978" s="2" t="str">
        <f aca="false">PROPER(TRIM(Raw_Data!G978))</f>
        <v>650 Main St</v>
      </c>
      <c r="H978" s="2" t="str">
        <f aca="false">PROPER(TRIM(Raw_Data!H978))</f>
        <v>Credit Card</v>
      </c>
      <c r="I978" s="2" t="str">
        <f aca="false">PROPER(TRIM(Raw_Data!I978))</f>
        <v>Returned</v>
      </c>
      <c r="J978" s="2" t="str">
        <f aca="false">TRIM(UPPER(Raw_Data!J978))</f>
        <v>TRK49298239</v>
      </c>
      <c r="K978" s="2" t="n">
        <f aca="false">Raw_Data!K978</f>
        <v>6</v>
      </c>
      <c r="L978" s="2" t="str">
        <f aca="false">IF(TRIM(Raw_Data!L978)="","No Coupon",TRIM(UPPER(Raw_Data!L978)))</f>
        <v>WINTER15</v>
      </c>
      <c r="M978" s="2" t="str">
        <f aca="false">PROPER(TRIM(Raw_Data!M978))</f>
        <v>Referral</v>
      </c>
      <c r="N978" s="4" t="n">
        <f aca="false">ROUND(E978*F978,2)</f>
        <v>1767.9</v>
      </c>
      <c r="O978" s="2" t="str">
        <f aca="false">IF(COUNTIF($A$2:$A$1201,A978)&gt;1,"DUPLICATE","Unique")</f>
        <v>Unique</v>
      </c>
      <c r="P978" s="2" t="str">
        <f aca="false">IF(L978="","MISSING","OK")</f>
        <v>OK</v>
      </c>
      <c r="Q978" s="2" t="str">
        <f aca="false">IF(ISNUMBER(B978),"OK","BAD DATE")</f>
        <v>OK</v>
      </c>
      <c r="R978" s="2" t="str">
        <f aca="false">IF(ROUND(F978,2)=F978,"OK","FIX")</f>
        <v>OK</v>
      </c>
    </row>
    <row r="979" customFormat="false" ht="15" hidden="false" customHeight="false" outlineLevel="0" collapsed="false">
      <c r="A979" s="2" t="str">
        <f aca="false">TRIM(UPPER(Raw_Data!A979))</f>
        <v>ORD200977</v>
      </c>
      <c r="B979" s="3" t="n">
        <f aca="false">IF(ISNUMBER(Raw_Data!B979),Raw_Data!B979,DATEVALUE(Raw_Data!B979))</f>
        <v>44954</v>
      </c>
      <c r="C979" s="2" t="str">
        <f aca="false">TRIM(UPPER(Raw_Data!C979))</f>
        <v>C85841</v>
      </c>
      <c r="D979" s="2" t="str">
        <f aca="false">PROPER(TRIM(Raw_Data!D979))</f>
        <v>Chair</v>
      </c>
      <c r="E979" s="2" t="n">
        <f aca="false">Raw_Data!E979</f>
        <v>4</v>
      </c>
      <c r="F979" s="4" t="n">
        <f aca="false">ROUND(Raw_Data!F979,2)</f>
        <v>649.47</v>
      </c>
      <c r="G979" s="2" t="str">
        <f aca="false">PROPER(TRIM(Raw_Data!G979))</f>
        <v>608 Main St</v>
      </c>
      <c r="H979" s="2" t="str">
        <f aca="false">PROPER(TRIM(Raw_Data!H979))</f>
        <v>Cash</v>
      </c>
      <c r="I979" s="2" t="str">
        <f aca="false">PROPER(TRIM(Raw_Data!I979))</f>
        <v>Pending</v>
      </c>
      <c r="J979" s="2" t="str">
        <f aca="false">TRIM(UPPER(Raw_Data!J979))</f>
        <v>TRK99820544</v>
      </c>
      <c r="K979" s="2" t="n">
        <f aca="false">Raw_Data!K979</f>
        <v>8</v>
      </c>
      <c r="L979" s="2" t="str">
        <f aca="false">IF(TRIM(Raw_Data!L979)="","No Coupon",TRIM(UPPER(Raw_Data!L979)))</f>
        <v>SAVE10</v>
      </c>
      <c r="M979" s="2" t="str">
        <f aca="false">PROPER(TRIM(Raw_Data!M979))</f>
        <v>Google</v>
      </c>
      <c r="N979" s="4" t="n">
        <f aca="false">ROUND(E979*F979,2)</f>
        <v>2597.88</v>
      </c>
      <c r="O979" s="2" t="str">
        <f aca="false">IF(COUNTIF($A$2:$A$1201,A979)&gt;1,"DUPLICATE","Unique")</f>
        <v>Unique</v>
      </c>
      <c r="P979" s="2" t="str">
        <f aca="false">IF(L979="","MISSING","OK")</f>
        <v>OK</v>
      </c>
      <c r="Q979" s="2" t="str">
        <f aca="false">IF(ISNUMBER(B979),"OK","BAD DATE")</f>
        <v>OK</v>
      </c>
      <c r="R979" s="2" t="str">
        <f aca="false">IF(ROUND(F979,2)=F979,"OK","FIX")</f>
        <v>OK</v>
      </c>
    </row>
    <row r="980" customFormat="false" ht="15" hidden="false" customHeight="false" outlineLevel="0" collapsed="false">
      <c r="A980" s="2" t="str">
        <f aca="false">TRIM(UPPER(Raw_Data!A980))</f>
        <v>ORD200978</v>
      </c>
      <c r="B980" s="3" t="n">
        <f aca="false">IF(ISNUMBER(Raw_Data!B980),Raw_Data!B980,DATEVALUE(Raw_Data!B980))</f>
        <v>45468</v>
      </c>
      <c r="C980" s="2" t="str">
        <f aca="false">TRIM(UPPER(Raw_Data!C980))</f>
        <v>C41508</v>
      </c>
      <c r="D980" s="2" t="str">
        <f aca="false">PROPER(TRIM(Raw_Data!D980))</f>
        <v>Printer</v>
      </c>
      <c r="E980" s="2" t="n">
        <f aca="false">Raw_Data!E980</f>
        <v>4</v>
      </c>
      <c r="F980" s="4" t="n">
        <f aca="false">ROUND(Raw_Data!F980,2)</f>
        <v>107.49</v>
      </c>
      <c r="G980" s="2" t="str">
        <f aca="false">PROPER(TRIM(Raw_Data!G980))</f>
        <v>993 Main St</v>
      </c>
      <c r="H980" s="2" t="str">
        <f aca="false">PROPER(TRIM(Raw_Data!H980))</f>
        <v>Cash</v>
      </c>
      <c r="I980" s="2" t="str">
        <f aca="false">PROPER(TRIM(Raw_Data!I980))</f>
        <v>Delivered</v>
      </c>
      <c r="J980" s="2" t="str">
        <f aca="false">TRIM(UPPER(Raw_Data!J980))</f>
        <v>TRK61047536</v>
      </c>
      <c r="K980" s="2" t="n">
        <f aca="false">Raw_Data!K980</f>
        <v>5</v>
      </c>
      <c r="L980" s="2" t="str">
        <f aca="false">IF(TRIM(Raw_Data!L980)="","No Coupon",TRIM(UPPER(Raw_Data!L980)))</f>
        <v>No Coupon</v>
      </c>
      <c r="M980" s="2" t="str">
        <f aca="false">PROPER(TRIM(Raw_Data!M980))</f>
        <v>Google</v>
      </c>
      <c r="N980" s="4" t="n">
        <f aca="false">ROUND(E980*F980,2)</f>
        <v>429.96</v>
      </c>
      <c r="O980" s="2" t="str">
        <f aca="false">IF(COUNTIF($A$2:$A$1201,A980)&gt;1,"DUPLICATE","Unique")</f>
        <v>Unique</v>
      </c>
      <c r="P980" s="2" t="str">
        <f aca="false">IF(L980="","MISSING","OK")</f>
        <v>OK</v>
      </c>
      <c r="Q980" s="2" t="str">
        <f aca="false">IF(ISNUMBER(B980),"OK","BAD DATE")</f>
        <v>OK</v>
      </c>
      <c r="R980" s="2" t="str">
        <f aca="false">IF(ROUND(F980,2)=F980,"OK","FIX")</f>
        <v>OK</v>
      </c>
    </row>
    <row r="981" customFormat="false" ht="15" hidden="false" customHeight="false" outlineLevel="0" collapsed="false">
      <c r="A981" s="2" t="str">
        <f aca="false">TRIM(UPPER(Raw_Data!A981))</f>
        <v>ORD200979</v>
      </c>
      <c r="B981" s="3" t="n">
        <f aca="false">IF(ISNUMBER(Raw_Data!B981),Raw_Data!B981,DATEVALUE(Raw_Data!B981))</f>
        <v>45077</v>
      </c>
      <c r="C981" s="2" t="str">
        <f aca="false">TRIM(UPPER(Raw_Data!C981))</f>
        <v>C75018</v>
      </c>
      <c r="D981" s="2" t="str">
        <f aca="false">PROPER(TRIM(Raw_Data!D981))</f>
        <v>Monitor</v>
      </c>
      <c r="E981" s="2" t="n">
        <f aca="false">Raw_Data!E981</f>
        <v>3</v>
      </c>
      <c r="F981" s="4" t="n">
        <f aca="false">ROUND(Raw_Data!F981,2)</f>
        <v>669.06</v>
      </c>
      <c r="G981" s="2" t="str">
        <f aca="false">PROPER(TRIM(Raw_Data!G981))</f>
        <v>299 Main St</v>
      </c>
      <c r="H981" s="2" t="str">
        <f aca="false">PROPER(TRIM(Raw_Data!H981))</f>
        <v>Cash</v>
      </c>
      <c r="I981" s="2" t="str">
        <f aca="false">PROPER(TRIM(Raw_Data!I981))</f>
        <v>Delivered</v>
      </c>
      <c r="J981" s="2" t="str">
        <f aca="false">TRIM(UPPER(Raw_Data!J981))</f>
        <v>TRK51794806</v>
      </c>
      <c r="K981" s="2" t="n">
        <f aca="false">Raw_Data!K981</f>
        <v>7</v>
      </c>
      <c r="L981" s="2" t="str">
        <f aca="false">IF(TRIM(Raw_Data!L981)="","No Coupon",TRIM(UPPER(Raw_Data!L981)))</f>
        <v>SAVE10</v>
      </c>
      <c r="M981" s="2" t="str">
        <f aca="false">PROPER(TRIM(Raw_Data!M981))</f>
        <v>Facebook</v>
      </c>
      <c r="N981" s="4" t="n">
        <f aca="false">ROUND(E981*F981,2)</f>
        <v>2007.18</v>
      </c>
      <c r="O981" s="2" t="str">
        <f aca="false">IF(COUNTIF($A$2:$A$1201,A981)&gt;1,"DUPLICATE","Unique")</f>
        <v>Unique</v>
      </c>
      <c r="P981" s="2" t="str">
        <f aca="false">IF(L981="","MISSING","OK")</f>
        <v>OK</v>
      </c>
      <c r="Q981" s="2" t="str">
        <f aca="false">IF(ISNUMBER(B981),"OK","BAD DATE")</f>
        <v>OK</v>
      </c>
      <c r="R981" s="2" t="str">
        <f aca="false">IF(ROUND(F981,2)=F981,"OK","FIX")</f>
        <v>OK</v>
      </c>
    </row>
    <row r="982" customFormat="false" ht="15" hidden="false" customHeight="false" outlineLevel="0" collapsed="false">
      <c r="A982" s="2" t="str">
        <f aca="false">TRIM(UPPER(Raw_Data!A982))</f>
        <v>ORD200980</v>
      </c>
      <c r="B982" s="3" t="n">
        <f aca="false">IF(ISNUMBER(Raw_Data!B982),Raw_Data!B982,DATEVALUE(Raw_Data!B982))</f>
        <v>45213</v>
      </c>
      <c r="C982" s="2" t="str">
        <f aca="false">TRIM(UPPER(Raw_Data!C982))</f>
        <v>C84320</v>
      </c>
      <c r="D982" s="2" t="str">
        <f aca="false">PROPER(TRIM(Raw_Data!D982))</f>
        <v>Chair</v>
      </c>
      <c r="E982" s="2" t="n">
        <f aca="false">Raw_Data!E982</f>
        <v>3</v>
      </c>
      <c r="F982" s="4" t="n">
        <f aca="false">ROUND(Raw_Data!F982,2)</f>
        <v>69.65</v>
      </c>
      <c r="G982" s="2" t="str">
        <f aca="false">PROPER(TRIM(Raw_Data!G982))</f>
        <v>107 Main St</v>
      </c>
      <c r="H982" s="2" t="str">
        <f aca="false">PROPER(TRIM(Raw_Data!H982))</f>
        <v>Cash</v>
      </c>
      <c r="I982" s="2" t="str">
        <f aca="false">PROPER(TRIM(Raw_Data!I982))</f>
        <v>Delivered</v>
      </c>
      <c r="J982" s="2" t="str">
        <f aca="false">TRIM(UPPER(Raw_Data!J982))</f>
        <v>TRK81093218</v>
      </c>
      <c r="K982" s="2" t="n">
        <f aca="false">Raw_Data!K982</f>
        <v>7</v>
      </c>
      <c r="L982" s="2" t="str">
        <f aca="false">IF(TRIM(Raw_Data!L982)="","No Coupon",TRIM(UPPER(Raw_Data!L982)))</f>
        <v>WINTER15</v>
      </c>
      <c r="M982" s="2" t="str">
        <f aca="false">PROPER(TRIM(Raw_Data!M982))</f>
        <v>Instagram</v>
      </c>
      <c r="N982" s="4" t="n">
        <f aca="false">ROUND(E982*F982,2)</f>
        <v>208.95</v>
      </c>
      <c r="O982" s="2" t="str">
        <f aca="false">IF(COUNTIF($A$2:$A$1201,A982)&gt;1,"DUPLICATE","Unique")</f>
        <v>Unique</v>
      </c>
      <c r="P982" s="2" t="str">
        <f aca="false">IF(L982="","MISSING","OK")</f>
        <v>OK</v>
      </c>
      <c r="Q982" s="2" t="str">
        <f aca="false">IF(ISNUMBER(B982),"OK","BAD DATE")</f>
        <v>OK</v>
      </c>
      <c r="R982" s="2" t="str">
        <f aca="false">IF(ROUND(F982,2)=F982,"OK","FIX")</f>
        <v>OK</v>
      </c>
    </row>
    <row r="983" customFormat="false" ht="15" hidden="false" customHeight="false" outlineLevel="0" collapsed="false">
      <c r="A983" s="2" t="str">
        <f aca="false">TRIM(UPPER(Raw_Data!A983))</f>
        <v>ORD200981</v>
      </c>
      <c r="B983" s="3" t="n">
        <f aca="false">IF(ISNUMBER(Raw_Data!B983),Raw_Data!B983,DATEVALUE(Raw_Data!B983))</f>
        <v>45256</v>
      </c>
      <c r="C983" s="2" t="str">
        <f aca="false">TRIM(UPPER(Raw_Data!C983))</f>
        <v>C12609</v>
      </c>
      <c r="D983" s="2" t="str">
        <f aca="false">PROPER(TRIM(Raw_Data!D983))</f>
        <v>Phone</v>
      </c>
      <c r="E983" s="2" t="n">
        <f aca="false">Raw_Data!E983</f>
        <v>4</v>
      </c>
      <c r="F983" s="4" t="n">
        <f aca="false">ROUND(Raw_Data!F983,2)</f>
        <v>136.83</v>
      </c>
      <c r="G983" s="2" t="str">
        <f aca="false">PROPER(TRIM(Raw_Data!G983))</f>
        <v>490 Main St</v>
      </c>
      <c r="H983" s="2" t="str">
        <f aca="false">PROPER(TRIM(Raw_Data!H983))</f>
        <v>Debit Card</v>
      </c>
      <c r="I983" s="2" t="str">
        <f aca="false">PROPER(TRIM(Raw_Data!I983))</f>
        <v>Pending</v>
      </c>
      <c r="J983" s="2" t="str">
        <f aca="false">TRIM(UPPER(Raw_Data!J983))</f>
        <v>TRK56379337</v>
      </c>
      <c r="K983" s="2" t="n">
        <f aca="false">Raw_Data!K983</f>
        <v>8</v>
      </c>
      <c r="L983" s="2" t="str">
        <f aca="false">IF(TRIM(Raw_Data!L983)="","No Coupon",TRIM(UPPER(Raw_Data!L983)))</f>
        <v>SAVE10</v>
      </c>
      <c r="M983" s="2" t="str">
        <f aca="false">PROPER(TRIM(Raw_Data!M983))</f>
        <v>Email</v>
      </c>
      <c r="N983" s="4" t="n">
        <f aca="false">ROUND(E983*F983,2)</f>
        <v>547.32</v>
      </c>
      <c r="O983" s="2" t="str">
        <f aca="false">IF(COUNTIF($A$2:$A$1201,A983)&gt;1,"DUPLICATE","Unique")</f>
        <v>Unique</v>
      </c>
      <c r="P983" s="2" t="str">
        <f aca="false">IF(L983="","MISSING","OK")</f>
        <v>OK</v>
      </c>
      <c r="Q983" s="2" t="str">
        <f aca="false">IF(ISNUMBER(B983),"OK","BAD DATE")</f>
        <v>OK</v>
      </c>
      <c r="R983" s="2" t="str">
        <f aca="false">IF(ROUND(F983,2)=F983,"OK","FIX")</f>
        <v>OK</v>
      </c>
    </row>
    <row r="984" customFormat="false" ht="15" hidden="false" customHeight="false" outlineLevel="0" collapsed="false">
      <c r="A984" s="2" t="str">
        <f aca="false">TRIM(UPPER(Raw_Data!A984))</f>
        <v>ORD200982</v>
      </c>
      <c r="B984" s="3" t="n">
        <f aca="false">IF(ISNUMBER(Raw_Data!B984),Raw_Data!B984,DATEVALUE(Raw_Data!B984))</f>
        <v>45541</v>
      </c>
      <c r="C984" s="2" t="str">
        <f aca="false">TRIM(UPPER(Raw_Data!C984))</f>
        <v>C64935</v>
      </c>
      <c r="D984" s="2" t="str">
        <f aca="false">PROPER(TRIM(Raw_Data!D984))</f>
        <v>Monitor</v>
      </c>
      <c r="E984" s="2" t="n">
        <f aca="false">Raw_Data!E984</f>
        <v>1</v>
      </c>
      <c r="F984" s="4" t="n">
        <f aca="false">ROUND(Raw_Data!F984,2)</f>
        <v>304.11</v>
      </c>
      <c r="G984" s="2" t="str">
        <f aca="false">PROPER(TRIM(Raw_Data!G984))</f>
        <v>707 Main St</v>
      </c>
      <c r="H984" s="2" t="str">
        <f aca="false">PROPER(TRIM(Raw_Data!H984))</f>
        <v>Gift Card</v>
      </c>
      <c r="I984" s="2" t="str">
        <f aca="false">PROPER(TRIM(Raw_Data!I984))</f>
        <v>Shipped</v>
      </c>
      <c r="J984" s="2" t="str">
        <f aca="false">TRIM(UPPER(Raw_Data!J984))</f>
        <v>TRK42969065</v>
      </c>
      <c r="K984" s="2" t="n">
        <f aca="false">Raw_Data!K984</f>
        <v>2</v>
      </c>
      <c r="L984" s="2" t="str">
        <f aca="false">IF(TRIM(Raw_Data!L984)="","No Coupon",TRIM(UPPER(Raw_Data!L984)))</f>
        <v>SAVE10</v>
      </c>
      <c r="M984" s="2" t="str">
        <f aca="false">PROPER(TRIM(Raw_Data!M984))</f>
        <v>Referral</v>
      </c>
      <c r="N984" s="4" t="n">
        <f aca="false">ROUND(E984*F984,2)</f>
        <v>304.11</v>
      </c>
      <c r="O984" s="2" t="str">
        <f aca="false">IF(COUNTIF($A$2:$A$1201,A984)&gt;1,"DUPLICATE","Unique")</f>
        <v>Unique</v>
      </c>
      <c r="P984" s="2" t="str">
        <f aca="false">IF(L984="","MISSING","OK")</f>
        <v>OK</v>
      </c>
      <c r="Q984" s="2" t="str">
        <f aca="false">IF(ISNUMBER(B984),"OK","BAD DATE")</f>
        <v>OK</v>
      </c>
      <c r="R984" s="2" t="str">
        <f aca="false">IF(ROUND(F984,2)=F984,"OK","FIX")</f>
        <v>OK</v>
      </c>
    </row>
    <row r="985" customFormat="false" ht="15" hidden="false" customHeight="false" outlineLevel="0" collapsed="false">
      <c r="A985" s="2" t="str">
        <f aca="false">TRIM(UPPER(Raw_Data!A985))</f>
        <v>ORD200983</v>
      </c>
      <c r="B985" s="3" t="n">
        <f aca="false">IF(ISNUMBER(Raw_Data!B985),Raw_Data!B985,DATEVALUE(Raw_Data!B985))</f>
        <v>45620</v>
      </c>
      <c r="C985" s="2" t="str">
        <f aca="false">TRIM(UPPER(Raw_Data!C985))</f>
        <v>C67528</v>
      </c>
      <c r="D985" s="2" t="str">
        <f aca="false">PROPER(TRIM(Raw_Data!D985))</f>
        <v>Monitor</v>
      </c>
      <c r="E985" s="2" t="n">
        <f aca="false">Raw_Data!E985</f>
        <v>4</v>
      </c>
      <c r="F985" s="4" t="n">
        <f aca="false">ROUND(Raw_Data!F985,2)</f>
        <v>296.28</v>
      </c>
      <c r="G985" s="2" t="str">
        <f aca="false">PROPER(TRIM(Raw_Data!G985))</f>
        <v>110 Main St</v>
      </c>
      <c r="H985" s="2" t="str">
        <f aca="false">PROPER(TRIM(Raw_Data!H985))</f>
        <v>Gift Card</v>
      </c>
      <c r="I985" s="2" t="str">
        <f aca="false">PROPER(TRIM(Raw_Data!I985))</f>
        <v>Shipped</v>
      </c>
      <c r="J985" s="2" t="str">
        <f aca="false">TRIM(UPPER(Raw_Data!J985))</f>
        <v>TRK60865210</v>
      </c>
      <c r="K985" s="2" t="n">
        <f aca="false">Raw_Data!K985</f>
        <v>5</v>
      </c>
      <c r="L985" s="2" t="str">
        <f aca="false">IF(TRIM(Raw_Data!L985)="","No Coupon",TRIM(UPPER(Raw_Data!L985)))</f>
        <v>SAVE10</v>
      </c>
      <c r="M985" s="2" t="str">
        <f aca="false">PROPER(TRIM(Raw_Data!M985))</f>
        <v>Email</v>
      </c>
      <c r="N985" s="4" t="n">
        <f aca="false">ROUND(E985*F985,2)</f>
        <v>1185.12</v>
      </c>
      <c r="O985" s="2" t="str">
        <f aca="false">IF(COUNTIF($A$2:$A$1201,A985)&gt;1,"DUPLICATE","Unique")</f>
        <v>Unique</v>
      </c>
      <c r="P985" s="2" t="str">
        <f aca="false">IF(L985="","MISSING","OK")</f>
        <v>OK</v>
      </c>
      <c r="Q985" s="2" t="str">
        <f aca="false">IF(ISNUMBER(B985),"OK","BAD DATE")</f>
        <v>OK</v>
      </c>
      <c r="R985" s="2" t="str">
        <f aca="false">IF(ROUND(F985,2)=F985,"OK","FIX")</f>
        <v>OK</v>
      </c>
    </row>
    <row r="986" customFormat="false" ht="15" hidden="false" customHeight="false" outlineLevel="0" collapsed="false">
      <c r="A986" s="2" t="str">
        <f aca="false">TRIM(UPPER(Raw_Data!A986))</f>
        <v>ORD200984</v>
      </c>
      <c r="B986" s="3" t="n">
        <f aca="false">IF(ISNUMBER(Raw_Data!B986),Raw_Data!B986,DATEVALUE(Raw_Data!B986))</f>
        <v>45716</v>
      </c>
      <c r="C986" s="2" t="str">
        <f aca="false">TRIM(UPPER(Raw_Data!C986))</f>
        <v>C44176</v>
      </c>
      <c r="D986" s="2" t="str">
        <f aca="false">PROPER(TRIM(Raw_Data!D986))</f>
        <v>Desk</v>
      </c>
      <c r="E986" s="2" t="n">
        <f aca="false">Raw_Data!E986</f>
        <v>1</v>
      </c>
      <c r="F986" s="4" t="n">
        <f aca="false">ROUND(Raw_Data!F986,2)</f>
        <v>77.64</v>
      </c>
      <c r="G986" s="2" t="str">
        <f aca="false">PROPER(TRIM(Raw_Data!G986))</f>
        <v>706 Main St</v>
      </c>
      <c r="H986" s="2" t="str">
        <f aca="false">PROPER(TRIM(Raw_Data!H986))</f>
        <v>Credit Card</v>
      </c>
      <c r="I986" s="2" t="str">
        <f aca="false">PROPER(TRIM(Raw_Data!I986))</f>
        <v>Shipped</v>
      </c>
      <c r="J986" s="2" t="str">
        <f aca="false">TRIM(UPPER(Raw_Data!J986))</f>
        <v>TRK68704764</v>
      </c>
      <c r="K986" s="2" t="n">
        <f aca="false">Raw_Data!K986</f>
        <v>1</v>
      </c>
      <c r="L986" s="2" t="str">
        <f aca="false">IF(TRIM(Raw_Data!L986)="","No Coupon",TRIM(UPPER(Raw_Data!L986)))</f>
        <v>FREESHIP</v>
      </c>
      <c r="M986" s="2" t="str">
        <f aca="false">PROPER(TRIM(Raw_Data!M986))</f>
        <v>Facebook</v>
      </c>
      <c r="N986" s="4" t="n">
        <f aca="false">ROUND(E986*F986,2)</f>
        <v>77.64</v>
      </c>
      <c r="O986" s="2" t="str">
        <f aca="false">IF(COUNTIF($A$2:$A$1201,A986)&gt;1,"DUPLICATE","Unique")</f>
        <v>Unique</v>
      </c>
      <c r="P986" s="2" t="str">
        <f aca="false">IF(L986="","MISSING","OK")</f>
        <v>OK</v>
      </c>
      <c r="Q986" s="2" t="str">
        <f aca="false">IF(ISNUMBER(B986),"OK","BAD DATE")</f>
        <v>OK</v>
      </c>
      <c r="R986" s="2" t="str">
        <f aca="false">IF(ROUND(F986,2)=F986,"OK","FIX")</f>
        <v>OK</v>
      </c>
    </row>
    <row r="987" customFormat="false" ht="15" hidden="false" customHeight="false" outlineLevel="0" collapsed="false">
      <c r="A987" s="2" t="str">
        <f aca="false">TRIM(UPPER(Raw_Data!A987))</f>
        <v>ORD200985</v>
      </c>
      <c r="B987" s="3" t="n">
        <f aca="false">IF(ISNUMBER(Raw_Data!B987),Raw_Data!B987,DATEVALUE(Raw_Data!B987))</f>
        <v>45493</v>
      </c>
      <c r="C987" s="2" t="str">
        <f aca="false">TRIM(UPPER(Raw_Data!C987))</f>
        <v>C92788</v>
      </c>
      <c r="D987" s="2" t="str">
        <f aca="false">PROPER(TRIM(Raw_Data!D987))</f>
        <v>Desk</v>
      </c>
      <c r="E987" s="2" t="n">
        <f aca="false">Raw_Data!E987</f>
        <v>1</v>
      </c>
      <c r="F987" s="4" t="n">
        <f aca="false">ROUND(Raw_Data!F987,2)</f>
        <v>243.71</v>
      </c>
      <c r="G987" s="2" t="str">
        <f aca="false">PROPER(TRIM(Raw_Data!G987))</f>
        <v>948 Main St</v>
      </c>
      <c r="H987" s="2" t="str">
        <f aca="false">PROPER(TRIM(Raw_Data!H987))</f>
        <v>Gift Card</v>
      </c>
      <c r="I987" s="2" t="str">
        <f aca="false">PROPER(TRIM(Raw_Data!I987))</f>
        <v>Delivered</v>
      </c>
      <c r="J987" s="2" t="str">
        <f aca="false">TRIM(UPPER(Raw_Data!J987))</f>
        <v>TRK83835361</v>
      </c>
      <c r="K987" s="2" t="n">
        <f aca="false">Raw_Data!K987</f>
        <v>6</v>
      </c>
      <c r="L987" s="2" t="str">
        <f aca="false">IF(TRIM(Raw_Data!L987)="","No Coupon",TRIM(UPPER(Raw_Data!L987)))</f>
        <v>SAVE10</v>
      </c>
      <c r="M987" s="2" t="str">
        <f aca="false">PROPER(TRIM(Raw_Data!M987))</f>
        <v>Google</v>
      </c>
      <c r="N987" s="4" t="n">
        <f aca="false">ROUND(E987*F987,2)</f>
        <v>243.71</v>
      </c>
      <c r="O987" s="2" t="str">
        <f aca="false">IF(COUNTIF($A$2:$A$1201,A987)&gt;1,"DUPLICATE","Unique")</f>
        <v>Unique</v>
      </c>
      <c r="P987" s="2" t="str">
        <f aca="false">IF(L987="","MISSING","OK")</f>
        <v>OK</v>
      </c>
      <c r="Q987" s="2" t="str">
        <f aca="false">IF(ISNUMBER(B987),"OK","BAD DATE")</f>
        <v>OK</v>
      </c>
      <c r="R987" s="2" t="str">
        <f aca="false">IF(ROUND(F987,2)=F987,"OK","FIX")</f>
        <v>OK</v>
      </c>
    </row>
    <row r="988" customFormat="false" ht="15" hidden="false" customHeight="false" outlineLevel="0" collapsed="false">
      <c r="A988" s="2" t="str">
        <f aca="false">TRIM(UPPER(Raw_Data!A988))</f>
        <v>ORD200986</v>
      </c>
      <c r="B988" s="3" t="n">
        <f aca="false">IF(ISNUMBER(Raw_Data!B988),Raw_Data!B988,DATEVALUE(Raw_Data!B988))</f>
        <v>45542</v>
      </c>
      <c r="C988" s="2" t="str">
        <f aca="false">TRIM(UPPER(Raw_Data!C988))</f>
        <v>C69213</v>
      </c>
      <c r="D988" s="2" t="str">
        <f aca="false">PROPER(TRIM(Raw_Data!D988))</f>
        <v>Laptop</v>
      </c>
      <c r="E988" s="2" t="n">
        <f aca="false">Raw_Data!E988</f>
        <v>4</v>
      </c>
      <c r="F988" s="4" t="n">
        <f aca="false">ROUND(Raw_Data!F988,2)</f>
        <v>644.96</v>
      </c>
      <c r="G988" s="2" t="str">
        <f aca="false">PROPER(TRIM(Raw_Data!G988))</f>
        <v>533 Main St</v>
      </c>
      <c r="H988" s="2" t="str">
        <f aca="false">PROPER(TRIM(Raw_Data!H988))</f>
        <v>Credit Card</v>
      </c>
      <c r="I988" s="2" t="str">
        <f aca="false">PROPER(TRIM(Raw_Data!I988))</f>
        <v>Pending</v>
      </c>
      <c r="J988" s="2" t="str">
        <f aca="false">TRIM(UPPER(Raw_Data!J988))</f>
        <v>TRK67837331</v>
      </c>
      <c r="K988" s="2" t="n">
        <f aca="false">Raw_Data!K988</f>
        <v>7</v>
      </c>
      <c r="L988" s="2" t="str">
        <f aca="false">IF(TRIM(Raw_Data!L988)="","No Coupon",TRIM(UPPER(Raw_Data!L988)))</f>
        <v>FREESHIP</v>
      </c>
      <c r="M988" s="2" t="str">
        <f aca="false">PROPER(TRIM(Raw_Data!M988))</f>
        <v>Email</v>
      </c>
      <c r="N988" s="4" t="n">
        <f aca="false">ROUND(E988*F988,2)</f>
        <v>2579.84</v>
      </c>
      <c r="O988" s="2" t="str">
        <f aca="false">IF(COUNTIF($A$2:$A$1201,A988)&gt;1,"DUPLICATE","Unique")</f>
        <v>Unique</v>
      </c>
      <c r="P988" s="2" t="str">
        <f aca="false">IF(L988="","MISSING","OK")</f>
        <v>OK</v>
      </c>
      <c r="Q988" s="2" t="str">
        <f aca="false">IF(ISNUMBER(B988),"OK","BAD DATE")</f>
        <v>OK</v>
      </c>
      <c r="R988" s="2" t="str">
        <f aca="false">IF(ROUND(F988,2)=F988,"OK","FIX")</f>
        <v>OK</v>
      </c>
    </row>
    <row r="989" customFormat="false" ht="15" hidden="false" customHeight="false" outlineLevel="0" collapsed="false">
      <c r="A989" s="2" t="str">
        <f aca="false">TRIM(UPPER(Raw_Data!A989))</f>
        <v>ORD200987</v>
      </c>
      <c r="B989" s="3" t="n">
        <f aca="false">IF(ISNUMBER(Raw_Data!B989),Raw_Data!B989,DATEVALUE(Raw_Data!B989))</f>
        <v>45813</v>
      </c>
      <c r="C989" s="2" t="str">
        <f aca="false">TRIM(UPPER(Raw_Data!C989))</f>
        <v>C67387</v>
      </c>
      <c r="D989" s="2" t="str">
        <f aca="false">PROPER(TRIM(Raw_Data!D989))</f>
        <v>Phone</v>
      </c>
      <c r="E989" s="2" t="n">
        <f aca="false">Raw_Data!E989</f>
        <v>5</v>
      </c>
      <c r="F989" s="4" t="n">
        <f aca="false">ROUND(Raw_Data!F989,2)</f>
        <v>283.73</v>
      </c>
      <c r="G989" s="2" t="str">
        <f aca="false">PROPER(TRIM(Raw_Data!G989))</f>
        <v>436 Main St</v>
      </c>
      <c r="H989" s="2" t="str">
        <f aca="false">PROPER(TRIM(Raw_Data!H989))</f>
        <v>Gift Card</v>
      </c>
      <c r="I989" s="2" t="str">
        <f aca="false">PROPER(TRIM(Raw_Data!I989))</f>
        <v>Pending</v>
      </c>
      <c r="J989" s="2" t="str">
        <f aca="false">TRIM(UPPER(Raw_Data!J989))</f>
        <v>TRK54120003</v>
      </c>
      <c r="K989" s="2" t="n">
        <f aca="false">Raw_Data!K989</f>
        <v>8</v>
      </c>
      <c r="L989" s="2" t="str">
        <f aca="false">IF(TRIM(Raw_Data!L989)="","No Coupon",TRIM(UPPER(Raw_Data!L989)))</f>
        <v>FREESHIP</v>
      </c>
      <c r="M989" s="2" t="str">
        <f aca="false">PROPER(TRIM(Raw_Data!M989))</f>
        <v>Instagram</v>
      </c>
      <c r="N989" s="4" t="n">
        <f aca="false">ROUND(E989*F989,2)</f>
        <v>1418.65</v>
      </c>
      <c r="O989" s="2" t="str">
        <f aca="false">IF(COUNTIF($A$2:$A$1201,A989)&gt;1,"DUPLICATE","Unique")</f>
        <v>Unique</v>
      </c>
      <c r="P989" s="2" t="str">
        <f aca="false">IF(L989="","MISSING","OK")</f>
        <v>OK</v>
      </c>
      <c r="Q989" s="2" t="str">
        <f aca="false">IF(ISNUMBER(B989),"OK","BAD DATE")</f>
        <v>OK</v>
      </c>
      <c r="R989" s="2" t="str">
        <f aca="false">IF(ROUND(F989,2)=F989,"OK","FIX")</f>
        <v>OK</v>
      </c>
    </row>
    <row r="990" customFormat="false" ht="15" hidden="false" customHeight="false" outlineLevel="0" collapsed="false">
      <c r="A990" s="2" t="str">
        <f aca="false">TRIM(UPPER(Raw_Data!A990))</f>
        <v>ORD200988</v>
      </c>
      <c r="B990" s="3" t="n">
        <f aca="false">IF(ISNUMBER(Raw_Data!B990),Raw_Data!B990,DATEVALUE(Raw_Data!B990))</f>
        <v>45692</v>
      </c>
      <c r="C990" s="2" t="str">
        <f aca="false">TRIM(UPPER(Raw_Data!C990))</f>
        <v>C90318</v>
      </c>
      <c r="D990" s="2" t="str">
        <f aca="false">PROPER(TRIM(Raw_Data!D990))</f>
        <v>Desk</v>
      </c>
      <c r="E990" s="2" t="n">
        <f aca="false">Raw_Data!E990</f>
        <v>2</v>
      </c>
      <c r="F990" s="4" t="n">
        <f aca="false">ROUND(Raw_Data!F990,2)</f>
        <v>629.56</v>
      </c>
      <c r="G990" s="2" t="str">
        <f aca="false">PROPER(TRIM(Raw_Data!G990))</f>
        <v>818 Main St</v>
      </c>
      <c r="H990" s="2" t="str">
        <f aca="false">PROPER(TRIM(Raw_Data!H990))</f>
        <v>Gift Card</v>
      </c>
      <c r="I990" s="2" t="str">
        <f aca="false">PROPER(TRIM(Raw_Data!I990))</f>
        <v>Cancelled</v>
      </c>
      <c r="J990" s="2" t="str">
        <f aca="false">TRIM(UPPER(Raw_Data!J990))</f>
        <v>TRK52765043</v>
      </c>
      <c r="K990" s="2" t="n">
        <f aca="false">Raw_Data!K990</f>
        <v>5</v>
      </c>
      <c r="L990" s="2" t="str">
        <f aca="false">IF(TRIM(Raw_Data!L990)="","No Coupon",TRIM(UPPER(Raw_Data!L990)))</f>
        <v>WINTER15</v>
      </c>
      <c r="M990" s="2" t="str">
        <f aca="false">PROPER(TRIM(Raw_Data!M990))</f>
        <v>Instagram</v>
      </c>
      <c r="N990" s="4" t="n">
        <f aca="false">ROUND(E990*F990,2)</f>
        <v>1259.12</v>
      </c>
      <c r="O990" s="2" t="str">
        <f aca="false">IF(COUNTIF($A$2:$A$1201,A990)&gt;1,"DUPLICATE","Unique")</f>
        <v>Unique</v>
      </c>
      <c r="P990" s="2" t="str">
        <f aca="false">IF(L990="","MISSING","OK")</f>
        <v>OK</v>
      </c>
      <c r="Q990" s="2" t="str">
        <f aca="false">IF(ISNUMBER(B990),"OK","BAD DATE")</f>
        <v>OK</v>
      </c>
      <c r="R990" s="2" t="str">
        <f aca="false">IF(ROUND(F990,2)=F990,"OK","FIX")</f>
        <v>OK</v>
      </c>
    </row>
    <row r="991" customFormat="false" ht="15" hidden="false" customHeight="false" outlineLevel="0" collapsed="false">
      <c r="A991" s="2" t="str">
        <f aca="false">TRIM(UPPER(Raw_Data!A991))</f>
        <v>ORD200989</v>
      </c>
      <c r="B991" s="3" t="n">
        <f aca="false">IF(ISNUMBER(Raw_Data!B991),Raw_Data!B991,DATEVALUE(Raw_Data!B991))</f>
        <v>45008</v>
      </c>
      <c r="C991" s="2" t="str">
        <f aca="false">TRIM(UPPER(Raw_Data!C991))</f>
        <v>C49995</v>
      </c>
      <c r="D991" s="2" t="str">
        <f aca="false">PROPER(TRIM(Raw_Data!D991))</f>
        <v>Laptop</v>
      </c>
      <c r="E991" s="2" t="n">
        <f aca="false">Raw_Data!E991</f>
        <v>4</v>
      </c>
      <c r="F991" s="4" t="n">
        <f aca="false">ROUND(Raw_Data!F991,2)</f>
        <v>246.11</v>
      </c>
      <c r="G991" s="2" t="str">
        <f aca="false">PROPER(TRIM(Raw_Data!G991))</f>
        <v>559 Main St</v>
      </c>
      <c r="H991" s="2" t="str">
        <f aca="false">PROPER(TRIM(Raw_Data!H991))</f>
        <v>Credit Card</v>
      </c>
      <c r="I991" s="2" t="str">
        <f aca="false">PROPER(TRIM(Raw_Data!I991))</f>
        <v>Pending</v>
      </c>
      <c r="J991" s="2" t="str">
        <f aca="false">TRIM(UPPER(Raw_Data!J991))</f>
        <v>TRK33212013</v>
      </c>
      <c r="K991" s="2" t="n">
        <f aca="false">Raw_Data!K991</f>
        <v>4</v>
      </c>
      <c r="L991" s="2" t="str">
        <f aca="false">IF(TRIM(Raw_Data!L991)="","No Coupon",TRIM(UPPER(Raw_Data!L991)))</f>
        <v>SAVE10</v>
      </c>
      <c r="M991" s="2" t="str">
        <f aca="false">PROPER(TRIM(Raw_Data!M991))</f>
        <v>Instagram</v>
      </c>
      <c r="N991" s="4" t="n">
        <f aca="false">ROUND(E991*F991,2)</f>
        <v>984.44</v>
      </c>
      <c r="O991" s="2" t="str">
        <f aca="false">IF(COUNTIF($A$2:$A$1201,A991)&gt;1,"DUPLICATE","Unique")</f>
        <v>Unique</v>
      </c>
      <c r="P991" s="2" t="str">
        <f aca="false">IF(L991="","MISSING","OK")</f>
        <v>OK</v>
      </c>
      <c r="Q991" s="2" t="str">
        <f aca="false">IF(ISNUMBER(B991),"OK","BAD DATE")</f>
        <v>OK</v>
      </c>
      <c r="R991" s="2" t="str">
        <f aca="false">IF(ROUND(F991,2)=F991,"OK","FIX")</f>
        <v>OK</v>
      </c>
    </row>
    <row r="992" customFormat="false" ht="15" hidden="false" customHeight="false" outlineLevel="0" collapsed="false">
      <c r="A992" s="2" t="str">
        <f aca="false">TRIM(UPPER(Raw_Data!A992))</f>
        <v>ORD200990</v>
      </c>
      <c r="B992" s="3" t="n">
        <f aca="false">IF(ISNUMBER(Raw_Data!B992),Raw_Data!B992,DATEVALUE(Raw_Data!B992))</f>
        <v>45249</v>
      </c>
      <c r="C992" s="2" t="str">
        <f aca="false">TRIM(UPPER(Raw_Data!C992))</f>
        <v>C52313</v>
      </c>
      <c r="D992" s="2" t="str">
        <f aca="false">PROPER(TRIM(Raw_Data!D992))</f>
        <v>Phone</v>
      </c>
      <c r="E992" s="2" t="n">
        <f aca="false">Raw_Data!E992</f>
        <v>2</v>
      </c>
      <c r="F992" s="4" t="n">
        <f aca="false">ROUND(Raw_Data!F992,2)</f>
        <v>418.26</v>
      </c>
      <c r="G992" s="2" t="str">
        <f aca="false">PROPER(TRIM(Raw_Data!G992))</f>
        <v>913 Main St</v>
      </c>
      <c r="H992" s="2" t="str">
        <f aca="false">PROPER(TRIM(Raw_Data!H992))</f>
        <v>Debit Card</v>
      </c>
      <c r="I992" s="2" t="str">
        <f aca="false">PROPER(TRIM(Raw_Data!I992))</f>
        <v>Pending</v>
      </c>
      <c r="J992" s="2" t="str">
        <f aca="false">TRIM(UPPER(Raw_Data!J992))</f>
        <v>TRK67368559</v>
      </c>
      <c r="K992" s="2" t="n">
        <f aca="false">Raw_Data!K992</f>
        <v>2</v>
      </c>
      <c r="L992" s="2" t="str">
        <f aca="false">IF(TRIM(Raw_Data!L992)="","No Coupon",TRIM(UPPER(Raw_Data!L992)))</f>
        <v>SAVE10</v>
      </c>
      <c r="M992" s="2" t="str">
        <f aca="false">PROPER(TRIM(Raw_Data!M992))</f>
        <v>Google</v>
      </c>
      <c r="N992" s="4" t="n">
        <f aca="false">ROUND(E992*F992,2)</f>
        <v>836.52</v>
      </c>
      <c r="O992" s="2" t="str">
        <f aca="false">IF(COUNTIF($A$2:$A$1201,A992)&gt;1,"DUPLICATE","Unique")</f>
        <v>Unique</v>
      </c>
      <c r="P992" s="2" t="str">
        <f aca="false">IF(L992="","MISSING","OK")</f>
        <v>OK</v>
      </c>
      <c r="Q992" s="2" t="str">
        <f aca="false">IF(ISNUMBER(B992),"OK","BAD DATE")</f>
        <v>OK</v>
      </c>
      <c r="R992" s="2" t="str">
        <f aca="false">IF(ROUND(F992,2)=F992,"OK","FIX")</f>
        <v>OK</v>
      </c>
    </row>
    <row r="993" customFormat="false" ht="15" hidden="false" customHeight="false" outlineLevel="0" collapsed="false">
      <c r="A993" s="2" t="str">
        <f aca="false">TRIM(UPPER(Raw_Data!A993))</f>
        <v>ORD200991</v>
      </c>
      <c r="B993" s="3" t="n">
        <f aca="false">IF(ISNUMBER(Raw_Data!B993),Raw_Data!B993,DATEVALUE(Raw_Data!B993))</f>
        <v>45421</v>
      </c>
      <c r="C993" s="2" t="str">
        <f aca="false">TRIM(UPPER(Raw_Data!C993))</f>
        <v>C10211</v>
      </c>
      <c r="D993" s="2" t="str">
        <f aca="false">PROPER(TRIM(Raw_Data!D993))</f>
        <v>Desk</v>
      </c>
      <c r="E993" s="2" t="n">
        <f aca="false">Raw_Data!E993</f>
        <v>5</v>
      </c>
      <c r="F993" s="4" t="n">
        <f aca="false">ROUND(Raw_Data!F993,2)</f>
        <v>127.18</v>
      </c>
      <c r="G993" s="2" t="str">
        <f aca="false">PROPER(TRIM(Raw_Data!G993))</f>
        <v>598 Main St</v>
      </c>
      <c r="H993" s="2" t="str">
        <f aca="false">PROPER(TRIM(Raw_Data!H993))</f>
        <v>Debit Card</v>
      </c>
      <c r="I993" s="2" t="str">
        <f aca="false">PROPER(TRIM(Raw_Data!I993))</f>
        <v>Cancelled</v>
      </c>
      <c r="J993" s="2" t="str">
        <f aca="false">TRIM(UPPER(Raw_Data!J993))</f>
        <v>TRK68938335</v>
      </c>
      <c r="K993" s="2" t="n">
        <f aca="false">Raw_Data!K993</f>
        <v>10</v>
      </c>
      <c r="L993" s="2" t="str">
        <f aca="false">IF(TRIM(Raw_Data!L993)="","No Coupon",TRIM(UPPER(Raw_Data!L993)))</f>
        <v>FREESHIP</v>
      </c>
      <c r="M993" s="2" t="str">
        <f aca="false">PROPER(TRIM(Raw_Data!M993))</f>
        <v>Google</v>
      </c>
      <c r="N993" s="4" t="n">
        <f aca="false">ROUND(E993*F993,2)</f>
        <v>635.9</v>
      </c>
      <c r="O993" s="2" t="str">
        <f aca="false">IF(COUNTIF($A$2:$A$1201,A993)&gt;1,"DUPLICATE","Unique")</f>
        <v>Unique</v>
      </c>
      <c r="P993" s="2" t="str">
        <f aca="false">IF(L993="","MISSING","OK")</f>
        <v>OK</v>
      </c>
      <c r="Q993" s="2" t="str">
        <f aca="false">IF(ISNUMBER(B993),"OK","BAD DATE")</f>
        <v>OK</v>
      </c>
      <c r="R993" s="2" t="str">
        <f aca="false">IF(ROUND(F993,2)=F993,"OK","FIX")</f>
        <v>OK</v>
      </c>
    </row>
    <row r="994" customFormat="false" ht="15" hidden="false" customHeight="false" outlineLevel="0" collapsed="false">
      <c r="A994" s="2" t="str">
        <f aca="false">TRIM(UPPER(Raw_Data!A994))</f>
        <v>ORD200992</v>
      </c>
      <c r="B994" s="3" t="n">
        <f aca="false">IF(ISNUMBER(Raw_Data!B994),Raw_Data!B994,DATEVALUE(Raw_Data!B994))</f>
        <v>45531</v>
      </c>
      <c r="C994" s="2" t="str">
        <f aca="false">TRIM(UPPER(Raw_Data!C994))</f>
        <v>C97907</v>
      </c>
      <c r="D994" s="2" t="str">
        <f aca="false">PROPER(TRIM(Raw_Data!D994))</f>
        <v>Printer</v>
      </c>
      <c r="E994" s="2" t="n">
        <f aca="false">Raw_Data!E994</f>
        <v>3</v>
      </c>
      <c r="F994" s="4" t="n">
        <f aca="false">ROUND(Raw_Data!F994,2)</f>
        <v>586.21</v>
      </c>
      <c r="G994" s="2" t="str">
        <f aca="false">PROPER(TRIM(Raw_Data!G994))</f>
        <v>933 Main St</v>
      </c>
      <c r="H994" s="2" t="str">
        <f aca="false">PROPER(TRIM(Raw_Data!H994))</f>
        <v>Gift Card</v>
      </c>
      <c r="I994" s="2" t="str">
        <f aca="false">PROPER(TRIM(Raw_Data!I994))</f>
        <v>Pending</v>
      </c>
      <c r="J994" s="2" t="str">
        <f aca="false">TRIM(UPPER(Raw_Data!J994))</f>
        <v>TRK89637569</v>
      </c>
      <c r="K994" s="2" t="n">
        <f aca="false">Raw_Data!K994</f>
        <v>4</v>
      </c>
      <c r="L994" s="2" t="str">
        <f aca="false">IF(TRIM(Raw_Data!L994)="","No Coupon",TRIM(UPPER(Raw_Data!L994)))</f>
        <v>WINTER15</v>
      </c>
      <c r="M994" s="2" t="str">
        <f aca="false">PROPER(TRIM(Raw_Data!M994))</f>
        <v>Referral</v>
      </c>
      <c r="N994" s="4" t="n">
        <f aca="false">ROUND(E994*F994,2)</f>
        <v>1758.63</v>
      </c>
      <c r="O994" s="2" t="str">
        <f aca="false">IF(COUNTIF($A$2:$A$1201,A994)&gt;1,"DUPLICATE","Unique")</f>
        <v>Unique</v>
      </c>
      <c r="P994" s="2" t="str">
        <f aca="false">IF(L994="","MISSING","OK")</f>
        <v>OK</v>
      </c>
      <c r="Q994" s="2" t="str">
        <f aca="false">IF(ISNUMBER(B994),"OK","BAD DATE")</f>
        <v>OK</v>
      </c>
      <c r="R994" s="2" t="str">
        <f aca="false">IF(ROUND(F994,2)=F994,"OK","FIX")</f>
        <v>OK</v>
      </c>
    </row>
    <row r="995" customFormat="false" ht="15" hidden="false" customHeight="false" outlineLevel="0" collapsed="false">
      <c r="A995" s="2" t="str">
        <f aca="false">TRIM(UPPER(Raw_Data!A995))</f>
        <v>ORD200993</v>
      </c>
      <c r="B995" s="3" t="n">
        <f aca="false">IF(ISNUMBER(Raw_Data!B995),Raw_Data!B995,DATEVALUE(Raw_Data!B995))</f>
        <v>45388</v>
      </c>
      <c r="C995" s="2" t="str">
        <f aca="false">TRIM(UPPER(Raw_Data!C995))</f>
        <v>C61384</v>
      </c>
      <c r="D995" s="2" t="str">
        <f aca="false">PROPER(TRIM(Raw_Data!D995))</f>
        <v>Monitor</v>
      </c>
      <c r="E995" s="2" t="n">
        <f aca="false">Raw_Data!E995</f>
        <v>3</v>
      </c>
      <c r="F995" s="4" t="n">
        <f aca="false">ROUND(Raw_Data!F995,2)</f>
        <v>267.45</v>
      </c>
      <c r="G995" s="2" t="str">
        <f aca="false">PROPER(TRIM(Raw_Data!G995))</f>
        <v>576 Main St</v>
      </c>
      <c r="H995" s="2" t="str">
        <f aca="false">PROPER(TRIM(Raw_Data!H995))</f>
        <v>Gift Card</v>
      </c>
      <c r="I995" s="2" t="str">
        <f aca="false">PROPER(TRIM(Raw_Data!I995))</f>
        <v>Delivered</v>
      </c>
      <c r="J995" s="2" t="str">
        <f aca="false">TRIM(UPPER(Raw_Data!J995))</f>
        <v>TRK33323210</v>
      </c>
      <c r="K995" s="2" t="n">
        <f aca="false">Raw_Data!K995</f>
        <v>5</v>
      </c>
      <c r="L995" s="2" t="str">
        <f aca="false">IF(TRIM(Raw_Data!L995)="","No Coupon",TRIM(UPPER(Raw_Data!L995)))</f>
        <v>WINTER15</v>
      </c>
      <c r="M995" s="2" t="str">
        <f aca="false">PROPER(TRIM(Raw_Data!M995))</f>
        <v>Instagram</v>
      </c>
      <c r="N995" s="4" t="n">
        <f aca="false">ROUND(E995*F995,2)</f>
        <v>802.35</v>
      </c>
      <c r="O995" s="2" t="str">
        <f aca="false">IF(COUNTIF($A$2:$A$1201,A995)&gt;1,"DUPLICATE","Unique")</f>
        <v>Unique</v>
      </c>
      <c r="P995" s="2" t="str">
        <f aca="false">IF(L995="","MISSING","OK")</f>
        <v>OK</v>
      </c>
      <c r="Q995" s="2" t="str">
        <f aca="false">IF(ISNUMBER(B995),"OK","BAD DATE")</f>
        <v>OK</v>
      </c>
      <c r="R995" s="2" t="str">
        <f aca="false">IF(ROUND(F995,2)=F995,"OK","FIX")</f>
        <v>OK</v>
      </c>
    </row>
    <row r="996" customFormat="false" ht="15" hidden="false" customHeight="false" outlineLevel="0" collapsed="false">
      <c r="A996" s="2" t="str">
        <f aca="false">TRIM(UPPER(Raw_Data!A996))</f>
        <v>ORD200994</v>
      </c>
      <c r="B996" s="3" t="n">
        <f aca="false">IF(ISNUMBER(Raw_Data!B996),Raw_Data!B996,DATEVALUE(Raw_Data!B996))</f>
        <v>45470</v>
      </c>
      <c r="C996" s="2" t="str">
        <f aca="false">TRIM(UPPER(Raw_Data!C996))</f>
        <v>C27613</v>
      </c>
      <c r="D996" s="2" t="str">
        <f aca="false">PROPER(TRIM(Raw_Data!D996))</f>
        <v>Tablet</v>
      </c>
      <c r="E996" s="2" t="n">
        <f aca="false">Raw_Data!E996</f>
        <v>4</v>
      </c>
      <c r="F996" s="4" t="n">
        <f aca="false">ROUND(Raw_Data!F996,2)</f>
        <v>615.65</v>
      </c>
      <c r="G996" s="2" t="str">
        <f aca="false">PROPER(TRIM(Raw_Data!G996))</f>
        <v>971 Main St</v>
      </c>
      <c r="H996" s="2" t="str">
        <f aca="false">PROPER(TRIM(Raw_Data!H996))</f>
        <v>Debit Card</v>
      </c>
      <c r="I996" s="2" t="str">
        <f aca="false">PROPER(TRIM(Raw_Data!I996))</f>
        <v>Delivered</v>
      </c>
      <c r="J996" s="2" t="str">
        <f aca="false">TRIM(UPPER(Raw_Data!J996))</f>
        <v>TRK63701318</v>
      </c>
      <c r="K996" s="2" t="n">
        <f aca="false">Raw_Data!K996</f>
        <v>9</v>
      </c>
      <c r="L996" s="2" t="str">
        <f aca="false">IF(TRIM(Raw_Data!L996)="","No Coupon",TRIM(UPPER(Raw_Data!L996)))</f>
        <v>WINTER15</v>
      </c>
      <c r="M996" s="2" t="str">
        <f aca="false">PROPER(TRIM(Raw_Data!M996))</f>
        <v>Google</v>
      </c>
      <c r="N996" s="4" t="n">
        <f aca="false">ROUND(E996*F996,2)</f>
        <v>2462.6</v>
      </c>
      <c r="O996" s="2" t="str">
        <f aca="false">IF(COUNTIF($A$2:$A$1201,A996)&gt;1,"DUPLICATE","Unique")</f>
        <v>Unique</v>
      </c>
      <c r="P996" s="2" t="str">
        <f aca="false">IF(L996="","MISSING","OK")</f>
        <v>OK</v>
      </c>
      <c r="Q996" s="2" t="str">
        <f aca="false">IF(ISNUMBER(B996),"OK","BAD DATE")</f>
        <v>OK</v>
      </c>
      <c r="R996" s="2" t="str">
        <f aca="false">IF(ROUND(F996,2)=F996,"OK","FIX")</f>
        <v>OK</v>
      </c>
    </row>
    <row r="997" customFormat="false" ht="15" hidden="false" customHeight="false" outlineLevel="0" collapsed="false">
      <c r="A997" s="2" t="str">
        <f aca="false">TRIM(UPPER(Raw_Data!A997))</f>
        <v>ORD200995</v>
      </c>
      <c r="B997" s="3" t="n">
        <f aca="false">IF(ISNUMBER(Raw_Data!B997),Raw_Data!B997,DATEVALUE(Raw_Data!B997))</f>
        <v>45248</v>
      </c>
      <c r="C997" s="2" t="str">
        <f aca="false">TRIM(UPPER(Raw_Data!C997))</f>
        <v>C99271</v>
      </c>
      <c r="D997" s="2" t="str">
        <f aca="false">PROPER(TRIM(Raw_Data!D997))</f>
        <v>Monitor</v>
      </c>
      <c r="E997" s="2" t="n">
        <f aca="false">Raw_Data!E997</f>
        <v>2</v>
      </c>
      <c r="F997" s="4" t="n">
        <f aca="false">ROUND(Raw_Data!F997,2)</f>
        <v>113.29</v>
      </c>
      <c r="G997" s="2" t="str">
        <f aca="false">PROPER(TRIM(Raw_Data!G997))</f>
        <v>959 Main St</v>
      </c>
      <c r="H997" s="2" t="str">
        <f aca="false">PROPER(TRIM(Raw_Data!H997))</f>
        <v>Cash</v>
      </c>
      <c r="I997" s="2" t="str">
        <f aca="false">PROPER(TRIM(Raw_Data!I997))</f>
        <v>Pending</v>
      </c>
      <c r="J997" s="2" t="str">
        <f aca="false">TRIM(UPPER(Raw_Data!J997))</f>
        <v>TRK87832736</v>
      </c>
      <c r="K997" s="2" t="n">
        <f aca="false">Raw_Data!K997</f>
        <v>5</v>
      </c>
      <c r="L997" s="2" t="str">
        <f aca="false">IF(TRIM(Raw_Data!L997)="","No Coupon",TRIM(UPPER(Raw_Data!L997)))</f>
        <v>SAVE10</v>
      </c>
      <c r="M997" s="2" t="str">
        <f aca="false">PROPER(TRIM(Raw_Data!M997))</f>
        <v>Facebook</v>
      </c>
      <c r="N997" s="4" t="n">
        <f aca="false">ROUND(E997*F997,2)</f>
        <v>226.58</v>
      </c>
      <c r="O997" s="2" t="str">
        <f aca="false">IF(COUNTIF($A$2:$A$1201,A997)&gt;1,"DUPLICATE","Unique")</f>
        <v>Unique</v>
      </c>
      <c r="P997" s="2" t="str">
        <f aca="false">IF(L997="","MISSING","OK")</f>
        <v>OK</v>
      </c>
      <c r="Q997" s="2" t="str">
        <f aca="false">IF(ISNUMBER(B997),"OK","BAD DATE")</f>
        <v>OK</v>
      </c>
      <c r="R997" s="2" t="str">
        <f aca="false">IF(ROUND(F997,2)=F997,"OK","FIX")</f>
        <v>OK</v>
      </c>
    </row>
    <row r="998" customFormat="false" ht="15" hidden="false" customHeight="false" outlineLevel="0" collapsed="false">
      <c r="A998" s="2" t="str">
        <f aca="false">TRIM(UPPER(Raw_Data!A998))</f>
        <v>ORD200996</v>
      </c>
      <c r="B998" s="3" t="n">
        <f aca="false">IF(ISNUMBER(Raw_Data!B998),Raw_Data!B998,DATEVALUE(Raw_Data!B998))</f>
        <v>45410</v>
      </c>
      <c r="C998" s="2" t="str">
        <f aca="false">TRIM(UPPER(Raw_Data!C998))</f>
        <v>C28648</v>
      </c>
      <c r="D998" s="2" t="str">
        <f aca="false">PROPER(TRIM(Raw_Data!D998))</f>
        <v>Monitor</v>
      </c>
      <c r="E998" s="2" t="n">
        <f aca="false">Raw_Data!E998</f>
        <v>4</v>
      </c>
      <c r="F998" s="4" t="n">
        <f aca="false">ROUND(Raw_Data!F998,2)</f>
        <v>473.86</v>
      </c>
      <c r="G998" s="2" t="str">
        <f aca="false">PROPER(TRIM(Raw_Data!G998))</f>
        <v>101 Main St</v>
      </c>
      <c r="H998" s="2" t="str">
        <f aca="false">PROPER(TRIM(Raw_Data!H998))</f>
        <v>Debit Card</v>
      </c>
      <c r="I998" s="2" t="str">
        <f aca="false">PROPER(TRIM(Raw_Data!I998))</f>
        <v>Delivered</v>
      </c>
      <c r="J998" s="2" t="str">
        <f aca="false">TRIM(UPPER(Raw_Data!J998))</f>
        <v>TRK92240846</v>
      </c>
      <c r="K998" s="2" t="n">
        <f aca="false">Raw_Data!K998</f>
        <v>7</v>
      </c>
      <c r="L998" s="2" t="str">
        <f aca="false">IF(TRIM(Raw_Data!L998)="","No Coupon",TRIM(UPPER(Raw_Data!L998)))</f>
        <v>SAVE10</v>
      </c>
      <c r="M998" s="2" t="str">
        <f aca="false">PROPER(TRIM(Raw_Data!M998))</f>
        <v>Facebook</v>
      </c>
      <c r="N998" s="4" t="n">
        <f aca="false">ROUND(E998*F998,2)</f>
        <v>1895.44</v>
      </c>
      <c r="O998" s="2" t="str">
        <f aca="false">IF(COUNTIF($A$2:$A$1201,A998)&gt;1,"DUPLICATE","Unique")</f>
        <v>Unique</v>
      </c>
      <c r="P998" s="2" t="str">
        <f aca="false">IF(L998="","MISSING","OK")</f>
        <v>OK</v>
      </c>
      <c r="Q998" s="2" t="str">
        <f aca="false">IF(ISNUMBER(B998),"OK","BAD DATE")</f>
        <v>OK</v>
      </c>
      <c r="R998" s="2" t="str">
        <f aca="false">IF(ROUND(F998,2)=F998,"OK","FIX")</f>
        <v>OK</v>
      </c>
    </row>
    <row r="999" customFormat="false" ht="15" hidden="false" customHeight="false" outlineLevel="0" collapsed="false">
      <c r="A999" s="2" t="str">
        <f aca="false">TRIM(UPPER(Raw_Data!A999))</f>
        <v>ORD200997</v>
      </c>
      <c r="B999" s="3" t="n">
        <f aca="false">IF(ISNUMBER(Raw_Data!B999),Raw_Data!B999,DATEVALUE(Raw_Data!B999))</f>
        <v>45257</v>
      </c>
      <c r="C999" s="2" t="str">
        <f aca="false">TRIM(UPPER(Raw_Data!C999))</f>
        <v>C26210</v>
      </c>
      <c r="D999" s="2" t="str">
        <f aca="false">PROPER(TRIM(Raw_Data!D999))</f>
        <v>Laptop</v>
      </c>
      <c r="E999" s="2" t="n">
        <f aca="false">Raw_Data!E999</f>
        <v>3</v>
      </c>
      <c r="F999" s="4" t="n">
        <f aca="false">ROUND(Raw_Data!F999,2)</f>
        <v>444.75</v>
      </c>
      <c r="G999" s="2" t="str">
        <f aca="false">PROPER(TRIM(Raw_Data!G999))</f>
        <v>805 Main St</v>
      </c>
      <c r="H999" s="2" t="str">
        <f aca="false">PROPER(TRIM(Raw_Data!H999))</f>
        <v>Cash</v>
      </c>
      <c r="I999" s="2" t="str">
        <f aca="false">PROPER(TRIM(Raw_Data!I999))</f>
        <v>Delivered</v>
      </c>
      <c r="J999" s="2" t="str">
        <f aca="false">TRIM(UPPER(Raw_Data!J999))</f>
        <v>TRK40616861</v>
      </c>
      <c r="K999" s="2" t="n">
        <f aca="false">Raw_Data!K999</f>
        <v>6</v>
      </c>
      <c r="L999" s="2" t="str">
        <f aca="false">IF(TRIM(Raw_Data!L999)="","No Coupon",TRIM(UPPER(Raw_Data!L999)))</f>
        <v>SAVE10</v>
      </c>
      <c r="M999" s="2" t="str">
        <f aca="false">PROPER(TRIM(Raw_Data!M999))</f>
        <v>Facebook</v>
      </c>
      <c r="N999" s="4" t="n">
        <f aca="false">ROUND(E999*F999,2)</f>
        <v>1334.25</v>
      </c>
      <c r="O999" s="2" t="str">
        <f aca="false">IF(COUNTIF($A$2:$A$1201,A999)&gt;1,"DUPLICATE","Unique")</f>
        <v>Unique</v>
      </c>
      <c r="P999" s="2" t="str">
        <f aca="false">IF(L999="","MISSING","OK")</f>
        <v>OK</v>
      </c>
      <c r="Q999" s="2" t="str">
        <f aca="false">IF(ISNUMBER(B999),"OK","BAD DATE")</f>
        <v>OK</v>
      </c>
      <c r="R999" s="2" t="str">
        <f aca="false">IF(ROUND(F999,2)=F999,"OK","FIX")</f>
        <v>OK</v>
      </c>
    </row>
    <row r="1000" customFormat="false" ht="15" hidden="false" customHeight="false" outlineLevel="0" collapsed="false">
      <c r="A1000" s="2" t="str">
        <f aca="false">TRIM(UPPER(Raw_Data!A1000))</f>
        <v>ORD200998</v>
      </c>
      <c r="B1000" s="3" t="n">
        <f aca="false">IF(ISNUMBER(Raw_Data!B1000),Raw_Data!B1000,DATEVALUE(Raw_Data!B1000))</f>
        <v>45065</v>
      </c>
      <c r="C1000" s="2" t="str">
        <f aca="false">TRIM(UPPER(Raw_Data!C1000))</f>
        <v>C90350</v>
      </c>
      <c r="D1000" s="2" t="str">
        <f aca="false">PROPER(TRIM(Raw_Data!D1000))</f>
        <v>Phone</v>
      </c>
      <c r="E1000" s="2" t="n">
        <f aca="false">Raw_Data!E1000</f>
        <v>2</v>
      </c>
      <c r="F1000" s="4" t="n">
        <f aca="false">ROUND(Raw_Data!F1000,2)</f>
        <v>183.67</v>
      </c>
      <c r="G1000" s="2" t="str">
        <f aca="false">PROPER(TRIM(Raw_Data!G1000))</f>
        <v>783 Main St</v>
      </c>
      <c r="H1000" s="2" t="str">
        <f aca="false">PROPER(TRIM(Raw_Data!H1000))</f>
        <v>Debit Card</v>
      </c>
      <c r="I1000" s="2" t="str">
        <f aca="false">PROPER(TRIM(Raw_Data!I1000))</f>
        <v>Cancelled</v>
      </c>
      <c r="J1000" s="2" t="str">
        <f aca="false">TRIM(UPPER(Raw_Data!J1000))</f>
        <v>TRK22824230</v>
      </c>
      <c r="K1000" s="2" t="n">
        <f aca="false">Raw_Data!K1000</f>
        <v>6</v>
      </c>
      <c r="L1000" s="2" t="str">
        <f aca="false">IF(TRIM(Raw_Data!L1000)="","No Coupon",TRIM(UPPER(Raw_Data!L1000)))</f>
        <v>SAVE10</v>
      </c>
      <c r="M1000" s="2" t="str">
        <f aca="false">PROPER(TRIM(Raw_Data!M1000))</f>
        <v>Google</v>
      </c>
      <c r="N1000" s="4" t="n">
        <f aca="false">ROUND(E1000*F1000,2)</f>
        <v>367.34</v>
      </c>
      <c r="O1000" s="2" t="str">
        <f aca="false">IF(COUNTIF($A$2:$A$1201,A1000)&gt;1,"DUPLICATE","Unique")</f>
        <v>Unique</v>
      </c>
      <c r="P1000" s="2" t="str">
        <f aca="false">IF(L1000="","MISSING","OK")</f>
        <v>OK</v>
      </c>
      <c r="Q1000" s="2" t="str">
        <f aca="false">IF(ISNUMBER(B1000),"OK","BAD DATE")</f>
        <v>OK</v>
      </c>
      <c r="R1000" s="2" t="str">
        <f aca="false">IF(ROUND(F1000,2)=F1000,"OK","FIX")</f>
        <v>OK</v>
      </c>
    </row>
    <row r="1001" customFormat="false" ht="15" hidden="false" customHeight="false" outlineLevel="0" collapsed="false">
      <c r="A1001" s="2" t="str">
        <f aca="false">TRIM(UPPER(Raw_Data!A1001))</f>
        <v>ORD200999</v>
      </c>
      <c r="B1001" s="3" t="n">
        <f aca="false">IF(ISNUMBER(Raw_Data!B1001),Raw_Data!B1001,DATEVALUE(Raw_Data!B1001))</f>
        <v>45284</v>
      </c>
      <c r="C1001" s="2" t="str">
        <f aca="false">TRIM(UPPER(Raw_Data!C1001))</f>
        <v>C61957</v>
      </c>
      <c r="D1001" s="2" t="str">
        <f aca="false">PROPER(TRIM(Raw_Data!D1001))</f>
        <v>Printer</v>
      </c>
      <c r="E1001" s="2" t="n">
        <f aca="false">Raw_Data!E1001</f>
        <v>1</v>
      </c>
      <c r="F1001" s="4" t="n">
        <f aca="false">ROUND(Raw_Data!F1001,2)</f>
        <v>483.38</v>
      </c>
      <c r="G1001" s="2" t="str">
        <f aca="false">PROPER(TRIM(Raw_Data!G1001))</f>
        <v>652 Main St</v>
      </c>
      <c r="H1001" s="2" t="str">
        <f aca="false">PROPER(TRIM(Raw_Data!H1001))</f>
        <v>Cash</v>
      </c>
      <c r="I1001" s="2" t="str">
        <f aca="false">PROPER(TRIM(Raw_Data!I1001))</f>
        <v>Pending</v>
      </c>
      <c r="J1001" s="2" t="str">
        <f aca="false">TRIM(UPPER(Raw_Data!J1001))</f>
        <v>TRK43983841</v>
      </c>
      <c r="K1001" s="2" t="n">
        <f aca="false">Raw_Data!K1001</f>
        <v>6</v>
      </c>
      <c r="L1001" s="2" t="str">
        <f aca="false">IF(TRIM(Raw_Data!L1001)="","No Coupon",TRIM(UPPER(Raw_Data!L1001)))</f>
        <v>FREESHIP</v>
      </c>
      <c r="M1001" s="2" t="str">
        <f aca="false">PROPER(TRIM(Raw_Data!M1001))</f>
        <v>Google</v>
      </c>
      <c r="N1001" s="4" t="n">
        <f aca="false">ROUND(E1001*F1001,2)</f>
        <v>483.38</v>
      </c>
      <c r="O1001" s="2" t="str">
        <f aca="false">IF(COUNTIF($A$2:$A$1201,A1001)&gt;1,"DUPLICATE","Unique")</f>
        <v>Unique</v>
      </c>
      <c r="P1001" s="2" t="str">
        <f aca="false">IF(L1001="","MISSING","OK")</f>
        <v>OK</v>
      </c>
      <c r="Q1001" s="2" t="str">
        <f aca="false">IF(ISNUMBER(B1001),"OK","BAD DATE")</f>
        <v>OK</v>
      </c>
      <c r="R1001" s="2" t="str">
        <f aca="false">IF(ROUND(F1001,2)=F1001,"OK","FIX")</f>
        <v>OK</v>
      </c>
    </row>
    <row r="1002" customFormat="false" ht="15" hidden="false" customHeight="false" outlineLevel="0" collapsed="false">
      <c r="A1002" s="2" t="str">
        <f aca="false">TRIM(UPPER(Raw_Data!A1002))</f>
        <v>ORD201000</v>
      </c>
      <c r="B1002" s="3" t="n">
        <f aca="false">IF(ISNUMBER(Raw_Data!B1002),Raw_Data!B1002,DATEVALUE(Raw_Data!B1002))</f>
        <v>45098</v>
      </c>
      <c r="C1002" s="2" t="str">
        <f aca="false">TRIM(UPPER(Raw_Data!C1002))</f>
        <v>C90132</v>
      </c>
      <c r="D1002" s="2" t="str">
        <f aca="false">PROPER(TRIM(Raw_Data!D1002))</f>
        <v>Printer</v>
      </c>
      <c r="E1002" s="2" t="n">
        <f aca="false">Raw_Data!E1002</f>
        <v>5</v>
      </c>
      <c r="F1002" s="4" t="n">
        <f aca="false">ROUND(Raw_Data!F1002,2)</f>
        <v>260.93</v>
      </c>
      <c r="G1002" s="2" t="str">
        <f aca="false">PROPER(TRIM(Raw_Data!G1002))</f>
        <v>582 Main St</v>
      </c>
      <c r="H1002" s="2" t="str">
        <f aca="false">PROPER(TRIM(Raw_Data!H1002))</f>
        <v>Online</v>
      </c>
      <c r="I1002" s="2" t="str">
        <f aca="false">PROPER(TRIM(Raw_Data!I1002))</f>
        <v>Delivered</v>
      </c>
      <c r="J1002" s="2" t="str">
        <f aca="false">TRIM(UPPER(Raw_Data!J1002))</f>
        <v>TRK52664903</v>
      </c>
      <c r="K1002" s="2" t="n">
        <f aca="false">Raw_Data!K1002</f>
        <v>9</v>
      </c>
      <c r="L1002" s="2" t="str">
        <f aca="false">IF(TRIM(Raw_Data!L1002)="","No Coupon",TRIM(UPPER(Raw_Data!L1002)))</f>
        <v>SAVE10</v>
      </c>
      <c r="M1002" s="2" t="str">
        <f aca="false">PROPER(TRIM(Raw_Data!M1002))</f>
        <v>Email</v>
      </c>
      <c r="N1002" s="4" t="n">
        <f aca="false">ROUND(E1002*F1002,2)</f>
        <v>1304.65</v>
      </c>
      <c r="O1002" s="2" t="str">
        <f aca="false">IF(COUNTIF($A$2:$A$1201,A1002)&gt;1,"DUPLICATE","Unique")</f>
        <v>Unique</v>
      </c>
      <c r="P1002" s="2" t="str">
        <f aca="false">IF(L1002="","MISSING","OK")</f>
        <v>OK</v>
      </c>
      <c r="Q1002" s="2" t="str">
        <f aca="false">IF(ISNUMBER(B1002),"OK","BAD DATE")</f>
        <v>OK</v>
      </c>
      <c r="R1002" s="2" t="str">
        <f aca="false">IF(ROUND(F1002,2)=F1002,"OK","FIX")</f>
        <v>OK</v>
      </c>
    </row>
    <row r="1003" customFormat="false" ht="15" hidden="false" customHeight="false" outlineLevel="0" collapsed="false">
      <c r="A1003" s="2" t="str">
        <f aca="false">TRIM(UPPER(Raw_Data!A1003))</f>
        <v>ORD201001</v>
      </c>
      <c r="B1003" s="3" t="n">
        <f aca="false">IF(ISNUMBER(Raw_Data!B1003),Raw_Data!B1003,DATEVALUE(Raw_Data!B1003))</f>
        <v>45268</v>
      </c>
      <c r="C1003" s="2" t="str">
        <f aca="false">TRIM(UPPER(Raw_Data!C1003))</f>
        <v>C31371</v>
      </c>
      <c r="D1003" s="2" t="str">
        <f aca="false">PROPER(TRIM(Raw_Data!D1003))</f>
        <v>Printer</v>
      </c>
      <c r="E1003" s="2" t="n">
        <f aca="false">Raw_Data!E1003</f>
        <v>2</v>
      </c>
      <c r="F1003" s="4" t="n">
        <f aca="false">ROUND(Raw_Data!F1003,2)</f>
        <v>253.68</v>
      </c>
      <c r="G1003" s="2" t="str">
        <f aca="false">PROPER(TRIM(Raw_Data!G1003))</f>
        <v>122 Main St</v>
      </c>
      <c r="H1003" s="2" t="str">
        <f aca="false">PROPER(TRIM(Raw_Data!H1003))</f>
        <v>Gift Card</v>
      </c>
      <c r="I1003" s="2" t="str">
        <f aca="false">PROPER(TRIM(Raw_Data!I1003))</f>
        <v>Shipped</v>
      </c>
      <c r="J1003" s="2" t="str">
        <f aca="false">TRIM(UPPER(Raw_Data!J1003))</f>
        <v>TRK19554327</v>
      </c>
      <c r="K1003" s="2" t="n">
        <f aca="false">Raw_Data!K1003</f>
        <v>6</v>
      </c>
      <c r="L1003" s="2" t="str">
        <f aca="false">IF(TRIM(Raw_Data!L1003)="","No Coupon",TRIM(UPPER(Raw_Data!L1003)))</f>
        <v>No Coupon</v>
      </c>
      <c r="M1003" s="2" t="str">
        <f aca="false">PROPER(TRIM(Raw_Data!M1003))</f>
        <v>Referral</v>
      </c>
      <c r="N1003" s="4" t="n">
        <f aca="false">ROUND(E1003*F1003,2)</f>
        <v>507.36</v>
      </c>
      <c r="O1003" s="2" t="str">
        <f aca="false">IF(COUNTIF($A$2:$A$1201,A1003)&gt;1,"DUPLICATE","Unique")</f>
        <v>Unique</v>
      </c>
      <c r="P1003" s="2" t="str">
        <f aca="false">IF(L1003="","MISSING","OK")</f>
        <v>OK</v>
      </c>
      <c r="Q1003" s="2" t="str">
        <f aca="false">IF(ISNUMBER(B1003),"OK","BAD DATE")</f>
        <v>OK</v>
      </c>
      <c r="R1003" s="2" t="str">
        <f aca="false">IF(ROUND(F1003,2)=F1003,"OK","FIX")</f>
        <v>OK</v>
      </c>
    </row>
    <row r="1004" customFormat="false" ht="15" hidden="false" customHeight="false" outlineLevel="0" collapsed="false">
      <c r="A1004" s="2" t="str">
        <f aca="false">TRIM(UPPER(Raw_Data!A1004))</f>
        <v>ORD201002</v>
      </c>
      <c r="B1004" s="3" t="n">
        <f aca="false">IF(ISNUMBER(Raw_Data!B1004),Raw_Data!B1004,DATEVALUE(Raw_Data!B1004))</f>
        <v>45827</v>
      </c>
      <c r="C1004" s="2" t="str">
        <f aca="false">TRIM(UPPER(Raw_Data!C1004))</f>
        <v>C83911</v>
      </c>
      <c r="D1004" s="2" t="str">
        <f aca="false">PROPER(TRIM(Raw_Data!D1004))</f>
        <v>Tablet</v>
      </c>
      <c r="E1004" s="2" t="n">
        <f aca="false">Raw_Data!E1004</f>
        <v>4</v>
      </c>
      <c r="F1004" s="4" t="n">
        <f aca="false">ROUND(Raw_Data!F1004,2)</f>
        <v>699.88</v>
      </c>
      <c r="G1004" s="2" t="str">
        <f aca="false">PROPER(TRIM(Raw_Data!G1004))</f>
        <v>944 Main St</v>
      </c>
      <c r="H1004" s="2" t="str">
        <f aca="false">PROPER(TRIM(Raw_Data!H1004))</f>
        <v>Cash</v>
      </c>
      <c r="I1004" s="2" t="str">
        <f aca="false">PROPER(TRIM(Raw_Data!I1004))</f>
        <v>Pending</v>
      </c>
      <c r="J1004" s="2" t="str">
        <f aca="false">TRIM(UPPER(Raw_Data!J1004))</f>
        <v>TRK33188106</v>
      </c>
      <c r="K1004" s="2" t="n">
        <f aca="false">Raw_Data!K1004</f>
        <v>5</v>
      </c>
      <c r="L1004" s="2" t="str">
        <f aca="false">IF(TRIM(Raw_Data!L1004)="","No Coupon",TRIM(UPPER(Raw_Data!L1004)))</f>
        <v>WINTER15</v>
      </c>
      <c r="M1004" s="2" t="str">
        <f aca="false">PROPER(TRIM(Raw_Data!M1004))</f>
        <v>Referral</v>
      </c>
      <c r="N1004" s="4" t="n">
        <f aca="false">ROUND(E1004*F1004,2)</f>
        <v>2799.52</v>
      </c>
      <c r="O1004" s="2" t="str">
        <f aca="false">IF(COUNTIF($A$2:$A$1201,A1004)&gt;1,"DUPLICATE","Unique")</f>
        <v>Unique</v>
      </c>
      <c r="P1004" s="2" t="str">
        <f aca="false">IF(L1004="","MISSING","OK")</f>
        <v>OK</v>
      </c>
      <c r="Q1004" s="2" t="str">
        <f aca="false">IF(ISNUMBER(B1004),"OK","BAD DATE")</f>
        <v>OK</v>
      </c>
      <c r="R1004" s="2" t="str">
        <f aca="false">IF(ROUND(F1004,2)=F1004,"OK","FIX")</f>
        <v>OK</v>
      </c>
    </row>
    <row r="1005" customFormat="false" ht="15" hidden="false" customHeight="false" outlineLevel="0" collapsed="false">
      <c r="A1005" s="2" t="str">
        <f aca="false">TRIM(UPPER(Raw_Data!A1005))</f>
        <v>ORD201003</v>
      </c>
      <c r="B1005" s="3" t="n">
        <f aca="false">IF(ISNUMBER(Raw_Data!B1005),Raw_Data!B1005,DATEVALUE(Raw_Data!B1005))</f>
        <v>44937</v>
      </c>
      <c r="C1005" s="2" t="str">
        <f aca="false">TRIM(UPPER(Raw_Data!C1005))</f>
        <v>C84700</v>
      </c>
      <c r="D1005" s="2" t="str">
        <f aca="false">PROPER(TRIM(Raw_Data!D1005))</f>
        <v>Printer</v>
      </c>
      <c r="E1005" s="2" t="n">
        <f aca="false">Raw_Data!E1005</f>
        <v>5</v>
      </c>
      <c r="F1005" s="4" t="n">
        <f aca="false">ROUND(Raw_Data!F1005,2)</f>
        <v>319.97</v>
      </c>
      <c r="G1005" s="2" t="str">
        <f aca="false">PROPER(TRIM(Raw_Data!G1005))</f>
        <v>582 Main St</v>
      </c>
      <c r="H1005" s="2" t="str">
        <f aca="false">PROPER(TRIM(Raw_Data!H1005))</f>
        <v>Cash</v>
      </c>
      <c r="I1005" s="2" t="str">
        <f aca="false">PROPER(TRIM(Raw_Data!I1005))</f>
        <v>Shipped</v>
      </c>
      <c r="J1005" s="2" t="str">
        <f aca="false">TRIM(UPPER(Raw_Data!J1005))</f>
        <v>TRK14706969</v>
      </c>
      <c r="K1005" s="2" t="n">
        <f aca="false">Raw_Data!K1005</f>
        <v>7</v>
      </c>
      <c r="L1005" s="2" t="str">
        <f aca="false">IF(TRIM(Raw_Data!L1005)="","No Coupon",TRIM(UPPER(Raw_Data!L1005)))</f>
        <v>SAVE10</v>
      </c>
      <c r="M1005" s="2" t="str">
        <f aca="false">PROPER(TRIM(Raw_Data!M1005))</f>
        <v>Google</v>
      </c>
      <c r="N1005" s="4" t="n">
        <f aca="false">ROUND(E1005*F1005,2)</f>
        <v>1599.85</v>
      </c>
      <c r="O1005" s="2" t="str">
        <f aca="false">IF(COUNTIF($A$2:$A$1201,A1005)&gt;1,"DUPLICATE","Unique")</f>
        <v>Unique</v>
      </c>
      <c r="P1005" s="2" t="str">
        <f aca="false">IF(L1005="","MISSING","OK")</f>
        <v>OK</v>
      </c>
      <c r="Q1005" s="2" t="str">
        <f aca="false">IF(ISNUMBER(B1005),"OK","BAD DATE")</f>
        <v>OK</v>
      </c>
      <c r="R1005" s="2" t="str">
        <f aca="false">IF(ROUND(F1005,2)=F1005,"OK","FIX")</f>
        <v>OK</v>
      </c>
    </row>
    <row r="1006" customFormat="false" ht="15" hidden="false" customHeight="false" outlineLevel="0" collapsed="false">
      <c r="A1006" s="2" t="str">
        <f aca="false">TRIM(UPPER(Raw_Data!A1006))</f>
        <v>ORD201004</v>
      </c>
      <c r="B1006" s="3" t="n">
        <f aca="false">IF(ISNUMBER(Raw_Data!B1006),Raw_Data!B1006,DATEVALUE(Raw_Data!B1006))</f>
        <v>45817</v>
      </c>
      <c r="C1006" s="2" t="str">
        <f aca="false">TRIM(UPPER(Raw_Data!C1006))</f>
        <v>C87529</v>
      </c>
      <c r="D1006" s="2" t="str">
        <f aca="false">PROPER(TRIM(Raw_Data!D1006))</f>
        <v>Chair</v>
      </c>
      <c r="E1006" s="2" t="n">
        <f aca="false">Raw_Data!E1006</f>
        <v>4</v>
      </c>
      <c r="F1006" s="4" t="n">
        <f aca="false">ROUND(Raw_Data!F1006,2)</f>
        <v>246.91</v>
      </c>
      <c r="G1006" s="2" t="str">
        <f aca="false">PROPER(TRIM(Raw_Data!G1006))</f>
        <v>296 Main St</v>
      </c>
      <c r="H1006" s="2" t="str">
        <f aca="false">PROPER(TRIM(Raw_Data!H1006))</f>
        <v>Online</v>
      </c>
      <c r="I1006" s="2" t="str">
        <f aca="false">PROPER(TRIM(Raw_Data!I1006))</f>
        <v>Pending</v>
      </c>
      <c r="J1006" s="2" t="str">
        <f aca="false">TRIM(UPPER(Raw_Data!J1006))</f>
        <v>TRK15739505</v>
      </c>
      <c r="K1006" s="2" t="n">
        <f aca="false">Raw_Data!K1006</f>
        <v>8</v>
      </c>
      <c r="L1006" s="2" t="str">
        <f aca="false">IF(TRIM(Raw_Data!L1006)="","No Coupon",TRIM(UPPER(Raw_Data!L1006)))</f>
        <v>SAVE10</v>
      </c>
      <c r="M1006" s="2" t="str">
        <f aca="false">PROPER(TRIM(Raw_Data!M1006))</f>
        <v>Referral</v>
      </c>
      <c r="N1006" s="4" t="n">
        <f aca="false">ROUND(E1006*F1006,2)</f>
        <v>987.64</v>
      </c>
      <c r="O1006" s="2" t="str">
        <f aca="false">IF(COUNTIF($A$2:$A$1201,A1006)&gt;1,"DUPLICATE","Unique")</f>
        <v>Unique</v>
      </c>
      <c r="P1006" s="2" t="str">
        <f aca="false">IF(L1006="","MISSING","OK")</f>
        <v>OK</v>
      </c>
      <c r="Q1006" s="2" t="str">
        <f aca="false">IF(ISNUMBER(B1006),"OK","BAD DATE")</f>
        <v>OK</v>
      </c>
      <c r="R1006" s="2" t="str">
        <f aca="false">IF(ROUND(F1006,2)=F1006,"OK","FIX")</f>
        <v>OK</v>
      </c>
    </row>
    <row r="1007" customFormat="false" ht="15" hidden="false" customHeight="false" outlineLevel="0" collapsed="false">
      <c r="A1007" s="2" t="str">
        <f aca="false">TRIM(UPPER(Raw_Data!A1007))</f>
        <v>ORD201005</v>
      </c>
      <c r="B1007" s="3" t="n">
        <f aca="false">IF(ISNUMBER(Raw_Data!B1007),Raw_Data!B1007,DATEVALUE(Raw_Data!B1007))</f>
        <v>44987</v>
      </c>
      <c r="C1007" s="2" t="str">
        <f aca="false">TRIM(UPPER(Raw_Data!C1007))</f>
        <v>C38065</v>
      </c>
      <c r="D1007" s="2" t="str">
        <f aca="false">PROPER(TRIM(Raw_Data!D1007))</f>
        <v>Printer</v>
      </c>
      <c r="E1007" s="2" t="n">
        <f aca="false">Raw_Data!E1007</f>
        <v>3</v>
      </c>
      <c r="F1007" s="4" t="n">
        <f aca="false">ROUND(Raw_Data!F1007,2)</f>
        <v>392.85</v>
      </c>
      <c r="G1007" s="2" t="str">
        <f aca="false">PROPER(TRIM(Raw_Data!G1007))</f>
        <v>426 Main St</v>
      </c>
      <c r="H1007" s="2" t="str">
        <f aca="false">PROPER(TRIM(Raw_Data!H1007))</f>
        <v>Credit Card</v>
      </c>
      <c r="I1007" s="2" t="str">
        <f aca="false">PROPER(TRIM(Raw_Data!I1007))</f>
        <v>Returned</v>
      </c>
      <c r="J1007" s="2" t="str">
        <f aca="false">TRIM(UPPER(Raw_Data!J1007))</f>
        <v>TRK11448295</v>
      </c>
      <c r="K1007" s="2" t="n">
        <f aca="false">Raw_Data!K1007</f>
        <v>6</v>
      </c>
      <c r="L1007" s="2" t="str">
        <f aca="false">IF(TRIM(Raw_Data!L1007)="","No Coupon",TRIM(UPPER(Raw_Data!L1007)))</f>
        <v>No Coupon</v>
      </c>
      <c r="M1007" s="2" t="str">
        <f aca="false">PROPER(TRIM(Raw_Data!M1007))</f>
        <v>Google</v>
      </c>
      <c r="N1007" s="4" t="n">
        <f aca="false">ROUND(E1007*F1007,2)</f>
        <v>1178.55</v>
      </c>
      <c r="O1007" s="2" t="str">
        <f aca="false">IF(COUNTIF($A$2:$A$1201,A1007)&gt;1,"DUPLICATE","Unique")</f>
        <v>Unique</v>
      </c>
      <c r="P1007" s="2" t="str">
        <f aca="false">IF(L1007="","MISSING","OK")</f>
        <v>OK</v>
      </c>
      <c r="Q1007" s="2" t="str">
        <f aca="false">IF(ISNUMBER(B1007),"OK","BAD DATE")</f>
        <v>OK</v>
      </c>
      <c r="R1007" s="2" t="str">
        <f aca="false">IF(ROUND(F1007,2)=F1007,"OK","FIX")</f>
        <v>OK</v>
      </c>
    </row>
    <row r="1008" customFormat="false" ht="15" hidden="false" customHeight="false" outlineLevel="0" collapsed="false">
      <c r="A1008" s="2" t="str">
        <f aca="false">TRIM(UPPER(Raw_Data!A1008))</f>
        <v>ORD201006</v>
      </c>
      <c r="B1008" s="3" t="n">
        <f aca="false">IF(ISNUMBER(Raw_Data!B1008),Raw_Data!B1008,DATEVALUE(Raw_Data!B1008))</f>
        <v>45439</v>
      </c>
      <c r="C1008" s="2" t="str">
        <f aca="false">TRIM(UPPER(Raw_Data!C1008))</f>
        <v>C27435</v>
      </c>
      <c r="D1008" s="2" t="str">
        <f aca="false">PROPER(TRIM(Raw_Data!D1008))</f>
        <v>Tablet</v>
      </c>
      <c r="E1008" s="2" t="n">
        <f aca="false">Raw_Data!E1008</f>
        <v>5</v>
      </c>
      <c r="F1008" s="4" t="n">
        <f aca="false">ROUND(Raw_Data!F1008,2)</f>
        <v>420.98</v>
      </c>
      <c r="G1008" s="2" t="str">
        <f aca="false">PROPER(TRIM(Raw_Data!G1008))</f>
        <v>860 Main St</v>
      </c>
      <c r="H1008" s="2" t="str">
        <f aca="false">PROPER(TRIM(Raw_Data!H1008))</f>
        <v>Cash</v>
      </c>
      <c r="I1008" s="2" t="str">
        <f aca="false">PROPER(TRIM(Raw_Data!I1008))</f>
        <v>Delivered</v>
      </c>
      <c r="J1008" s="2" t="str">
        <f aca="false">TRIM(UPPER(Raw_Data!J1008))</f>
        <v>TRK91458233</v>
      </c>
      <c r="K1008" s="2" t="n">
        <f aca="false">Raw_Data!K1008</f>
        <v>7</v>
      </c>
      <c r="L1008" s="2" t="str">
        <f aca="false">IF(TRIM(Raw_Data!L1008)="","No Coupon",TRIM(UPPER(Raw_Data!L1008)))</f>
        <v>SAVE10</v>
      </c>
      <c r="M1008" s="2" t="str">
        <f aca="false">PROPER(TRIM(Raw_Data!M1008))</f>
        <v>Facebook</v>
      </c>
      <c r="N1008" s="4" t="n">
        <f aca="false">ROUND(E1008*F1008,2)</f>
        <v>2104.9</v>
      </c>
      <c r="O1008" s="2" t="str">
        <f aca="false">IF(COUNTIF($A$2:$A$1201,A1008)&gt;1,"DUPLICATE","Unique")</f>
        <v>Unique</v>
      </c>
      <c r="P1008" s="2" t="str">
        <f aca="false">IF(L1008="","MISSING","OK")</f>
        <v>OK</v>
      </c>
      <c r="Q1008" s="2" t="str">
        <f aca="false">IF(ISNUMBER(B1008),"OK","BAD DATE")</f>
        <v>OK</v>
      </c>
      <c r="R1008" s="2" t="str">
        <f aca="false">IF(ROUND(F1008,2)=F1008,"OK","FIX")</f>
        <v>OK</v>
      </c>
    </row>
    <row r="1009" customFormat="false" ht="15" hidden="false" customHeight="false" outlineLevel="0" collapsed="false">
      <c r="A1009" s="2" t="str">
        <f aca="false">TRIM(UPPER(Raw_Data!A1009))</f>
        <v>ORD201007</v>
      </c>
      <c r="B1009" s="3" t="n">
        <f aca="false">IF(ISNUMBER(Raw_Data!B1009),Raw_Data!B1009,DATEVALUE(Raw_Data!B1009))</f>
        <v>45371</v>
      </c>
      <c r="C1009" s="2" t="str">
        <f aca="false">TRIM(UPPER(Raw_Data!C1009))</f>
        <v>C46651</v>
      </c>
      <c r="D1009" s="2" t="str">
        <f aca="false">PROPER(TRIM(Raw_Data!D1009))</f>
        <v>Monitor</v>
      </c>
      <c r="E1009" s="2" t="n">
        <f aca="false">Raw_Data!E1009</f>
        <v>2</v>
      </c>
      <c r="F1009" s="4" t="n">
        <f aca="false">ROUND(Raw_Data!F1009,2)</f>
        <v>73.26</v>
      </c>
      <c r="G1009" s="2" t="str">
        <f aca="false">PROPER(TRIM(Raw_Data!G1009))</f>
        <v>839 Main St</v>
      </c>
      <c r="H1009" s="2" t="str">
        <f aca="false">PROPER(TRIM(Raw_Data!H1009))</f>
        <v>Cash</v>
      </c>
      <c r="I1009" s="2" t="str">
        <f aca="false">PROPER(TRIM(Raw_Data!I1009))</f>
        <v>Pending</v>
      </c>
      <c r="J1009" s="2" t="str">
        <f aca="false">TRIM(UPPER(Raw_Data!J1009))</f>
        <v>TRK60444502</v>
      </c>
      <c r="K1009" s="2" t="n">
        <f aca="false">Raw_Data!K1009</f>
        <v>4</v>
      </c>
      <c r="L1009" s="2" t="str">
        <f aca="false">IF(TRIM(Raw_Data!L1009)="","No Coupon",TRIM(UPPER(Raw_Data!L1009)))</f>
        <v>WINTER15</v>
      </c>
      <c r="M1009" s="2" t="str">
        <f aca="false">PROPER(TRIM(Raw_Data!M1009))</f>
        <v>Facebook</v>
      </c>
      <c r="N1009" s="4" t="n">
        <f aca="false">ROUND(E1009*F1009,2)</f>
        <v>146.52</v>
      </c>
      <c r="O1009" s="2" t="str">
        <f aca="false">IF(COUNTIF($A$2:$A$1201,A1009)&gt;1,"DUPLICATE","Unique")</f>
        <v>Unique</v>
      </c>
      <c r="P1009" s="2" t="str">
        <f aca="false">IF(L1009="","MISSING","OK")</f>
        <v>OK</v>
      </c>
      <c r="Q1009" s="2" t="str">
        <f aca="false">IF(ISNUMBER(B1009),"OK","BAD DATE")</f>
        <v>OK</v>
      </c>
      <c r="R1009" s="2" t="str">
        <f aca="false">IF(ROUND(F1009,2)=F1009,"OK","FIX")</f>
        <v>OK</v>
      </c>
    </row>
    <row r="1010" customFormat="false" ht="15" hidden="false" customHeight="false" outlineLevel="0" collapsed="false">
      <c r="A1010" s="2" t="str">
        <f aca="false">TRIM(UPPER(Raw_Data!A1010))</f>
        <v>ORD201008</v>
      </c>
      <c r="B1010" s="3" t="n">
        <f aca="false">IF(ISNUMBER(Raw_Data!B1010),Raw_Data!B1010,DATEVALUE(Raw_Data!B1010))</f>
        <v>44939</v>
      </c>
      <c r="C1010" s="2" t="str">
        <f aca="false">TRIM(UPPER(Raw_Data!C1010))</f>
        <v>C62557</v>
      </c>
      <c r="D1010" s="2" t="str">
        <f aca="false">PROPER(TRIM(Raw_Data!D1010))</f>
        <v>Monitor</v>
      </c>
      <c r="E1010" s="2" t="n">
        <f aca="false">Raw_Data!E1010</f>
        <v>3</v>
      </c>
      <c r="F1010" s="4" t="n">
        <f aca="false">ROUND(Raw_Data!F1010,2)</f>
        <v>410.88</v>
      </c>
      <c r="G1010" s="2" t="str">
        <f aca="false">PROPER(TRIM(Raw_Data!G1010))</f>
        <v>257 Main St</v>
      </c>
      <c r="H1010" s="2" t="str">
        <f aca="false">PROPER(TRIM(Raw_Data!H1010))</f>
        <v>Cash</v>
      </c>
      <c r="I1010" s="2" t="str">
        <f aca="false">PROPER(TRIM(Raw_Data!I1010))</f>
        <v>Delivered</v>
      </c>
      <c r="J1010" s="2" t="str">
        <f aca="false">TRIM(UPPER(Raw_Data!J1010))</f>
        <v>TRK12742366</v>
      </c>
      <c r="K1010" s="2" t="n">
        <f aca="false">Raw_Data!K1010</f>
        <v>8</v>
      </c>
      <c r="L1010" s="2" t="str">
        <f aca="false">IF(TRIM(Raw_Data!L1010)="","No Coupon",TRIM(UPPER(Raw_Data!L1010)))</f>
        <v>FREESHIP</v>
      </c>
      <c r="M1010" s="2" t="str">
        <f aca="false">PROPER(TRIM(Raw_Data!M1010))</f>
        <v>Instagram</v>
      </c>
      <c r="N1010" s="4" t="n">
        <f aca="false">ROUND(E1010*F1010,2)</f>
        <v>1232.64</v>
      </c>
      <c r="O1010" s="2" t="str">
        <f aca="false">IF(COUNTIF($A$2:$A$1201,A1010)&gt;1,"DUPLICATE","Unique")</f>
        <v>Unique</v>
      </c>
      <c r="P1010" s="2" t="str">
        <f aca="false">IF(L1010="","MISSING","OK")</f>
        <v>OK</v>
      </c>
      <c r="Q1010" s="2" t="str">
        <f aca="false">IF(ISNUMBER(B1010),"OK","BAD DATE")</f>
        <v>OK</v>
      </c>
      <c r="R1010" s="2" t="str">
        <f aca="false">IF(ROUND(F1010,2)=F1010,"OK","FIX")</f>
        <v>OK</v>
      </c>
    </row>
    <row r="1011" customFormat="false" ht="15" hidden="false" customHeight="false" outlineLevel="0" collapsed="false">
      <c r="A1011" s="2" t="str">
        <f aca="false">TRIM(UPPER(Raw_Data!A1011))</f>
        <v>ORD201009</v>
      </c>
      <c r="B1011" s="3" t="n">
        <f aca="false">IF(ISNUMBER(Raw_Data!B1011),Raw_Data!B1011,DATEVALUE(Raw_Data!B1011))</f>
        <v>45171</v>
      </c>
      <c r="C1011" s="2" t="str">
        <f aca="false">TRIM(UPPER(Raw_Data!C1011))</f>
        <v>C54494</v>
      </c>
      <c r="D1011" s="2" t="str">
        <f aca="false">PROPER(TRIM(Raw_Data!D1011))</f>
        <v>Tablet</v>
      </c>
      <c r="E1011" s="2" t="n">
        <f aca="false">Raw_Data!E1011</f>
        <v>2</v>
      </c>
      <c r="F1011" s="4" t="n">
        <f aca="false">ROUND(Raw_Data!F1011,2)</f>
        <v>176.46</v>
      </c>
      <c r="G1011" s="2" t="str">
        <f aca="false">PROPER(TRIM(Raw_Data!G1011))</f>
        <v>696 Main St</v>
      </c>
      <c r="H1011" s="2" t="str">
        <f aca="false">PROPER(TRIM(Raw_Data!H1011))</f>
        <v>Credit Card</v>
      </c>
      <c r="I1011" s="2" t="str">
        <f aca="false">PROPER(TRIM(Raw_Data!I1011))</f>
        <v>Delivered</v>
      </c>
      <c r="J1011" s="2" t="str">
        <f aca="false">TRIM(UPPER(Raw_Data!J1011))</f>
        <v>TRK95958645</v>
      </c>
      <c r="K1011" s="2" t="n">
        <f aca="false">Raw_Data!K1011</f>
        <v>2</v>
      </c>
      <c r="L1011" s="2" t="str">
        <f aca="false">IF(TRIM(Raw_Data!L1011)="","No Coupon",TRIM(UPPER(Raw_Data!L1011)))</f>
        <v>FREESHIP</v>
      </c>
      <c r="M1011" s="2" t="str">
        <f aca="false">PROPER(TRIM(Raw_Data!M1011))</f>
        <v>Email</v>
      </c>
      <c r="N1011" s="4" t="n">
        <f aca="false">ROUND(E1011*F1011,2)</f>
        <v>352.92</v>
      </c>
      <c r="O1011" s="2" t="str">
        <f aca="false">IF(COUNTIF($A$2:$A$1201,A1011)&gt;1,"DUPLICATE","Unique")</f>
        <v>Unique</v>
      </c>
      <c r="P1011" s="2" t="str">
        <f aca="false">IF(L1011="","MISSING","OK")</f>
        <v>OK</v>
      </c>
      <c r="Q1011" s="2" t="str">
        <f aca="false">IF(ISNUMBER(B1011),"OK","BAD DATE")</f>
        <v>OK</v>
      </c>
      <c r="R1011" s="2" t="str">
        <f aca="false">IF(ROUND(F1011,2)=F1011,"OK","FIX")</f>
        <v>OK</v>
      </c>
    </row>
    <row r="1012" customFormat="false" ht="15" hidden="false" customHeight="false" outlineLevel="0" collapsed="false">
      <c r="A1012" s="2" t="str">
        <f aca="false">TRIM(UPPER(Raw_Data!A1012))</f>
        <v>ORD201010</v>
      </c>
      <c r="B1012" s="3" t="n">
        <f aca="false">IF(ISNUMBER(Raw_Data!B1012),Raw_Data!B1012,DATEVALUE(Raw_Data!B1012))</f>
        <v>45016</v>
      </c>
      <c r="C1012" s="2" t="str">
        <f aca="false">TRIM(UPPER(Raw_Data!C1012))</f>
        <v>C33729</v>
      </c>
      <c r="D1012" s="2" t="str">
        <f aca="false">PROPER(TRIM(Raw_Data!D1012))</f>
        <v>Monitor</v>
      </c>
      <c r="E1012" s="2" t="n">
        <f aca="false">Raw_Data!E1012</f>
        <v>3</v>
      </c>
      <c r="F1012" s="4" t="n">
        <f aca="false">ROUND(Raw_Data!F1012,2)</f>
        <v>659.57</v>
      </c>
      <c r="G1012" s="2" t="str">
        <f aca="false">PROPER(TRIM(Raw_Data!G1012))</f>
        <v>533 Main St</v>
      </c>
      <c r="H1012" s="2" t="str">
        <f aca="false">PROPER(TRIM(Raw_Data!H1012))</f>
        <v>Credit Card</v>
      </c>
      <c r="I1012" s="2" t="str">
        <f aca="false">PROPER(TRIM(Raw_Data!I1012))</f>
        <v>Cancelled</v>
      </c>
      <c r="J1012" s="2" t="str">
        <f aca="false">TRIM(UPPER(Raw_Data!J1012))</f>
        <v>TRK35649833</v>
      </c>
      <c r="K1012" s="2" t="n">
        <f aca="false">Raw_Data!K1012</f>
        <v>6</v>
      </c>
      <c r="L1012" s="2" t="str">
        <f aca="false">IF(TRIM(Raw_Data!L1012)="","No Coupon",TRIM(UPPER(Raw_Data!L1012)))</f>
        <v>SAVE10</v>
      </c>
      <c r="M1012" s="2" t="str">
        <f aca="false">PROPER(TRIM(Raw_Data!M1012))</f>
        <v>Email</v>
      </c>
      <c r="N1012" s="4" t="n">
        <f aca="false">ROUND(E1012*F1012,2)</f>
        <v>1978.71</v>
      </c>
      <c r="O1012" s="2" t="str">
        <f aca="false">IF(COUNTIF($A$2:$A$1201,A1012)&gt;1,"DUPLICATE","Unique")</f>
        <v>Unique</v>
      </c>
      <c r="P1012" s="2" t="str">
        <f aca="false">IF(L1012="","MISSING","OK")</f>
        <v>OK</v>
      </c>
      <c r="Q1012" s="2" t="str">
        <f aca="false">IF(ISNUMBER(B1012),"OK","BAD DATE")</f>
        <v>OK</v>
      </c>
      <c r="R1012" s="2" t="str">
        <f aca="false">IF(ROUND(F1012,2)=F1012,"OK","FIX")</f>
        <v>OK</v>
      </c>
    </row>
    <row r="1013" customFormat="false" ht="15" hidden="false" customHeight="false" outlineLevel="0" collapsed="false">
      <c r="A1013" s="2" t="str">
        <f aca="false">TRIM(UPPER(Raw_Data!A1013))</f>
        <v>ORD201011</v>
      </c>
      <c r="B1013" s="3" t="n">
        <f aca="false">IF(ISNUMBER(Raw_Data!B1013),Raw_Data!B1013,DATEVALUE(Raw_Data!B1013))</f>
        <v>45629</v>
      </c>
      <c r="C1013" s="2" t="str">
        <f aca="false">TRIM(UPPER(Raw_Data!C1013))</f>
        <v>C47823</v>
      </c>
      <c r="D1013" s="2" t="str">
        <f aca="false">PROPER(TRIM(Raw_Data!D1013))</f>
        <v>Phone</v>
      </c>
      <c r="E1013" s="2" t="n">
        <f aca="false">Raw_Data!E1013</f>
        <v>2</v>
      </c>
      <c r="F1013" s="4" t="n">
        <f aca="false">ROUND(Raw_Data!F1013,2)</f>
        <v>478.36</v>
      </c>
      <c r="G1013" s="2" t="str">
        <f aca="false">PROPER(TRIM(Raw_Data!G1013))</f>
        <v>654 Main St</v>
      </c>
      <c r="H1013" s="2" t="str">
        <f aca="false">PROPER(TRIM(Raw_Data!H1013))</f>
        <v>Online</v>
      </c>
      <c r="I1013" s="2" t="str">
        <f aca="false">PROPER(TRIM(Raw_Data!I1013))</f>
        <v>Shipped</v>
      </c>
      <c r="J1013" s="2" t="str">
        <f aca="false">TRIM(UPPER(Raw_Data!J1013))</f>
        <v>TRK22271097</v>
      </c>
      <c r="K1013" s="2" t="n">
        <f aca="false">Raw_Data!K1013</f>
        <v>3</v>
      </c>
      <c r="L1013" s="2" t="str">
        <f aca="false">IF(TRIM(Raw_Data!L1013)="","No Coupon",TRIM(UPPER(Raw_Data!L1013)))</f>
        <v>No Coupon</v>
      </c>
      <c r="M1013" s="2" t="str">
        <f aca="false">PROPER(TRIM(Raw_Data!M1013))</f>
        <v>Google</v>
      </c>
      <c r="N1013" s="4" t="n">
        <f aca="false">ROUND(E1013*F1013,2)</f>
        <v>956.72</v>
      </c>
      <c r="O1013" s="2" t="str">
        <f aca="false">IF(COUNTIF($A$2:$A$1201,A1013)&gt;1,"DUPLICATE","Unique")</f>
        <v>Unique</v>
      </c>
      <c r="P1013" s="2" t="str">
        <f aca="false">IF(L1013="","MISSING","OK")</f>
        <v>OK</v>
      </c>
      <c r="Q1013" s="2" t="str">
        <f aca="false">IF(ISNUMBER(B1013),"OK","BAD DATE")</f>
        <v>OK</v>
      </c>
      <c r="R1013" s="2" t="str">
        <f aca="false">IF(ROUND(F1013,2)=F1013,"OK","FIX")</f>
        <v>OK</v>
      </c>
    </row>
    <row r="1014" customFormat="false" ht="15" hidden="false" customHeight="false" outlineLevel="0" collapsed="false">
      <c r="A1014" s="2" t="str">
        <f aca="false">TRIM(UPPER(Raw_Data!A1014))</f>
        <v>ORD201012</v>
      </c>
      <c r="B1014" s="3" t="n">
        <f aca="false">IF(ISNUMBER(Raw_Data!B1014),Raw_Data!B1014,DATEVALUE(Raw_Data!B1014))</f>
        <v>45629</v>
      </c>
      <c r="C1014" s="2" t="str">
        <f aca="false">TRIM(UPPER(Raw_Data!C1014))</f>
        <v>C84570</v>
      </c>
      <c r="D1014" s="2" t="str">
        <f aca="false">PROPER(TRIM(Raw_Data!D1014))</f>
        <v>Printer</v>
      </c>
      <c r="E1014" s="2" t="n">
        <f aca="false">Raw_Data!E1014</f>
        <v>4</v>
      </c>
      <c r="F1014" s="4" t="n">
        <f aca="false">ROUND(Raw_Data!F1014,2)</f>
        <v>30.05</v>
      </c>
      <c r="G1014" s="2" t="str">
        <f aca="false">PROPER(TRIM(Raw_Data!G1014))</f>
        <v>301 Main St</v>
      </c>
      <c r="H1014" s="2" t="str">
        <f aca="false">PROPER(TRIM(Raw_Data!H1014))</f>
        <v>Online</v>
      </c>
      <c r="I1014" s="2" t="str">
        <f aca="false">PROPER(TRIM(Raw_Data!I1014))</f>
        <v>Returned</v>
      </c>
      <c r="J1014" s="2" t="str">
        <f aca="false">TRIM(UPPER(Raw_Data!J1014))</f>
        <v>TRK12551882</v>
      </c>
      <c r="K1014" s="2" t="n">
        <f aca="false">Raw_Data!K1014</f>
        <v>6</v>
      </c>
      <c r="L1014" s="2" t="str">
        <f aca="false">IF(TRIM(Raw_Data!L1014)="","No Coupon",TRIM(UPPER(Raw_Data!L1014)))</f>
        <v>No Coupon</v>
      </c>
      <c r="M1014" s="2" t="str">
        <f aca="false">PROPER(TRIM(Raw_Data!M1014))</f>
        <v>Facebook</v>
      </c>
      <c r="N1014" s="4" t="n">
        <f aca="false">ROUND(E1014*F1014,2)</f>
        <v>120.2</v>
      </c>
      <c r="O1014" s="2" t="str">
        <f aca="false">IF(COUNTIF($A$2:$A$1201,A1014)&gt;1,"DUPLICATE","Unique")</f>
        <v>Unique</v>
      </c>
      <c r="P1014" s="2" t="str">
        <f aca="false">IF(L1014="","MISSING","OK")</f>
        <v>OK</v>
      </c>
      <c r="Q1014" s="2" t="str">
        <f aca="false">IF(ISNUMBER(B1014),"OK","BAD DATE")</f>
        <v>OK</v>
      </c>
      <c r="R1014" s="2" t="str">
        <f aca="false">IF(ROUND(F1014,2)=F1014,"OK","FIX")</f>
        <v>OK</v>
      </c>
    </row>
    <row r="1015" customFormat="false" ht="15" hidden="false" customHeight="false" outlineLevel="0" collapsed="false">
      <c r="A1015" s="2" t="str">
        <f aca="false">TRIM(UPPER(Raw_Data!A1015))</f>
        <v>ORD201013</v>
      </c>
      <c r="B1015" s="3" t="n">
        <f aca="false">IF(ISNUMBER(Raw_Data!B1015),Raw_Data!B1015,DATEVALUE(Raw_Data!B1015))</f>
        <v>45773</v>
      </c>
      <c r="C1015" s="2" t="str">
        <f aca="false">TRIM(UPPER(Raw_Data!C1015))</f>
        <v>C91123</v>
      </c>
      <c r="D1015" s="2" t="str">
        <f aca="false">PROPER(TRIM(Raw_Data!D1015))</f>
        <v>Laptop</v>
      </c>
      <c r="E1015" s="2" t="n">
        <f aca="false">Raw_Data!E1015</f>
        <v>4</v>
      </c>
      <c r="F1015" s="4" t="n">
        <f aca="false">ROUND(Raw_Data!F1015,2)</f>
        <v>300.56</v>
      </c>
      <c r="G1015" s="2" t="str">
        <f aca="false">PROPER(TRIM(Raw_Data!G1015))</f>
        <v>842 Main St</v>
      </c>
      <c r="H1015" s="2" t="str">
        <f aca="false">PROPER(TRIM(Raw_Data!H1015))</f>
        <v>Cash</v>
      </c>
      <c r="I1015" s="2" t="str">
        <f aca="false">PROPER(TRIM(Raw_Data!I1015))</f>
        <v>Cancelled</v>
      </c>
      <c r="J1015" s="2" t="str">
        <f aca="false">TRIM(UPPER(Raw_Data!J1015))</f>
        <v>TRK49568409</v>
      </c>
      <c r="K1015" s="2" t="n">
        <f aca="false">Raw_Data!K1015</f>
        <v>9</v>
      </c>
      <c r="L1015" s="2" t="str">
        <f aca="false">IF(TRIM(Raw_Data!L1015)="","No Coupon",TRIM(UPPER(Raw_Data!L1015)))</f>
        <v>FREESHIP</v>
      </c>
      <c r="M1015" s="2" t="str">
        <f aca="false">PROPER(TRIM(Raw_Data!M1015))</f>
        <v>Facebook</v>
      </c>
      <c r="N1015" s="4" t="n">
        <f aca="false">ROUND(E1015*F1015,2)</f>
        <v>1202.24</v>
      </c>
      <c r="O1015" s="2" t="str">
        <f aca="false">IF(COUNTIF($A$2:$A$1201,A1015)&gt;1,"DUPLICATE","Unique")</f>
        <v>Unique</v>
      </c>
      <c r="P1015" s="2" t="str">
        <f aca="false">IF(L1015="","MISSING","OK")</f>
        <v>OK</v>
      </c>
      <c r="Q1015" s="2" t="str">
        <f aca="false">IF(ISNUMBER(B1015),"OK","BAD DATE")</f>
        <v>OK</v>
      </c>
      <c r="R1015" s="2" t="str">
        <f aca="false">IF(ROUND(F1015,2)=F1015,"OK","FIX")</f>
        <v>OK</v>
      </c>
    </row>
    <row r="1016" customFormat="false" ht="15" hidden="false" customHeight="false" outlineLevel="0" collapsed="false">
      <c r="A1016" s="2" t="str">
        <f aca="false">TRIM(UPPER(Raw_Data!A1016))</f>
        <v>ORD201014</v>
      </c>
      <c r="B1016" s="3" t="n">
        <f aca="false">IF(ISNUMBER(Raw_Data!B1016),Raw_Data!B1016,DATEVALUE(Raw_Data!B1016))</f>
        <v>45326</v>
      </c>
      <c r="C1016" s="2" t="str">
        <f aca="false">TRIM(UPPER(Raw_Data!C1016))</f>
        <v>C92548</v>
      </c>
      <c r="D1016" s="2" t="str">
        <f aca="false">PROPER(TRIM(Raw_Data!D1016))</f>
        <v>Tablet</v>
      </c>
      <c r="E1016" s="2" t="n">
        <f aca="false">Raw_Data!E1016</f>
        <v>5</v>
      </c>
      <c r="F1016" s="4" t="n">
        <f aca="false">ROUND(Raw_Data!F1016,2)</f>
        <v>226.45</v>
      </c>
      <c r="G1016" s="2" t="str">
        <f aca="false">PROPER(TRIM(Raw_Data!G1016))</f>
        <v>160 Main St</v>
      </c>
      <c r="H1016" s="2" t="str">
        <f aca="false">PROPER(TRIM(Raw_Data!H1016))</f>
        <v>Debit Card</v>
      </c>
      <c r="I1016" s="2" t="str">
        <f aca="false">PROPER(TRIM(Raw_Data!I1016))</f>
        <v>Returned</v>
      </c>
      <c r="J1016" s="2" t="str">
        <f aca="false">TRIM(UPPER(Raw_Data!J1016))</f>
        <v>TRK21682892</v>
      </c>
      <c r="K1016" s="2" t="n">
        <f aca="false">Raw_Data!K1016</f>
        <v>6</v>
      </c>
      <c r="L1016" s="2" t="str">
        <f aca="false">IF(TRIM(Raw_Data!L1016)="","No Coupon",TRIM(UPPER(Raw_Data!L1016)))</f>
        <v>FREESHIP</v>
      </c>
      <c r="M1016" s="2" t="str">
        <f aca="false">PROPER(TRIM(Raw_Data!M1016))</f>
        <v>Email</v>
      </c>
      <c r="N1016" s="4" t="n">
        <f aca="false">ROUND(E1016*F1016,2)</f>
        <v>1132.25</v>
      </c>
      <c r="O1016" s="2" t="str">
        <f aca="false">IF(COUNTIF($A$2:$A$1201,A1016)&gt;1,"DUPLICATE","Unique")</f>
        <v>Unique</v>
      </c>
      <c r="P1016" s="2" t="str">
        <f aca="false">IF(L1016="","MISSING","OK")</f>
        <v>OK</v>
      </c>
      <c r="Q1016" s="2" t="str">
        <f aca="false">IF(ISNUMBER(B1016),"OK","BAD DATE")</f>
        <v>OK</v>
      </c>
      <c r="R1016" s="2" t="str">
        <f aca="false">IF(ROUND(F1016,2)=F1016,"OK","FIX")</f>
        <v>OK</v>
      </c>
    </row>
    <row r="1017" customFormat="false" ht="15" hidden="false" customHeight="false" outlineLevel="0" collapsed="false">
      <c r="A1017" s="2" t="str">
        <f aca="false">TRIM(UPPER(Raw_Data!A1017))</f>
        <v>ORD201015</v>
      </c>
      <c r="B1017" s="3" t="n">
        <f aca="false">IF(ISNUMBER(Raw_Data!B1017),Raw_Data!B1017,DATEVALUE(Raw_Data!B1017))</f>
        <v>45317</v>
      </c>
      <c r="C1017" s="2" t="str">
        <f aca="false">TRIM(UPPER(Raw_Data!C1017))</f>
        <v>C97454</v>
      </c>
      <c r="D1017" s="2" t="str">
        <f aca="false">PROPER(TRIM(Raw_Data!D1017))</f>
        <v>Printer</v>
      </c>
      <c r="E1017" s="2" t="n">
        <f aca="false">Raw_Data!E1017</f>
        <v>2</v>
      </c>
      <c r="F1017" s="4" t="n">
        <f aca="false">ROUND(Raw_Data!F1017,2)</f>
        <v>349.4</v>
      </c>
      <c r="G1017" s="2" t="str">
        <f aca="false">PROPER(TRIM(Raw_Data!G1017))</f>
        <v>892 Main St</v>
      </c>
      <c r="H1017" s="2" t="str">
        <f aca="false">PROPER(TRIM(Raw_Data!H1017))</f>
        <v>Online</v>
      </c>
      <c r="I1017" s="2" t="str">
        <f aca="false">PROPER(TRIM(Raw_Data!I1017))</f>
        <v>Shipped</v>
      </c>
      <c r="J1017" s="2" t="str">
        <f aca="false">TRIM(UPPER(Raw_Data!J1017))</f>
        <v>TRK73249329</v>
      </c>
      <c r="K1017" s="2" t="n">
        <f aca="false">Raw_Data!K1017</f>
        <v>2</v>
      </c>
      <c r="L1017" s="2" t="str">
        <f aca="false">IF(TRIM(Raw_Data!L1017)="","No Coupon",TRIM(UPPER(Raw_Data!L1017)))</f>
        <v>SAVE10</v>
      </c>
      <c r="M1017" s="2" t="str">
        <f aca="false">PROPER(TRIM(Raw_Data!M1017))</f>
        <v>Instagram</v>
      </c>
      <c r="N1017" s="4" t="n">
        <f aca="false">ROUND(E1017*F1017,2)</f>
        <v>698.8</v>
      </c>
      <c r="O1017" s="2" t="str">
        <f aca="false">IF(COUNTIF($A$2:$A$1201,A1017)&gt;1,"DUPLICATE","Unique")</f>
        <v>Unique</v>
      </c>
      <c r="P1017" s="2" t="str">
        <f aca="false">IF(L1017="","MISSING","OK")</f>
        <v>OK</v>
      </c>
      <c r="Q1017" s="2" t="str">
        <f aca="false">IF(ISNUMBER(B1017),"OK","BAD DATE")</f>
        <v>OK</v>
      </c>
      <c r="R1017" s="2" t="str">
        <f aca="false">IF(ROUND(F1017,2)=F1017,"OK","FIX")</f>
        <v>OK</v>
      </c>
    </row>
    <row r="1018" customFormat="false" ht="15" hidden="false" customHeight="false" outlineLevel="0" collapsed="false">
      <c r="A1018" s="2" t="str">
        <f aca="false">TRIM(UPPER(Raw_Data!A1018))</f>
        <v>ORD201016</v>
      </c>
      <c r="B1018" s="3" t="n">
        <f aca="false">IF(ISNUMBER(Raw_Data!B1018),Raw_Data!B1018,DATEVALUE(Raw_Data!B1018))</f>
        <v>45289</v>
      </c>
      <c r="C1018" s="2" t="str">
        <f aca="false">TRIM(UPPER(Raw_Data!C1018))</f>
        <v>C20257</v>
      </c>
      <c r="D1018" s="2" t="str">
        <f aca="false">PROPER(TRIM(Raw_Data!D1018))</f>
        <v>Tablet</v>
      </c>
      <c r="E1018" s="2" t="n">
        <f aca="false">Raw_Data!E1018</f>
        <v>5</v>
      </c>
      <c r="F1018" s="4" t="n">
        <f aca="false">ROUND(Raw_Data!F1018,2)</f>
        <v>268.78</v>
      </c>
      <c r="G1018" s="2" t="str">
        <f aca="false">PROPER(TRIM(Raw_Data!G1018))</f>
        <v>669 Main St</v>
      </c>
      <c r="H1018" s="2" t="str">
        <f aca="false">PROPER(TRIM(Raw_Data!H1018))</f>
        <v>Debit Card</v>
      </c>
      <c r="I1018" s="2" t="str">
        <f aca="false">PROPER(TRIM(Raw_Data!I1018))</f>
        <v>Delivered</v>
      </c>
      <c r="J1018" s="2" t="str">
        <f aca="false">TRIM(UPPER(Raw_Data!J1018))</f>
        <v>TRK62135578</v>
      </c>
      <c r="K1018" s="2" t="n">
        <f aca="false">Raw_Data!K1018</f>
        <v>7</v>
      </c>
      <c r="L1018" s="2" t="str">
        <f aca="false">IF(TRIM(Raw_Data!L1018)="","No Coupon",TRIM(UPPER(Raw_Data!L1018)))</f>
        <v>WINTER15</v>
      </c>
      <c r="M1018" s="2" t="str">
        <f aca="false">PROPER(TRIM(Raw_Data!M1018))</f>
        <v>Email</v>
      </c>
      <c r="N1018" s="4" t="n">
        <f aca="false">ROUND(E1018*F1018,2)</f>
        <v>1343.9</v>
      </c>
      <c r="O1018" s="2" t="str">
        <f aca="false">IF(COUNTIF($A$2:$A$1201,A1018)&gt;1,"DUPLICATE","Unique")</f>
        <v>Unique</v>
      </c>
      <c r="P1018" s="2" t="str">
        <f aca="false">IF(L1018="","MISSING","OK")</f>
        <v>OK</v>
      </c>
      <c r="Q1018" s="2" t="str">
        <f aca="false">IF(ISNUMBER(B1018),"OK","BAD DATE")</f>
        <v>OK</v>
      </c>
      <c r="R1018" s="2" t="str">
        <f aca="false">IF(ROUND(F1018,2)=F1018,"OK","FIX")</f>
        <v>OK</v>
      </c>
    </row>
    <row r="1019" customFormat="false" ht="15" hidden="false" customHeight="false" outlineLevel="0" collapsed="false">
      <c r="A1019" s="2" t="str">
        <f aca="false">TRIM(UPPER(Raw_Data!A1019))</f>
        <v>ORD201017</v>
      </c>
      <c r="B1019" s="3" t="n">
        <f aca="false">IF(ISNUMBER(Raw_Data!B1019),Raw_Data!B1019,DATEVALUE(Raw_Data!B1019))</f>
        <v>45529</v>
      </c>
      <c r="C1019" s="2" t="str">
        <f aca="false">TRIM(UPPER(Raw_Data!C1019))</f>
        <v>C51694</v>
      </c>
      <c r="D1019" s="2" t="str">
        <f aca="false">PROPER(TRIM(Raw_Data!D1019))</f>
        <v>Chair</v>
      </c>
      <c r="E1019" s="2" t="n">
        <f aca="false">Raw_Data!E1019</f>
        <v>2</v>
      </c>
      <c r="F1019" s="4" t="n">
        <f aca="false">ROUND(Raw_Data!F1019,2)</f>
        <v>680.85</v>
      </c>
      <c r="G1019" s="2" t="str">
        <f aca="false">PROPER(TRIM(Raw_Data!G1019))</f>
        <v>953 Main St</v>
      </c>
      <c r="H1019" s="2" t="str">
        <f aca="false">PROPER(TRIM(Raw_Data!H1019))</f>
        <v>Gift Card</v>
      </c>
      <c r="I1019" s="2" t="str">
        <f aca="false">PROPER(TRIM(Raw_Data!I1019))</f>
        <v>Delivered</v>
      </c>
      <c r="J1019" s="2" t="str">
        <f aca="false">TRIM(UPPER(Raw_Data!J1019))</f>
        <v>TRK83122112</v>
      </c>
      <c r="K1019" s="2" t="n">
        <f aca="false">Raw_Data!K1019</f>
        <v>6</v>
      </c>
      <c r="L1019" s="2" t="str">
        <f aca="false">IF(TRIM(Raw_Data!L1019)="","No Coupon",TRIM(UPPER(Raw_Data!L1019)))</f>
        <v>FREESHIP</v>
      </c>
      <c r="M1019" s="2" t="str">
        <f aca="false">PROPER(TRIM(Raw_Data!M1019))</f>
        <v>Referral</v>
      </c>
      <c r="N1019" s="4" t="n">
        <f aca="false">ROUND(E1019*F1019,2)</f>
        <v>1361.7</v>
      </c>
      <c r="O1019" s="2" t="str">
        <f aca="false">IF(COUNTIF($A$2:$A$1201,A1019)&gt;1,"DUPLICATE","Unique")</f>
        <v>Unique</v>
      </c>
      <c r="P1019" s="2" t="str">
        <f aca="false">IF(L1019="","MISSING","OK")</f>
        <v>OK</v>
      </c>
      <c r="Q1019" s="2" t="str">
        <f aca="false">IF(ISNUMBER(B1019),"OK","BAD DATE")</f>
        <v>OK</v>
      </c>
      <c r="R1019" s="2" t="str">
        <f aca="false">IF(ROUND(F1019,2)=F1019,"OK","FIX")</f>
        <v>OK</v>
      </c>
    </row>
    <row r="1020" customFormat="false" ht="15" hidden="false" customHeight="false" outlineLevel="0" collapsed="false">
      <c r="A1020" s="2" t="str">
        <f aca="false">TRIM(UPPER(Raw_Data!A1020))</f>
        <v>ORD201018</v>
      </c>
      <c r="B1020" s="3" t="n">
        <f aca="false">IF(ISNUMBER(Raw_Data!B1020),Raw_Data!B1020,DATEVALUE(Raw_Data!B1020))</f>
        <v>45115</v>
      </c>
      <c r="C1020" s="2" t="str">
        <f aca="false">TRIM(UPPER(Raw_Data!C1020))</f>
        <v>C77499</v>
      </c>
      <c r="D1020" s="2" t="str">
        <f aca="false">PROPER(TRIM(Raw_Data!D1020))</f>
        <v>Laptop</v>
      </c>
      <c r="E1020" s="2" t="n">
        <f aca="false">Raw_Data!E1020</f>
        <v>3</v>
      </c>
      <c r="F1020" s="4" t="n">
        <f aca="false">ROUND(Raw_Data!F1020,2)</f>
        <v>182.48</v>
      </c>
      <c r="G1020" s="2" t="str">
        <f aca="false">PROPER(TRIM(Raw_Data!G1020))</f>
        <v>209 Main St</v>
      </c>
      <c r="H1020" s="2" t="str">
        <f aca="false">PROPER(TRIM(Raw_Data!H1020))</f>
        <v>Cash</v>
      </c>
      <c r="I1020" s="2" t="str">
        <f aca="false">PROPER(TRIM(Raw_Data!I1020))</f>
        <v>Delivered</v>
      </c>
      <c r="J1020" s="2" t="str">
        <f aca="false">TRIM(UPPER(Raw_Data!J1020))</f>
        <v>TRK20703086</v>
      </c>
      <c r="K1020" s="2" t="n">
        <f aca="false">Raw_Data!K1020</f>
        <v>3</v>
      </c>
      <c r="L1020" s="2" t="str">
        <f aca="false">IF(TRIM(Raw_Data!L1020)="","No Coupon",TRIM(UPPER(Raw_Data!L1020)))</f>
        <v>No Coupon</v>
      </c>
      <c r="M1020" s="2" t="str">
        <f aca="false">PROPER(TRIM(Raw_Data!M1020))</f>
        <v>Instagram</v>
      </c>
      <c r="N1020" s="4" t="n">
        <f aca="false">ROUND(E1020*F1020,2)</f>
        <v>547.44</v>
      </c>
      <c r="O1020" s="2" t="str">
        <f aca="false">IF(COUNTIF($A$2:$A$1201,A1020)&gt;1,"DUPLICATE","Unique")</f>
        <v>Unique</v>
      </c>
      <c r="P1020" s="2" t="str">
        <f aca="false">IF(L1020="","MISSING","OK")</f>
        <v>OK</v>
      </c>
      <c r="Q1020" s="2" t="str">
        <f aca="false">IF(ISNUMBER(B1020),"OK","BAD DATE")</f>
        <v>OK</v>
      </c>
      <c r="R1020" s="2" t="str">
        <f aca="false">IF(ROUND(F1020,2)=F1020,"OK","FIX")</f>
        <v>OK</v>
      </c>
    </row>
    <row r="1021" customFormat="false" ht="15" hidden="false" customHeight="false" outlineLevel="0" collapsed="false">
      <c r="A1021" s="2" t="str">
        <f aca="false">TRIM(UPPER(Raw_Data!A1021))</f>
        <v>ORD201019</v>
      </c>
      <c r="B1021" s="3" t="n">
        <f aca="false">IF(ISNUMBER(Raw_Data!B1021),Raw_Data!B1021,DATEVALUE(Raw_Data!B1021))</f>
        <v>45388</v>
      </c>
      <c r="C1021" s="2" t="str">
        <f aca="false">TRIM(UPPER(Raw_Data!C1021))</f>
        <v>C28386</v>
      </c>
      <c r="D1021" s="2" t="str">
        <f aca="false">PROPER(TRIM(Raw_Data!D1021))</f>
        <v>Desk</v>
      </c>
      <c r="E1021" s="2" t="n">
        <f aca="false">Raw_Data!E1021</f>
        <v>1</v>
      </c>
      <c r="F1021" s="4" t="n">
        <f aca="false">ROUND(Raw_Data!F1021,2)</f>
        <v>277.09</v>
      </c>
      <c r="G1021" s="2" t="str">
        <f aca="false">PROPER(TRIM(Raw_Data!G1021))</f>
        <v>293 Main St</v>
      </c>
      <c r="H1021" s="2" t="str">
        <f aca="false">PROPER(TRIM(Raw_Data!H1021))</f>
        <v>Cash</v>
      </c>
      <c r="I1021" s="2" t="str">
        <f aca="false">PROPER(TRIM(Raw_Data!I1021))</f>
        <v>Returned</v>
      </c>
      <c r="J1021" s="2" t="str">
        <f aca="false">TRIM(UPPER(Raw_Data!J1021))</f>
        <v>TRK32954229</v>
      </c>
      <c r="K1021" s="2" t="n">
        <f aca="false">Raw_Data!K1021</f>
        <v>2</v>
      </c>
      <c r="L1021" s="2" t="str">
        <f aca="false">IF(TRIM(Raw_Data!L1021)="","No Coupon",TRIM(UPPER(Raw_Data!L1021)))</f>
        <v>SAVE10</v>
      </c>
      <c r="M1021" s="2" t="str">
        <f aca="false">PROPER(TRIM(Raw_Data!M1021))</f>
        <v>Referral</v>
      </c>
      <c r="N1021" s="4" t="n">
        <f aca="false">ROUND(E1021*F1021,2)</f>
        <v>277.09</v>
      </c>
      <c r="O1021" s="2" t="str">
        <f aca="false">IF(COUNTIF($A$2:$A$1201,A1021)&gt;1,"DUPLICATE","Unique")</f>
        <v>Unique</v>
      </c>
      <c r="P1021" s="2" t="str">
        <f aca="false">IF(L1021="","MISSING","OK")</f>
        <v>OK</v>
      </c>
      <c r="Q1021" s="2" t="str">
        <f aca="false">IF(ISNUMBER(B1021),"OK","BAD DATE")</f>
        <v>OK</v>
      </c>
      <c r="R1021" s="2" t="str">
        <f aca="false">IF(ROUND(F1021,2)=F1021,"OK","FIX")</f>
        <v>OK</v>
      </c>
    </row>
    <row r="1022" customFormat="false" ht="15" hidden="false" customHeight="false" outlineLevel="0" collapsed="false">
      <c r="A1022" s="2" t="str">
        <f aca="false">TRIM(UPPER(Raw_Data!A1022))</f>
        <v>ORD201020</v>
      </c>
      <c r="B1022" s="3" t="n">
        <f aca="false">IF(ISNUMBER(Raw_Data!B1022),Raw_Data!B1022,DATEVALUE(Raw_Data!B1022))</f>
        <v>45404</v>
      </c>
      <c r="C1022" s="2" t="str">
        <f aca="false">TRIM(UPPER(Raw_Data!C1022))</f>
        <v>C50211</v>
      </c>
      <c r="D1022" s="2" t="str">
        <f aca="false">PROPER(TRIM(Raw_Data!D1022))</f>
        <v>Tablet</v>
      </c>
      <c r="E1022" s="2" t="n">
        <f aca="false">Raw_Data!E1022</f>
        <v>2</v>
      </c>
      <c r="F1022" s="4" t="n">
        <f aca="false">ROUND(Raw_Data!F1022,2)</f>
        <v>26.5</v>
      </c>
      <c r="G1022" s="2" t="str">
        <f aca="false">PROPER(TRIM(Raw_Data!G1022))</f>
        <v>312 Main St</v>
      </c>
      <c r="H1022" s="2" t="str">
        <f aca="false">PROPER(TRIM(Raw_Data!H1022))</f>
        <v>Online</v>
      </c>
      <c r="I1022" s="2" t="str">
        <f aca="false">PROPER(TRIM(Raw_Data!I1022))</f>
        <v>Delivered</v>
      </c>
      <c r="J1022" s="2" t="str">
        <f aca="false">TRIM(UPPER(Raw_Data!J1022))</f>
        <v>TRK47787981</v>
      </c>
      <c r="K1022" s="2" t="n">
        <f aca="false">Raw_Data!K1022</f>
        <v>3</v>
      </c>
      <c r="L1022" s="2" t="str">
        <f aca="false">IF(TRIM(Raw_Data!L1022)="","No Coupon",TRIM(UPPER(Raw_Data!L1022)))</f>
        <v>SAVE10</v>
      </c>
      <c r="M1022" s="2" t="str">
        <f aca="false">PROPER(TRIM(Raw_Data!M1022))</f>
        <v>Instagram</v>
      </c>
      <c r="N1022" s="4" t="n">
        <f aca="false">ROUND(E1022*F1022,2)</f>
        <v>53</v>
      </c>
      <c r="O1022" s="2" t="str">
        <f aca="false">IF(COUNTIF($A$2:$A$1201,A1022)&gt;1,"DUPLICATE","Unique")</f>
        <v>Unique</v>
      </c>
      <c r="P1022" s="2" t="str">
        <f aca="false">IF(L1022="","MISSING","OK")</f>
        <v>OK</v>
      </c>
      <c r="Q1022" s="2" t="str">
        <f aca="false">IF(ISNUMBER(B1022),"OK","BAD DATE")</f>
        <v>OK</v>
      </c>
      <c r="R1022" s="2" t="str">
        <f aca="false">IF(ROUND(F1022,2)=F1022,"OK","FIX")</f>
        <v>OK</v>
      </c>
    </row>
    <row r="1023" customFormat="false" ht="15" hidden="false" customHeight="false" outlineLevel="0" collapsed="false">
      <c r="A1023" s="2" t="str">
        <f aca="false">TRIM(UPPER(Raw_Data!A1023))</f>
        <v>ORD201021</v>
      </c>
      <c r="B1023" s="3" t="n">
        <f aca="false">IF(ISNUMBER(Raw_Data!B1023),Raw_Data!B1023,DATEVALUE(Raw_Data!B1023))</f>
        <v>45222</v>
      </c>
      <c r="C1023" s="2" t="str">
        <f aca="false">TRIM(UPPER(Raw_Data!C1023))</f>
        <v>C74519</v>
      </c>
      <c r="D1023" s="2" t="str">
        <f aca="false">PROPER(TRIM(Raw_Data!D1023))</f>
        <v>Phone</v>
      </c>
      <c r="E1023" s="2" t="n">
        <f aca="false">Raw_Data!E1023</f>
        <v>3</v>
      </c>
      <c r="F1023" s="4" t="n">
        <f aca="false">ROUND(Raw_Data!F1023,2)</f>
        <v>315.27</v>
      </c>
      <c r="G1023" s="2" t="str">
        <f aca="false">PROPER(TRIM(Raw_Data!G1023))</f>
        <v>309 Main St</v>
      </c>
      <c r="H1023" s="2" t="str">
        <f aca="false">PROPER(TRIM(Raw_Data!H1023))</f>
        <v>Credit Card</v>
      </c>
      <c r="I1023" s="2" t="str">
        <f aca="false">PROPER(TRIM(Raw_Data!I1023))</f>
        <v>Cancelled</v>
      </c>
      <c r="J1023" s="2" t="str">
        <f aca="false">TRIM(UPPER(Raw_Data!J1023))</f>
        <v>TRK97351945</v>
      </c>
      <c r="K1023" s="2" t="n">
        <f aca="false">Raw_Data!K1023</f>
        <v>4</v>
      </c>
      <c r="L1023" s="2" t="str">
        <f aca="false">IF(TRIM(Raw_Data!L1023)="","No Coupon",TRIM(UPPER(Raw_Data!L1023)))</f>
        <v>SAVE10</v>
      </c>
      <c r="M1023" s="2" t="str">
        <f aca="false">PROPER(TRIM(Raw_Data!M1023))</f>
        <v>Email</v>
      </c>
      <c r="N1023" s="4" t="n">
        <f aca="false">ROUND(E1023*F1023,2)</f>
        <v>945.81</v>
      </c>
      <c r="O1023" s="2" t="str">
        <f aca="false">IF(COUNTIF($A$2:$A$1201,A1023)&gt;1,"DUPLICATE","Unique")</f>
        <v>Unique</v>
      </c>
      <c r="P1023" s="2" t="str">
        <f aca="false">IF(L1023="","MISSING","OK")</f>
        <v>OK</v>
      </c>
      <c r="Q1023" s="2" t="str">
        <f aca="false">IF(ISNUMBER(B1023),"OK","BAD DATE")</f>
        <v>OK</v>
      </c>
      <c r="R1023" s="2" t="str">
        <f aca="false">IF(ROUND(F1023,2)=F1023,"OK","FIX")</f>
        <v>OK</v>
      </c>
    </row>
    <row r="1024" customFormat="false" ht="15" hidden="false" customHeight="false" outlineLevel="0" collapsed="false">
      <c r="A1024" s="2" t="str">
        <f aca="false">TRIM(UPPER(Raw_Data!A1024))</f>
        <v>ORD201022</v>
      </c>
      <c r="B1024" s="3" t="n">
        <f aca="false">IF(ISNUMBER(Raw_Data!B1024),Raw_Data!B1024,DATEVALUE(Raw_Data!B1024))</f>
        <v>45712</v>
      </c>
      <c r="C1024" s="2" t="str">
        <f aca="false">TRIM(UPPER(Raw_Data!C1024))</f>
        <v>C19071</v>
      </c>
      <c r="D1024" s="2" t="str">
        <f aca="false">PROPER(TRIM(Raw_Data!D1024))</f>
        <v>Tablet</v>
      </c>
      <c r="E1024" s="2" t="n">
        <f aca="false">Raw_Data!E1024</f>
        <v>3</v>
      </c>
      <c r="F1024" s="4" t="n">
        <f aca="false">ROUND(Raw_Data!F1024,2)</f>
        <v>450.98</v>
      </c>
      <c r="G1024" s="2" t="str">
        <f aca="false">PROPER(TRIM(Raw_Data!G1024))</f>
        <v>396 Main St</v>
      </c>
      <c r="H1024" s="2" t="str">
        <f aca="false">PROPER(TRIM(Raw_Data!H1024))</f>
        <v>Credit Card</v>
      </c>
      <c r="I1024" s="2" t="str">
        <f aca="false">PROPER(TRIM(Raw_Data!I1024))</f>
        <v>Shipped</v>
      </c>
      <c r="J1024" s="2" t="str">
        <f aca="false">TRIM(UPPER(Raw_Data!J1024))</f>
        <v>TRK66537096</v>
      </c>
      <c r="K1024" s="2" t="n">
        <f aca="false">Raw_Data!K1024</f>
        <v>8</v>
      </c>
      <c r="L1024" s="2" t="str">
        <f aca="false">IF(TRIM(Raw_Data!L1024)="","No Coupon",TRIM(UPPER(Raw_Data!L1024)))</f>
        <v>SAVE10</v>
      </c>
      <c r="M1024" s="2" t="str">
        <f aca="false">PROPER(TRIM(Raw_Data!M1024))</f>
        <v>Referral</v>
      </c>
      <c r="N1024" s="4" t="n">
        <f aca="false">ROUND(E1024*F1024,2)</f>
        <v>1352.94</v>
      </c>
      <c r="O1024" s="2" t="str">
        <f aca="false">IF(COUNTIF($A$2:$A$1201,A1024)&gt;1,"DUPLICATE","Unique")</f>
        <v>Unique</v>
      </c>
      <c r="P1024" s="2" t="str">
        <f aca="false">IF(L1024="","MISSING","OK")</f>
        <v>OK</v>
      </c>
      <c r="Q1024" s="2" t="str">
        <f aca="false">IF(ISNUMBER(B1024),"OK","BAD DATE")</f>
        <v>OK</v>
      </c>
      <c r="R1024" s="2" t="str">
        <f aca="false">IF(ROUND(F1024,2)=F1024,"OK","FIX")</f>
        <v>OK</v>
      </c>
    </row>
    <row r="1025" customFormat="false" ht="15" hidden="false" customHeight="false" outlineLevel="0" collapsed="false">
      <c r="A1025" s="2" t="str">
        <f aca="false">TRIM(UPPER(Raw_Data!A1025))</f>
        <v>ORD201023</v>
      </c>
      <c r="B1025" s="3" t="n">
        <f aca="false">IF(ISNUMBER(Raw_Data!B1025),Raw_Data!B1025,DATEVALUE(Raw_Data!B1025))</f>
        <v>45558</v>
      </c>
      <c r="C1025" s="2" t="str">
        <f aca="false">TRIM(UPPER(Raw_Data!C1025))</f>
        <v>C65251</v>
      </c>
      <c r="D1025" s="2" t="str">
        <f aca="false">PROPER(TRIM(Raw_Data!D1025))</f>
        <v>Laptop</v>
      </c>
      <c r="E1025" s="2" t="n">
        <f aca="false">Raw_Data!E1025</f>
        <v>5</v>
      </c>
      <c r="F1025" s="4" t="n">
        <f aca="false">ROUND(Raw_Data!F1025,2)</f>
        <v>233.67</v>
      </c>
      <c r="G1025" s="2" t="str">
        <f aca="false">PROPER(TRIM(Raw_Data!G1025))</f>
        <v>291 Main St</v>
      </c>
      <c r="H1025" s="2" t="str">
        <f aca="false">PROPER(TRIM(Raw_Data!H1025))</f>
        <v>Cash</v>
      </c>
      <c r="I1025" s="2" t="str">
        <f aca="false">PROPER(TRIM(Raw_Data!I1025))</f>
        <v>Shipped</v>
      </c>
      <c r="J1025" s="2" t="str">
        <f aca="false">TRIM(UPPER(Raw_Data!J1025))</f>
        <v>TRK32059025</v>
      </c>
      <c r="K1025" s="2" t="n">
        <f aca="false">Raw_Data!K1025</f>
        <v>10</v>
      </c>
      <c r="L1025" s="2" t="str">
        <f aca="false">IF(TRIM(Raw_Data!L1025)="","No Coupon",TRIM(UPPER(Raw_Data!L1025)))</f>
        <v>No Coupon</v>
      </c>
      <c r="M1025" s="2" t="str">
        <f aca="false">PROPER(TRIM(Raw_Data!M1025))</f>
        <v>Referral</v>
      </c>
      <c r="N1025" s="4" t="n">
        <f aca="false">ROUND(E1025*F1025,2)</f>
        <v>1168.35</v>
      </c>
      <c r="O1025" s="2" t="str">
        <f aca="false">IF(COUNTIF($A$2:$A$1201,A1025)&gt;1,"DUPLICATE","Unique")</f>
        <v>Unique</v>
      </c>
      <c r="P1025" s="2" t="str">
        <f aca="false">IF(L1025="","MISSING","OK")</f>
        <v>OK</v>
      </c>
      <c r="Q1025" s="2" t="str">
        <f aca="false">IF(ISNUMBER(B1025),"OK","BAD DATE")</f>
        <v>OK</v>
      </c>
      <c r="R1025" s="2" t="str">
        <f aca="false">IF(ROUND(F1025,2)=F1025,"OK","FIX")</f>
        <v>OK</v>
      </c>
    </row>
    <row r="1026" customFormat="false" ht="15" hidden="false" customHeight="false" outlineLevel="0" collapsed="false">
      <c r="A1026" s="2" t="str">
        <f aca="false">TRIM(UPPER(Raw_Data!A1026))</f>
        <v>ORD201024</v>
      </c>
      <c r="B1026" s="3" t="n">
        <f aca="false">IF(ISNUMBER(Raw_Data!B1026),Raw_Data!B1026,DATEVALUE(Raw_Data!B1026))</f>
        <v>45320</v>
      </c>
      <c r="C1026" s="2" t="str">
        <f aca="false">TRIM(UPPER(Raw_Data!C1026))</f>
        <v>C90612</v>
      </c>
      <c r="D1026" s="2" t="str">
        <f aca="false">PROPER(TRIM(Raw_Data!D1026))</f>
        <v>Chair</v>
      </c>
      <c r="E1026" s="2" t="n">
        <f aca="false">Raw_Data!E1026</f>
        <v>3</v>
      </c>
      <c r="F1026" s="4" t="n">
        <f aca="false">ROUND(Raw_Data!F1026,2)</f>
        <v>367.75</v>
      </c>
      <c r="G1026" s="2" t="str">
        <f aca="false">PROPER(TRIM(Raw_Data!G1026))</f>
        <v>731 Main St</v>
      </c>
      <c r="H1026" s="2" t="str">
        <f aca="false">PROPER(TRIM(Raw_Data!H1026))</f>
        <v>Cash</v>
      </c>
      <c r="I1026" s="2" t="str">
        <f aca="false">PROPER(TRIM(Raw_Data!I1026))</f>
        <v>Pending</v>
      </c>
      <c r="J1026" s="2" t="str">
        <f aca="false">TRIM(UPPER(Raw_Data!J1026))</f>
        <v>TRK93022878</v>
      </c>
      <c r="K1026" s="2" t="n">
        <f aca="false">Raw_Data!K1026</f>
        <v>7</v>
      </c>
      <c r="L1026" s="2" t="str">
        <f aca="false">IF(TRIM(Raw_Data!L1026)="","No Coupon",TRIM(UPPER(Raw_Data!L1026)))</f>
        <v>FREESHIP</v>
      </c>
      <c r="M1026" s="2" t="str">
        <f aca="false">PROPER(TRIM(Raw_Data!M1026))</f>
        <v>Facebook</v>
      </c>
      <c r="N1026" s="4" t="n">
        <f aca="false">ROUND(E1026*F1026,2)</f>
        <v>1103.25</v>
      </c>
      <c r="O1026" s="2" t="str">
        <f aca="false">IF(COUNTIF($A$2:$A$1201,A1026)&gt;1,"DUPLICATE","Unique")</f>
        <v>Unique</v>
      </c>
      <c r="P1026" s="2" t="str">
        <f aca="false">IF(L1026="","MISSING","OK")</f>
        <v>OK</v>
      </c>
      <c r="Q1026" s="2" t="str">
        <f aca="false">IF(ISNUMBER(B1026),"OK","BAD DATE")</f>
        <v>OK</v>
      </c>
      <c r="R1026" s="2" t="str">
        <f aca="false">IF(ROUND(F1026,2)=F1026,"OK","FIX")</f>
        <v>OK</v>
      </c>
    </row>
    <row r="1027" customFormat="false" ht="15" hidden="false" customHeight="false" outlineLevel="0" collapsed="false">
      <c r="A1027" s="2" t="str">
        <f aca="false">TRIM(UPPER(Raw_Data!A1027))</f>
        <v>ORD201025</v>
      </c>
      <c r="B1027" s="3" t="n">
        <f aca="false">IF(ISNUMBER(Raw_Data!B1027),Raw_Data!B1027,DATEVALUE(Raw_Data!B1027))</f>
        <v>45794</v>
      </c>
      <c r="C1027" s="2" t="str">
        <f aca="false">TRIM(UPPER(Raw_Data!C1027))</f>
        <v>C28406</v>
      </c>
      <c r="D1027" s="2" t="str">
        <f aca="false">PROPER(TRIM(Raw_Data!D1027))</f>
        <v>Chair</v>
      </c>
      <c r="E1027" s="2" t="n">
        <f aca="false">Raw_Data!E1027</f>
        <v>1</v>
      </c>
      <c r="F1027" s="4" t="n">
        <f aca="false">ROUND(Raw_Data!F1027,2)</f>
        <v>23.53</v>
      </c>
      <c r="G1027" s="2" t="str">
        <f aca="false">PROPER(TRIM(Raw_Data!G1027))</f>
        <v>174 Main St</v>
      </c>
      <c r="H1027" s="2" t="str">
        <f aca="false">PROPER(TRIM(Raw_Data!H1027))</f>
        <v>Gift Card</v>
      </c>
      <c r="I1027" s="2" t="str">
        <f aca="false">PROPER(TRIM(Raw_Data!I1027))</f>
        <v>Delivered</v>
      </c>
      <c r="J1027" s="2" t="str">
        <f aca="false">TRIM(UPPER(Raw_Data!J1027))</f>
        <v>TRK98841457</v>
      </c>
      <c r="K1027" s="2" t="n">
        <f aca="false">Raw_Data!K1027</f>
        <v>2</v>
      </c>
      <c r="L1027" s="2" t="str">
        <f aca="false">IF(TRIM(Raw_Data!L1027)="","No Coupon",TRIM(UPPER(Raw_Data!L1027)))</f>
        <v>FREESHIP</v>
      </c>
      <c r="M1027" s="2" t="str">
        <f aca="false">PROPER(TRIM(Raw_Data!M1027))</f>
        <v>Instagram</v>
      </c>
      <c r="N1027" s="4" t="n">
        <f aca="false">ROUND(E1027*F1027,2)</f>
        <v>23.53</v>
      </c>
      <c r="O1027" s="2" t="str">
        <f aca="false">IF(COUNTIF($A$2:$A$1201,A1027)&gt;1,"DUPLICATE","Unique")</f>
        <v>Unique</v>
      </c>
      <c r="P1027" s="2" t="str">
        <f aca="false">IF(L1027="","MISSING","OK")</f>
        <v>OK</v>
      </c>
      <c r="Q1027" s="2" t="str">
        <f aca="false">IF(ISNUMBER(B1027),"OK","BAD DATE")</f>
        <v>OK</v>
      </c>
      <c r="R1027" s="2" t="str">
        <f aca="false">IF(ROUND(F1027,2)=F1027,"OK","FIX")</f>
        <v>OK</v>
      </c>
    </row>
    <row r="1028" customFormat="false" ht="15" hidden="false" customHeight="false" outlineLevel="0" collapsed="false">
      <c r="A1028" s="2" t="str">
        <f aca="false">TRIM(UPPER(Raw_Data!A1028))</f>
        <v>ORD201026</v>
      </c>
      <c r="B1028" s="3" t="n">
        <f aca="false">IF(ISNUMBER(Raw_Data!B1028),Raw_Data!B1028,DATEVALUE(Raw_Data!B1028))</f>
        <v>45047</v>
      </c>
      <c r="C1028" s="2" t="str">
        <f aca="false">TRIM(UPPER(Raw_Data!C1028))</f>
        <v>C55454</v>
      </c>
      <c r="D1028" s="2" t="str">
        <f aca="false">PROPER(TRIM(Raw_Data!D1028))</f>
        <v>Monitor</v>
      </c>
      <c r="E1028" s="2" t="n">
        <f aca="false">Raw_Data!E1028</f>
        <v>1</v>
      </c>
      <c r="F1028" s="4" t="n">
        <f aca="false">ROUND(Raw_Data!F1028,2)</f>
        <v>677.48</v>
      </c>
      <c r="G1028" s="2" t="str">
        <f aca="false">PROPER(TRIM(Raw_Data!G1028))</f>
        <v>807 Main St</v>
      </c>
      <c r="H1028" s="2" t="str">
        <f aca="false">PROPER(TRIM(Raw_Data!H1028))</f>
        <v>Online</v>
      </c>
      <c r="I1028" s="2" t="str">
        <f aca="false">PROPER(TRIM(Raw_Data!I1028))</f>
        <v>Delivered</v>
      </c>
      <c r="J1028" s="2" t="str">
        <f aca="false">TRIM(UPPER(Raw_Data!J1028))</f>
        <v>TRK13281370</v>
      </c>
      <c r="K1028" s="2" t="n">
        <f aca="false">Raw_Data!K1028</f>
        <v>1</v>
      </c>
      <c r="L1028" s="2" t="str">
        <f aca="false">IF(TRIM(Raw_Data!L1028)="","No Coupon",TRIM(UPPER(Raw_Data!L1028)))</f>
        <v>WINTER15</v>
      </c>
      <c r="M1028" s="2" t="str">
        <f aca="false">PROPER(TRIM(Raw_Data!M1028))</f>
        <v>Facebook</v>
      </c>
      <c r="N1028" s="4" t="n">
        <f aca="false">ROUND(E1028*F1028,2)</f>
        <v>677.48</v>
      </c>
      <c r="O1028" s="2" t="str">
        <f aca="false">IF(COUNTIF($A$2:$A$1201,A1028)&gt;1,"DUPLICATE","Unique")</f>
        <v>Unique</v>
      </c>
      <c r="P1028" s="2" t="str">
        <f aca="false">IF(L1028="","MISSING","OK")</f>
        <v>OK</v>
      </c>
      <c r="Q1028" s="2" t="str">
        <f aca="false">IF(ISNUMBER(B1028),"OK","BAD DATE")</f>
        <v>OK</v>
      </c>
      <c r="R1028" s="2" t="str">
        <f aca="false">IF(ROUND(F1028,2)=F1028,"OK","FIX")</f>
        <v>OK</v>
      </c>
    </row>
    <row r="1029" customFormat="false" ht="15" hidden="false" customHeight="false" outlineLevel="0" collapsed="false">
      <c r="A1029" s="2" t="str">
        <f aca="false">TRIM(UPPER(Raw_Data!A1029))</f>
        <v>ORD201027</v>
      </c>
      <c r="B1029" s="3" t="n">
        <f aca="false">IF(ISNUMBER(Raw_Data!B1029),Raw_Data!B1029,DATEVALUE(Raw_Data!B1029))</f>
        <v>45433</v>
      </c>
      <c r="C1029" s="2" t="str">
        <f aca="false">TRIM(UPPER(Raw_Data!C1029))</f>
        <v>C93467</v>
      </c>
      <c r="D1029" s="2" t="str">
        <f aca="false">PROPER(TRIM(Raw_Data!D1029))</f>
        <v>Laptop</v>
      </c>
      <c r="E1029" s="2" t="n">
        <f aca="false">Raw_Data!E1029</f>
        <v>4</v>
      </c>
      <c r="F1029" s="4" t="n">
        <f aca="false">ROUND(Raw_Data!F1029,2)</f>
        <v>554.83</v>
      </c>
      <c r="G1029" s="2" t="str">
        <f aca="false">PROPER(TRIM(Raw_Data!G1029))</f>
        <v>983 Main St</v>
      </c>
      <c r="H1029" s="2" t="str">
        <f aca="false">PROPER(TRIM(Raw_Data!H1029))</f>
        <v>Cash</v>
      </c>
      <c r="I1029" s="2" t="str">
        <f aca="false">PROPER(TRIM(Raw_Data!I1029))</f>
        <v>Returned</v>
      </c>
      <c r="J1029" s="2" t="str">
        <f aca="false">TRIM(UPPER(Raw_Data!J1029))</f>
        <v>TRK77377373</v>
      </c>
      <c r="K1029" s="2" t="n">
        <f aca="false">Raw_Data!K1029</f>
        <v>6</v>
      </c>
      <c r="L1029" s="2" t="str">
        <f aca="false">IF(TRIM(Raw_Data!L1029)="","No Coupon",TRIM(UPPER(Raw_Data!L1029)))</f>
        <v>No Coupon</v>
      </c>
      <c r="M1029" s="2" t="str">
        <f aca="false">PROPER(TRIM(Raw_Data!M1029))</f>
        <v>Google</v>
      </c>
      <c r="N1029" s="4" t="n">
        <f aca="false">ROUND(E1029*F1029,2)</f>
        <v>2219.32</v>
      </c>
      <c r="O1029" s="2" t="str">
        <f aca="false">IF(COUNTIF($A$2:$A$1201,A1029)&gt;1,"DUPLICATE","Unique")</f>
        <v>Unique</v>
      </c>
      <c r="P1029" s="2" t="str">
        <f aca="false">IF(L1029="","MISSING","OK")</f>
        <v>OK</v>
      </c>
      <c r="Q1029" s="2" t="str">
        <f aca="false">IF(ISNUMBER(B1029),"OK","BAD DATE")</f>
        <v>OK</v>
      </c>
      <c r="R1029" s="2" t="str">
        <f aca="false">IF(ROUND(F1029,2)=F1029,"OK","FIX")</f>
        <v>OK</v>
      </c>
    </row>
    <row r="1030" customFormat="false" ht="15" hidden="false" customHeight="false" outlineLevel="0" collapsed="false">
      <c r="A1030" s="2" t="str">
        <f aca="false">TRIM(UPPER(Raw_Data!A1030))</f>
        <v>ORD201028</v>
      </c>
      <c r="B1030" s="3" t="n">
        <f aca="false">IF(ISNUMBER(Raw_Data!B1030),Raw_Data!B1030,DATEVALUE(Raw_Data!B1030))</f>
        <v>44974</v>
      </c>
      <c r="C1030" s="2" t="str">
        <f aca="false">TRIM(UPPER(Raw_Data!C1030))</f>
        <v>C60042</v>
      </c>
      <c r="D1030" s="2" t="str">
        <f aca="false">PROPER(TRIM(Raw_Data!D1030))</f>
        <v>Desk</v>
      </c>
      <c r="E1030" s="2" t="n">
        <f aca="false">Raw_Data!E1030</f>
        <v>4</v>
      </c>
      <c r="F1030" s="4" t="n">
        <f aca="false">ROUND(Raw_Data!F1030,2)</f>
        <v>440.31</v>
      </c>
      <c r="G1030" s="2" t="str">
        <f aca="false">PROPER(TRIM(Raw_Data!G1030))</f>
        <v>610 Main St</v>
      </c>
      <c r="H1030" s="2" t="str">
        <f aca="false">PROPER(TRIM(Raw_Data!H1030))</f>
        <v>Cash</v>
      </c>
      <c r="I1030" s="2" t="str">
        <f aca="false">PROPER(TRIM(Raw_Data!I1030))</f>
        <v>Cancelled</v>
      </c>
      <c r="J1030" s="2" t="str">
        <f aca="false">TRIM(UPPER(Raw_Data!J1030))</f>
        <v>TRK84651559</v>
      </c>
      <c r="K1030" s="2" t="n">
        <f aca="false">Raw_Data!K1030</f>
        <v>6</v>
      </c>
      <c r="L1030" s="2" t="str">
        <f aca="false">IF(TRIM(Raw_Data!L1030)="","No Coupon",TRIM(UPPER(Raw_Data!L1030)))</f>
        <v>No Coupon</v>
      </c>
      <c r="M1030" s="2" t="str">
        <f aca="false">PROPER(TRIM(Raw_Data!M1030))</f>
        <v>Instagram</v>
      </c>
      <c r="N1030" s="4" t="n">
        <f aca="false">ROUND(E1030*F1030,2)</f>
        <v>1761.24</v>
      </c>
      <c r="O1030" s="2" t="str">
        <f aca="false">IF(COUNTIF($A$2:$A$1201,A1030)&gt;1,"DUPLICATE","Unique")</f>
        <v>Unique</v>
      </c>
      <c r="P1030" s="2" t="str">
        <f aca="false">IF(L1030="","MISSING","OK")</f>
        <v>OK</v>
      </c>
      <c r="Q1030" s="2" t="str">
        <f aca="false">IF(ISNUMBER(B1030),"OK","BAD DATE")</f>
        <v>OK</v>
      </c>
      <c r="R1030" s="2" t="str">
        <f aca="false">IF(ROUND(F1030,2)=F1030,"OK","FIX")</f>
        <v>OK</v>
      </c>
    </row>
    <row r="1031" customFormat="false" ht="15" hidden="false" customHeight="false" outlineLevel="0" collapsed="false">
      <c r="A1031" s="2" t="str">
        <f aca="false">TRIM(UPPER(Raw_Data!A1031))</f>
        <v>ORD201029</v>
      </c>
      <c r="B1031" s="3" t="n">
        <f aca="false">IF(ISNUMBER(Raw_Data!B1031),Raw_Data!B1031,DATEVALUE(Raw_Data!B1031))</f>
        <v>45717</v>
      </c>
      <c r="C1031" s="2" t="str">
        <f aca="false">TRIM(UPPER(Raw_Data!C1031))</f>
        <v>C44733</v>
      </c>
      <c r="D1031" s="2" t="str">
        <f aca="false">PROPER(TRIM(Raw_Data!D1031))</f>
        <v>Desk</v>
      </c>
      <c r="E1031" s="2" t="n">
        <f aca="false">Raw_Data!E1031</f>
        <v>1</v>
      </c>
      <c r="F1031" s="4" t="n">
        <f aca="false">ROUND(Raw_Data!F1031,2)</f>
        <v>87.06</v>
      </c>
      <c r="G1031" s="2" t="str">
        <f aca="false">PROPER(TRIM(Raw_Data!G1031))</f>
        <v>851 Main St</v>
      </c>
      <c r="H1031" s="2" t="str">
        <f aca="false">PROPER(TRIM(Raw_Data!H1031))</f>
        <v>Credit Card</v>
      </c>
      <c r="I1031" s="2" t="str">
        <f aca="false">PROPER(TRIM(Raw_Data!I1031))</f>
        <v>Shipped</v>
      </c>
      <c r="J1031" s="2" t="str">
        <f aca="false">TRIM(UPPER(Raw_Data!J1031))</f>
        <v>TRK41500198</v>
      </c>
      <c r="K1031" s="2" t="n">
        <f aca="false">Raw_Data!K1031</f>
        <v>4</v>
      </c>
      <c r="L1031" s="2" t="str">
        <f aca="false">IF(TRIM(Raw_Data!L1031)="","No Coupon",TRIM(UPPER(Raw_Data!L1031)))</f>
        <v>FREESHIP</v>
      </c>
      <c r="M1031" s="2" t="str">
        <f aca="false">PROPER(TRIM(Raw_Data!M1031))</f>
        <v>Email</v>
      </c>
      <c r="N1031" s="4" t="n">
        <f aca="false">ROUND(E1031*F1031,2)</f>
        <v>87.06</v>
      </c>
      <c r="O1031" s="2" t="str">
        <f aca="false">IF(COUNTIF($A$2:$A$1201,A1031)&gt;1,"DUPLICATE","Unique")</f>
        <v>Unique</v>
      </c>
      <c r="P1031" s="2" t="str">
        <f aca="false">IF(L1031="","MISSING","OK")</f>
        <v>OK</v>
      </c>
      <c r="Q1031" s="2" t="str">
        <f aca="false">IF(ISNUMBER(B1031),"OK","BAD DATE")</f>
        <v>OK</v>
      </c>
      <c r="R1031" s="2" t="str">
        <f aca="false">IF(ROUND(F1031,2)=F1031,"OK","FIX")</f>
        <v>OK</v>
      </c>
    </row>
    <row r="1032" customFormat="false" ht="15" hidden="false" customHeight="false" outlineLevel="0" collapsed="false">
      <c r="A1032" s="2" t="str">
        <f aca="false">TRIM(UPPER(Raw_Data!A1032))</f>
        <v>ORD201030</v>
      </c>
      <c r="B1032" s="3" t="n">
        <f aca="false">IF(ISNUMBER(Raw_Data!B1032),Raw_Data!B1032,DATEVALUE(Raw_Data!B1032))</f>
        <v>45201</v>
      </c>
      <c r="C1032" s="2" t="str">
        <f aca="false">TRIM(UPPER(Raw_Data!C1032))</f>
        <v>C61773</v>
      </c>
      <c r="D1032" s="2" t="str">
        <f aca="false">PROPER(TRIM(Raw_Data!D1032))</f>
        <v>Phone</v>
      </c>
      <c r="E1032" s="2" t="n">
        <f aca="false">Raw_Data!E1032</f>
        <v>4</v>
      </c>
      <c r="F1032" s="4" t="n">
        <f aca="false">ROUND(Raw_Data!F1032,2)</f>
        <v>245.28</v>
      </c>
      <c r="G1032" s="2" t="str">
        <f aca="false">PROPER(TRIM(Raw_Data!G1032))</f>
        <v>176 Main St</v>
      </c>
      <c r="H1032" s="2" t="str">
        <f aca="false">PROPER(TRIM(Raw_Data!H1032))</f>
        <v>Credit Card</v>
      </c>
      <c r="I1032" s="2" t="str">
        <f aca="false">PROPER(TRIM(Raw_Data!I1032))</f>
        <v>Delivered</v>
      </c>
      <c r="J1032" s="2" t="str">
        <f aca="false">TRIM(UPPER(Raw_Data!J1032))</f>
        <v>TRK12936357</v>
      </c>
      <c r="K1032" s="2" t="n">
        <f aca="false">Raw_Data!K1032</f>
        <v>6</v>
      </c>
      <c r="L1032" s="2" t="str">
        <f aca="false">IF(TRIM(Raw_Data!L1032)="","No Coupon",TRIM(UPPER(Raw_Data!L1032)))</f>
        <v>WINTER15</v>
      </c>
      <c r="M1032" s="2" t="str">
        <f aca="false">PROPER(TRIM(Raw_Data!M1032))</f>
        <v>Email</v>
      </c>
      <c r="N1032" s="4" t="n">
        <f aca="false">ROUND(E1032*F1032,2)</f>
        <v>981.12</v>
      </c>
      <c r="O1032" s="2" t="str">
        <f aca="false">IF(COUNTIF($A$2:$A$1201,A1032)&gt;1,"DUPLICATE","Unique")</f>
        <v>Unique</v>
      </c>
      <c r="P1032" s="2" t="str">
        <f aca="false">IF(L1032="","MISSING","OK")</f>
        <v>OK</v>
      </c>
      <c r="Q1032" s="2" t="str">
        <f aca="false">IF(ISNUMBER(B1032),"OK","BAD DATE")</f>
        <v>OK</v>
      </c>
      <c r="R1032" s="2" t="str">
        <f aca="false">IF(ROUND(F1032,2)=F1032,"OK","FIX")</f>
        <v>OK</v>
      </c>
    </row>
    <row r="1033" customFormat="false" ht="15" hidden="false" customHeight="false" outlineLevel="0" collapsed="false">
      <c r="A1033" s="2" t="str">
        <f aca="false">TRIM(UPPER(Raw_Data!A1033))</f>
        <v>ORD201031</v>
      </c>
      <c r="B1033" s="3" t="n">
        <f aca="false">IF(ISNUMBER(Raw_Data!B1033),Raw_Data!B1033,DATEVALUE(Raw_Data!B1033))</f>
        <v>44985</v>
      </c>
      <c r="C1033" s="2" t="str">
        <f aca="false">TRIM(UPPER(Raw_Data!C1033))</f>
        <v>C59183</v>
      </c>
      <c r="D1033" s="2" t="str">
        <f aca="false">PROPER(TRIM(Raw_Data!D1033))</f>
        <v>Phone</v>
      </c>
      <c r="E1033" s="2" t="n">
        <f aca="false">Raw_Data!E1033</f>
        <v>5</v>
      </c>
      <c r="F1033" s="4" t="n">
        <f aca="false">ROUND(Raw_Data!F1033,2)</f>
        <v>664.51</v>
      </c>
      <c r="G1033" s="2" t="str">
        <f aca="false">PROPER(TRIM(Raw_Data!G1033))</f>
        <v>136 Main St</v>
      </c>
      <c r="H1033" s="2" t="str">
        <f aca="false">PROPER(TRIM(Raw_Data!H1033))</f>
        <v>Debit Card</v>
      </c>
      <c r="I1033" s="2" t="str">
        <f aca="false">PROPER(TRIM(Raw_Data!I1033))</f>
        <v>Pending</v>
      </c>
      <c r="J1033" s="2" t="str">
        <f aca="false">TRIM(UPPER(Raw_Data!J1033))</f>
        <v>TRK18129706</v>
      </c>
      <c r="K1033" s="2" t="n">
        <f aca="false">Raw_Data!K1033</f>
        <v>8</v>
      </c>
      <c r="L1033" s="2" t="str">
        <f aca="false">IF(TRIM(Raw_Data!L1033)="","No Coupon",TRIM(UPPER(Raw_Data!L1033)))</f>
        <v>SAVE10</v>
      </c>
      <c r="M1033" s="2" t="str">
        <f aca="false">PROPER(TRIM(Raw_Data!M1033))</f>
        <v>Email</v>
      </c>
      <c r="N1033" s="4" t="n">
        <f aca="false">ROUND(E1033*F1033,2)</f>
        <v>3322.55</v>
      </c>
      <c r="O1033" s="2" t="str">
        <f aca="false">IF(COUNTIF($A$2:$A$1201,A1033)&gt;1,"DUPLICATE","Unique")</f>
        <v>Unique</v>
      </c>
      <c r="P1033" s="2" t="str">
        <f aca="false">IF(L1033="","MISSING","OK")</f>
        <v>OK</v>
      </c>
      <c r="Q1033" s="2" t="str">
        <f aca="false">IF(ISNUMBER(B1033),"OK","BAD DATE")</f>
        <v>OK</v>
      </c>
      <c r="R1033" s="2" t="str">
        <f aca="false">IF(ROUND(F1033,2)=F1033,"OK","FIX")</f>
        <v>OK</v>
      </c>
    </row>
    <row r="1034" customFormat="false" ht="15" hidden="false" customHeight="false" outlineLevel="0" collapsed="false">
      <c r="A1034" s="2" t="str">
        <f aca="false">TRIM(UPPER(Raw_Data!A1034))</f>
        <v>ORD201032</v>
      </c>
      <c r="B1034" s="3" t="n">
        <f aca="false">IF(ISNUMBER(Raw_Data!B1034),Raw_Data!B1034,DATEVALUE(Raw_Data!B1034))</f>
        <v>45036</v>
      </c>
      <c r="C1034" s="2" t="str">
        <f aca="false">TRIM(UPPER(Raw_Data!C1034))</f>
        <v>C26188</v>
      </c>
      <c r="D1034" s="2" t="str">
        <f aca="false">PROPER(TRIM(Raw_Data!D1034))</f>
        <v>Chair</v>
      </c>
      <c r="E1034" s="2" t="n">
        <f aca="false">Raw_Data!E1034</f>
        <v>1</v>
      </c>
      <c r="F1034" s="4" t="n">
        <f aca="false">ROUND(Raw_Data!F1034,2)</f>
        <v>618.68</v>
      </c>
      <c r="G1034" s="2" t="str">
        <f aca="false">PROPER(TRIM(Raw_Data!G1034))</f>
        <v>990 Main St</v>
      </c>
      <c r="H1034" s="2" t="str">
        <f aca="false">PROPER(TRIM(Raw_Data!H1034))</f>
        <v>Online</v>
      </c>
      <c r="I1034" s="2" t="str">
        <f aca="false">PROPER(TRIM(Raw_Data!I1034))</f>
        <v>Delivered</v>
      </c>
      <c r="J1034" s="2" t="str">
        <f aca="false">TRIM(UPPER(Raw_Data!J1034))</f>
        <v>TRK61634201</v>
      </c>
      <c r="K1034" s="2" t="n">
        <f aca="false">Raw_Data!K1034</f>
        <v>6</v>
      </c>
      <c r="L1034" s="2" t="str">
        <f aca="false">IF(TRIM(Raw_Data!L1034)="","No Coupon",TRIM(UPPER(Raw_Data!L1034)))</f>
        <v>WINTER15</v>
      </c>
      <c r="M1034" s="2" t="str">
        <f aca="false">PROPER(TRIM(Raw_Data!M1034))</f>
        <v>Referral</v>
      </c>
      <c r="N1034" s="4" t="n">
        <f aca="false">ROUND(E1034*F1034,2)</f>
        <v>618.68</v>
      </c>
      <c r="O1034" s="2" t="str">
        <f aca="false">IF(COUNTIF($A$2:$A$1201,A1034)&gt;1,"DUPLICATE","Unique")</f>
        <v>Unique</v>
      </c>
      <c r="P1034" s="2" t="str">
        <f aca="false">IF(L1034="","MISSING","OK")</f>
        <v>OK</v>
      </c>
      <c r="Q1034" s="2" t="str">
        <f aca="false">IF(ISNUMBER(B1034),"OK","BAD DATE")</f>
        <v>OK</v>
      </c>
      <c r="R1034" s="2" t="str">
        <f aca="false">IF(ROUND(F1034,2)=F1034,"OK","FIX")</f>
        <v>OK</v>
      </c>
    </row>
    <row r="1035" customFormat="false" ht="15" hidden="false" customHeight="false" outlineLevel="0" collapsed="false">
      <c r="A1035" s="2" t="str">
        <f aca="false">TRIM(UPPER(Raw_Data!A1035))</f>
        <v>ORD201033</v>
      </c>
      <c r="B1035" s="3" t="n">
        <f aca="false">IF(ISNUMBER(Raw_Data!B1035),Raw_Data!B1035,DATEVALUE(Raw_Data!B1035))</f>
        <v>45650</v>
      </c>
      <c r="C1035" s="2" t="str">
        <f aca="false">TRIM(UPPER(Raw_Data!C1035))</f>
        <v>C20338</v>
      </c>
      <c r="D1035" s="2" t="str">
        <f aca="false">PROPER(TRIM(Raw_Data!D1035))</f>
        <v>Monitor</v>
      </c>
      <c r="E1035" s="2" t="n">
        <f aca="false">Raw_Data!E1035</f>
        <v>1</v>
      </c>
      <c r="F1035" s="4" t="n">
        <f aca="false">ROUND(Raw_Data!F1035,2)</f>
        <v>370.85</v>
      </c>
      <c r="G1035" s="2" t="str">
        <f aca="false">PROPER(TRIM(Raw_Data!G1035))</f>
        <v>331 Main St</v>
      </c>
      <c r="H1035" s="2" t="str">
        <f aca="false">PROPER(TRIM(Raw_Data!H1035))</f>
        <v>Gift Card</v>
      </c>
      <c r="I1035" s="2" t="str">
        <f aca="false">PROPER(TRIM(Raw_Data!I1035))</f>
        <v>Delivered</v>
      </c>
      <c r="J1035" s="2" t="str">
        <f aca="false">TRIM(UPPER(Raw_Data!J1035))</f>
        <v>TRK30654048</v>
      </c>
      <c r="K1035" s="2" t="n">
        <f aca="false">Raw_Data!K1035</f>
        <v>2</v>
      </c>
      <c r="L1035" s="2" t="str">
        <f aca="false">IF(TRIM(Raw_Data!L1035)="","No Coupon",TRIM(UPPER(Raw_Data!L1035)))</f>
        <v>FREESHIP</v>
      </c>
      <c r="M1035" s="2" t="str">
        <f aca="false">PROPER(TRIM(Raw_Data!M1035))</f>
        <v>Referral</v>
      </c>
      <c r="N1035" s="4" t="n">
        <f aca="false">ROUND(E1035*F1035,2)</f>
        <v>370.85</v>
      </c>
      <c r="O1035" s="2" t="str">
        <f aca="false">IF(COUNTIF($A$2:$A$1201,A1035)&gt;1,"DUPLICATE","Unique")</f>
        <v>Unique</v>
      </c>
      <c r="P1035" s="2" t="str">
        <f aca="false">IF(L1035="","MISSING","OK")</f>
        <v>OK</v>
      </c>
      <c r="Q1035" s="2" t="str">
        <f aca="false">IF(ISNUMBER(B1035),"OK","BAD DATE")</f>
        <v>OK</v>
      </c>
      <c r="R1035" s="2" t="str">
        <f aca="false">IF(ROUND(F1035,2)=F1035,"OK","FIX")</f>
        <v>OK</v>
      </c>
    </row>
    <row r="1036" customFormat="false" ht="15" hidden="false" customHeight="false" outlineLevel="0" collapsed="false">
      <c r="A1036" s="2" t="str">
        <f aca="false">TRIM(UPPER(Raw_Data!A1036))</f>
        <v>ORD201034</v>
      </c>
      <c r="B1036" s="3" t="n">
        <f aca="false">IF(ISNUMBER(Raw_Data!B1036),Raw_Data!B1036,DATEVALUE(Raw_Data!B1036))</f>
        <v>45459</v>
      </c>
      <c r="C1036" s="2" t="str">
        <f aca="false">TRIM(UPPER(Raw_Data!C1036))</f>
        <v>C84524</v>
      </c>
      <c r="D1036" s="2" t="str">
        <f aca="false">PROPER(TRIM(Raw_Data!D1036))</f>
        <v>Printer</v>
      </c>
      <c r="E1036" s="2" t="n">
        <f aca="false">Raw_Data!E1036</f>
        <v>4</v>
      </c>
      <c r="F1036" s="4" t="n">
        <f aca="false">ROUND(Raw_Data!F1036,2)</f>
        <v>517.98</v>
      </c>
      <c r="G1036" s="2" t="str">
        <f aca="false">PROPER(TRIM(Raw_Data!G1036))</f>
        <v>766 Main St</v>
      </c>
      <c r="H1036" s="2" t="str">
        <f aca="false">PROPER(TRIM(Raw_Data!H1036))</f>
        <v>Cash</v>
      </c>
      <c r="I1036" s="2" t="str">
        <f aca="false">PROPER(TRIM(Raw_Data!I1036))</f>
        <v>Cancelled</v>
      </c>
      <c r="J1036" s="2" t="str">
        <f aca="false">TRIM(UPPER(Raw_Data!J1036))</f>
        <v>TRK76751888</v>
      </c>
      <c r="K1036" s="2" t="n">
        <f aca="false">Raw_Data!K1036</f>
        <v>8</v>
      </c>
      <c r="L1036" s="2" t="str">
        <f aca="false">IF(TRIM(Raw_Data!L1036)="","No Coupon",TRIM(UPPER(Raw_Data!L1036)))</f>
        <v>FREESHIP</v>
      </c>
      <c r="M1036" s="2" t="str">
        <f aca="false">PROPER(TRIM(Raw_Data!M1036))</f>
        <v>Facebook</v>
      </c>
      <c r="N1036" s="4" t="n">
        <f aca="false">ROUND(E1036*F1036,2)</f>
        <v>2071.92</v>
      </c>
      <c r="O1036" s="2" t="str">
        <f aca="false">IF(COUNTIF($A$2:$A$1201,A1036)&gt;1,"DUPLICATE","Unique")</f>
        <v>Unique</v>
      </c>
      <c r="P1036" s="2" t="str">
        <f aca="false">IF(L1036="","MISSING","OK")</f>
        <v>OK</v>
      </c>
      <c r="Q1036" s="2" t="str">
        <f aca="false">IF(ISNUMBER(B1036),"OK","BAD DATE")</f>
        <v>OK</v>
      </c>
      <c r="R1036" s="2" t="str">
        <f aca="false">IF(ROUND(F1036,2)=F1036,"OK","FIX")</f>
        <v>OK</v>
      </c>
    </row>
    <row r="1037" customFormat="false" ht="15" hidden="false" customHeight="false" outlineLevel="0" collapsed="false">
      <c r="A1037" s="2" t="str">
        <f aca="false">TRIM(UPPER(Raw_Data!A1037))</f>
        <v>ORD201035</v>
      </c>
      <c r="B1037" s="3" t="n">
        <f aca="false">IF(ISNUMBER(Raw_Data!B1037),Raw_Data!B1037,DATEVALUE(Raw_Data!B1037))</f>
        <v>45242</v>
      </c>
      <c r="C1037" s="2" t="str">
        <f aca="false">TRIM(UPPER(Raw_Data!C1037))</f>
        <v>C70315</v>
      </c>
      <c r="D1037" s="2" t="str">
        <f aca="false">PROPER(TRIM(Raw_Data!D1037))</f>
        <v>Laptop</v>
      </c>
      <c r="E1037" s="2" t="n">
        <f aca="false">Raw_Data!E1037</f>
        <v>4</v>
      </c>
      <c r="F1037" s="4" t="n">
        <f aca="false">ROUND(Raw_Data!F1037,2)</f>
        <v>506.11</v>
      </c>
      <c r="G1037" s="2" t="str">
        <f aca="false">PROPER(TRIM(Raw_Data!G1037))</f>
        <v>911 Main St</v>
      </c>
      <c r="H1037" s="2" t="str">
        <f aca="false">PROPER(TRIM(Raw_Data!H1037))</f>
        <v>Cash</v>
      </c>
      <c r="I1037" s="2" t="str">
        <f aca="false">PROPER(TRIM(Raw_Data!I1037))</f>
        <v>Cancelled</v>
      </c>
      <c r="J1037" s="2" t="str">
        <f aca="false">TRIM(UPPER(Raw_Data!J1037))</f>
        <v>TRK97732085</v>
      </c>
      <c r="K1037" s="2" t="n">
        <f aca="false">Raw_Data!K1037</f>
        <v>5</v>
      </c>
      <c r="L1037" s="2" t="str">
        <f aca="false">IF(TRIM(Raw_Data!L1037)="","No Coupon",TRIM(UPPER(Raw_Data!L1037)))</f>
        <v>No Coupon</v>
      </c>
      <c r="M1037" s="2" t="str">
        <f aca="false">PROPER(TRIM(Raw_Data!M1037))</f>
        <v>Referral</v>
      </c>
      <c r="N1037" s="4" t="n">
        <f aca="false">ROUND(E1037*F1037,2)</f>
        <v>2024.44</v>
      </c>
      <c r="O1037" s="2" t="str">
        <f aca="false">IF(COUNTIF($A$2:$A$1201,A1037)&gt;1,"DUPLICATE","Unique")</f>
        <v>Unique</v>
      </c>
      <c r="P1037" s="2" t="str">
        <f aca="false">IF(L1037="","MISSING","OK")</f>
        <v>OK</v>
      </c>
      <c r="Q1037" s="2" t="str">
        <f aca="false">IF(ISNUMBER(B1037),"OK","BAD DATE")</f>
        <v>OK</v>
      </c>
      <c r="R1037" s="2" t="str">
        <f aca="false">IF(ROUND(F1037,2)=F1037,"OK","FIX")</f>
        <v>OK</v>
      </c>
    </row>
    <row r="1038" customFormat="false" ht="15" hidden="false" customHeight="false" outlineLevel="0" collapsed="false">
      <c r="A1038" s="2" t="str">
        <f aca="false">TRIM(UPPER(Raw_Data!A1038))</f>
        <v>ORD201036</v>
      </c>
      <c r="B1038" s="3" t="n">
        <f aca="false">IF(ISNUMBER(Raw_Data!B1038),Raw_Data!B1038,DATEVALUE(Raw_Data!B1038))</f>
        <v>45443</v>
      </c>
      <c r="C1038" s="2" t="str">
        <f aca="false">TRIM(UPPER(Raw_Data!C1038))</f>
        <v>C98278</v>
      </c>
      <c r="D1038" s="2" t="str">
        <f aca="false">PROPER(TRIM(Raw_Data!D1038))</f>
        <v>Phone</v>
      </c>
      <c r="E1038" s="2" t="n">
        <f aca="false">Raw_Data!E1038</f>
        <v>3</v>
      </c>
      <c r="F1038" s="4" t="n">
        <f aca="false">ROUND(Raw_Data!F1038,2)</f>
        <v>413.83</v>
      </c>
      <c r="G1038" s="2" t="str">
        <f aca="false">PROPER(TRIM(Raw_Data!G1038))</f>
        <v>552 Main St</v>
      </c>
      <c r="H1038" s="2" t="str">
        <f aca="false">PROPER(TRIM(Raw_Data!H1038))</f>
        <v>Gift Card</v>
      </c>
      <c r="I1038" s="2" t="str">
        <f aca="false">PROPER(TRIM(Raw_Data!I1038))</f>
        <v>Shipped</v>
      </c>
      <c r="J1038" s="2" t="str">
        <f aca="false">TRIM(UPPER(Raw_Data!J1038))</f>
        <v>TRK49684737</v>
      </c>
      <c r="K1038" s="2" t="n">
        <f aca="false">Raw_Data!K1038</f>
        <v>8</v>
      </c>
      <c r="L1038" s="2" t="str">
        <f aca="false">IF(TRIM(Raw_Data!L1038)="","No Coupon",TRIM(UPPER(Raw_Data!L1038)))</f>
        <v>SAVE10</v>
      </c>
      <c r="M1038" s="2" t="str">
        <f aca="false">PROPER(TRIM(Raw_Data!M1038))</f>
        <v>Facebook</v>
      </c>
      <c r="N1038" s="4" t="n">
        <f aca="false">ROUND(E1038*F1038,2)</f>
        <v>1241.49</v>
      </c>
      <c r="O1038" s="2" t="str">
        <f aca="false">IF(COUNTIF($A$2:$A$1201,A1038)&gt;1,"DUPLICATE","Unique")</f>
        <v>Unique</v>
      </c>
      <c r="P1038" s="2" t="str">
        <f aca="false">IF(L1038="","MISSING","OK")</f>
        <v>OK</v>
      </c>
      <c r="Q1038" s="2" t="str">
        <f aca="false">IF(ISNUMBER(B1038),"OK","BAD DATE")</f>
        <v>OK</v>
      </c>
      <c r="R1038" s="2" t="str">
        <f aca="false">IF(ROUND(F1038,2)=F1038,"OK","FIX")</f>
        <v>OK</v>
      </c>
    </row>
    <row r="1039" customFormat="false" ht="15" hidden="false" customHeight="false" outlineLevel="0" collapsed="false">
      <c r="A1039" s="2" t="str">
        <f aca="false">TRIM(UPPER(Raw_Data!A1039))</f>
        <v>ORD201037</v>
      </c>
      <c r="B1039" s="3" t="n">
        <f aca="false">IF(ISNUMBER(Raw_Data!B1039),Raw_Data!B1039,DATEVALUE(Raw_Data!B1039))</f>
        <v>45273</v>
      </c>
      <c r="C1039" s="2" t="str">
        <f aca="false">TRIM(UPPER(Raw_Data!C1039))</f>
        <v>C32347</v>
      </c>
      <c r="D1039" s="2" t="str">
        <f aca="false">PROPER(TRIM(Raw_Data!D1039))</f>
        <v>Printer</v>
      </c>
      <c r="E1039" s="2" t="n">
        <f aca="false">Raw_Data!E1039</f>
        <v>1</v>
      </c>
      <c r="F1039" s="4" t="n">
        <f aca="false">ROUND(Raw_Data!F1039,2)</f>
        <v>249.81</v>
      </c>
      <c r="G1039" s="2" t="str">
        <f aca="false">PROPER(TRIM(Raw_Data!G1039))</f>
        <v>408 Main St</v>
      </c>
      <c r="H1039" s="2" t="str">
        <f aca="false">PROPER(TRIM(Raw_Data!H1039))</f>
        <v>Cash</v>
      </c>
      <c r="I1039" s="2" t="str">
        <f aca="false">PROPER(TRIM(Raw_Data!I1039))</f>
        <v>Pending</v>
      </c>
      <c r="J1039" s="2" t="str">
        <f aca="false">TRIM(UPPER(Raw_Data!J1039))</f>
        <v>TRK54073964</v>
      </c>
      <c r="K1039" s="2" t="n">
        <f aca="false">Raw_Data!K1039</f>
        <v>1</v>
      </c>
      <c r="L1039" s="2" t="str">
        <f aca="false">IF(TRIM(Raw_Data!L1039)="","No Coupon",TRIM(UPPER(Raw_Data!L1039)))</f>
        <v>SAVE10</v>
      </c>
      <c r="M1039" s="2" t="str">
        <f aca="false">PROPER(TRIM(Raw_Data!M1039))</f>
        <v>Google</v>
      </c>
      <c r="N1039" s="4" t="n">
        <f aca="false">ROUND(E1039*F1039,2)</f>
        <v>249.81</v>
      </c>
      <c r="O1039" s="2" t="str">
        <f aca="false">IF(COUNTIF($A$2:$A$1201,A1039)&gt;1,"DUPLICATE","Unique")</f>
        <v>Unique</v>
      </c>
      <c r="P1039" s="2" t="str">
        <f aca="false">IF(L1039="","MISSING","OK")</f>
        <v>OK</v>
      </c>
      <c r="Q1039" s="2" t="str">
        <f aca="false">IF(ISNUMBER(B1039),"OK","BAD DATE")</f>
        <v>OK</v>
      </c>
      <c r="R1039" s="2" t="str">
        <f aca="false">IF(ROUND(F1039,2)=F1039,"OK","FIX")</f>
        <v>OK</v>
      </c>
    </row>
    <row r="1040" customFormat="false" ht="15" hidden="false" customHeight="false" outlineLevel="0" collapsed="false">
      <c r="A1040" s="2" t="str">
        <f aca="false">TRIM(UPPER(Raw_Data!A1040))</f>
        <v>ORD201038</v>
      </c>
      <c r="B1040" s="3" t="n">
        <f aca="false">IF(ISNUMBER(Raw_Data!B1040),Raw_Data!B1040,DATEVALUE(Raw_Data!B1040))</f>
        <v>45731</v>
      </c>
      <c r="C1040" s="2" t="str">
        <f aca="false">TRIM(UPPER(Raw_Data!C1040))</f>
        <v>C77961</v>
      </c>
      <c r="D1040" s="2" t="str">
        <f aca="false">PROPER(TRIM(Raw_Data!D1040))</f>
        <v>Tablet</v>
      </c>
      <c r="E1040" s="2" t="n">
        <f aca="false">Raw_Data!E1040</f>
        <v>3</v>
      </c>
      <c r="F1040" s="4" t="n">
        <f aca="false">ROUND(Raw_Data!F1040,2)</f>
        <v>362.53</v>
      </c>
      <c r="G1040" s="2" t="str">
        <f aca="false">PROPER(TRIM(Raw_Data!G1040))</f>
        <v>422 Main St</v>
      </c>
      <c r="H1040" s="2" t="str">
        <f aca="false">PROPER(TRIM(Raw_Data!H1040))</f>
        <v>Debit Card</v>
      </c>
      <c r="I1040" s="2" t="str">
        <f aca="false">PROPER(TRIM(Raw_Data!I1040))</f>
        <v>Returned</v>
      </c>
      <c r="J1040" s="2" t="str">
        <f aca="false">TRIM(UPPER(Raw_Data!J1040))</f>
        <v>TRK28969024</v>
      </c>
      <c r="K1040" s="2" t="n">
        <f aca="false">Raw_Data!K1040</f>
        <v>5</v>
      </c>
      <c r="L1040" s="2" t="str">
        <f aca="false">IF(TRIM(Raw_Data!L1040)="","No Coupon",TRIM(UPPER(Raw_Data!L1040)))</f>
        <v>No Coupon</v>
      </c>
      <c r="M1040" s="2" t="str">
        <f aca="false">PROPER(TRIM(Raw_Data!M1040))</f>
        <v>Facebook</v>
      </c>
      <c r="N1040" s="4" t="n">
        <f aca="false">ROUND(E1040*F1040,2)</f>
        <v>1087.59</v>
      </c>
      <c r="O1040" s="2" t="str">
        <f aca="false">IF(COUNTIF($A$2:$A$1201,A1040)&gt;1,"DUPLICATE","Unique")</f>
        <v>Unique</v>
      </c>
      <c r="P1040" s="2" t="str">
        <f aca="false">IF(L1040="","MISSING","OK")</f>
        <v>OK</v>
      </c>
      <c r="Q1040" s="2" t="str">
        <f aca="false">IF(ISNUMBER(B1040),"OK","BAD DATE")</f>
        <v>OK</v>
      </c>
      <c r="R1040" s="2" t="str">
        <f aca="false">IF(ROUND(F1040,2)=F1040,"OK","FIX")</f>
        <v>OK</v>
      </c>
    </row>
    <row r="1041" customFormat="false" ht="15" hidden="false" customHeight="false" outlineLevel="0" collapsed="false">
      <c r="A1041" s="2" t="str">
        <f aca="false">TRIM(UPPER(Raw_Data!A1041))</f>
        <v>ORD201039</v>
      </c>
      <c r="B1041" s="3" t="n">
        <f aca="false">IF(ISNUMBER(Raw_Data!B1041),Raw_Data!B1041,DATEVALUE(Raw_Data!B1041))</f>
        <v>45836</v>
      </c>
      <c r="C1041" s="2" t="str">
        <f aca="false">TRIM(UPPER(Raw_Data!C1041))</f>
        <v>C49137</v>
      </c>
      <c r="D1041" s="2" t="str">
        <f aca="false">PROPER(TRIM(Raw_Data!D1041))</f>
        <v>Desk</v>
      </c>
      <c r="E1041" s="2" t="n">
        <f aca="false">Raw_Data!E1041</f>
        <v>2</v>
      </c>
      <c r="F1041" s="4" t="n">
        <f aca="false">ROUND(Raw_Data!F1041,2)</f>
        <v>299.23</v>
      </c>
      <c r="G1041" s="2" t="str">
        <f aca="false">PROPER(TRIM(Raw_Data!G1041))</f>
        <v>177 Main St</v>
      </c>
      <c r="H1041" s="2" t="str">
        <f aca="false">PROPER(TRIM(Raw_Data!H1041))</f>
        <v>Credit Card</v>
      </c>
      <c r="I1041" s="2" t="str">
        <f aca="false">PROPER(TRIM(Raw_Data!I1041))</f>
        <v>Cancelled</v>
      </c>
      <c r="J1041" s="2" t="str">
        <f aca="false">TRIM(UPPER(Raw_Data!J1041))</f>
        <v>TRK79362428</v>
      </c>
      <c r="K1041" s="2" t="n">
        <f aca="false">Raw_Data!K1041</f>
        <v>2</v>
      </c>
      <c r="L1041" s="2" t="str">
        <f aca="false">IF(TRIM(Raw_Data!L1041)="","No Coupon",TRIM(UPPER(Raw_Data!L1041)))</f>
        <v>WINTER15</v>
      </c>
      <c r="M1041" s="2" t="str">
        <f aca="false">PROPER(TRIM(Raw_Data!M1041))</f>
        <v>Instagram</v>
      </c>
      <c r="N1041" s="4" t="n">
        <f aca="false">ROUND(E1041*F1041,2)</f>
        <v>598.46</v>
      </c>
      <c r="O1041" s="2" t="str">
        <f aca="false">IF(COUNTIF($A$2:$A$1201,A1041)&gt;1,"DUPLICATE","Unique")</f>
        <v>Unique</v>
      </c>
      <c r="P1041" s="2" t="str">
        <f aca="false">IF(L1041="","MISSING","OK")</f>
        <v>OK</v>
      </c>
      <c r="Q1041" s="2" t="str">
        <f aca="false">IF(ISNUMBER(B1041),"OK","BAD DATE")</f>
        <v>OK</v>
      </c>
      <c r="R1041" s="2" t="str">
        <f aca="false">IF(ROUND(F1041,2)=F1041,"OK","FIX")</f>
        <v>OK</v>
      </c>
    </row>
    <row r="1042" customFormat="false" ht="15" hidden="false" customHeight="false" outlineLevel="0" collapsed="false">
      <c r="A1042" s="2" t="str">
        <f aca="false">TRIM(UPPER(Raw_Data!A1042))</f>
        <v>ORD201040</v>
      </c>
      <c r="B1042" s="3" t="n">
        <f aca="false">IF(ISNUMBER(Raw_Data!B1042),Raw_Data!B1042,DATEVALUE(Raw_Data!B1042))</f>
        <v>45245</v>
      </c>
      <c r="C1042" s="2" t="str">
        <f aca="false">TRIM(UPPER(Raw_Data!C1042))</f>
        <v>C13169</v>
      </c>
      <c r="D1042" s="2" t="str">
        <f aca="false">PROPER(TRIM(Raw_Data!D1042))</f>
        <v>Tablet</v>
      </c>
      <c r="E1042" s="2" t="n">
        <f aca="false">Raw_Data!E1042</f>
        <v>1</v>
      </c>
      <c r="F1042" s="4" t="n">
        <f aca="false">ROUND(Raw_Data!F1042,2)</f>
        <v>536.07</v>
      </c>
      <c r="G1042" s="2" t="str">
        <f aca="false">PROPER(TRIM(Raw_Data!G1042))</f>
        <v>932 Main St</v>
      </c>
      <c r="H1042" s="2" t="str">
        <f aca="false">PROPER(TRIM(Raw_Data!H1042))</f>
        <v>Debit Card</v>
      </c>
      <c r="I1042" s="2" t="str">
        <f aca="false">PROPER(TRIM(Raw_Data!I1042))</f>
        <v>Delivered</v>
      </c>
      <c r="J1042" s="2" t="str">
        <f aca="false">TRIM(UPPER(Raw_Data!J1042))</f>
        <v>TRK66288666</v>
      </c>
      <c r="K1042" s="2" t="n">
        <f aca="false">Raw_Data!K1042</f>
        <v>5</v>
      </c>
      <c r="L1042" s="2" t="str">
        <f aca="false">IF(TRIM(Raw_Data!L1042)="","No Coupon",TRIM(UPPER(Raw_Data!L1042)))</f>
        <v>FREESHIP</v>
      </c>
      <c r="M1042" s="2" t="str">
        <f aca="false">PROPER(TRIM(Raw_Data!M1042))</f>
        <v>Google</v>
      </c>
      <c r="N1042" s="4" t="n">
        <f aca="false">ROUND(E1042*F1042,2)</f>
        <v>536.07</v>
      </c>
      <c r="O1042" s="2" t="str">
        <f aca="false">IF(COUNTIF($A$2:$A$1201,A1042)&gt;1,"DUPLICATE","Unique")</f>
        <v>Unique</v>
      </c>
      <c r="P1042" s="2" t="str">
        <f aca="false">IF(L1042="","MISSING","OK")</f>
        <v>OK</v>
      </c>
      <c r="Q1042" s="2" t="str">
        <f aca="false">IF(ISNUMBER(B1042),"OK","BAD DATE")</f>
        <v>OK</v>
      </c>
      <c r="R1042" s="2" t="str">
        <f aca="false">IF(ROUND(F1042,2)=F1042,"OK","FIX")</f>
        <v>OK</v>
      </c>
    </row>
    <row r="1043" customFormat="false" ht="15" hidden="false" customHeight="false" outlineLevel="0" collapsed="false">
      <c r="A1043" s="2" t="str">
        <f aca="false">TRIM(UPPER(Raw_Data!A1043))</f>
        <v>ORD201041</v>
      </c>
      <c r="B1043" s="3" t="n">
        <f aca="false">IF(ISNUMBER(Raw_Data!B1043),Raw_Data!B1043,DATEVALUE(Raw_Data!B1043))</f>
        <v>44968</v>
      </c>
      <c r="C1043" s="2" t="str">
        <f aca="false">TRIM(UPPER(Raw_Data!C1043))</f>
        <v>C21167</v>
      </c>
      <c r="D1043" s="2" t="str">
        <f aca="false">PROPER(TRIM(Raw_Data!D1043))</f>
        <v>Monitor</v>
      </c>
      <c r="E1043" s="2" t="n">
        <f aca="false">Raw_Data!E1043</f>
        <v>4</v>
      </c>
      <c r="F1043" s="4" t="n">
        <f aca="false">ROUND(Raw_Data!F1043,2)</f>
        <v>558.9</v>
      </c>
      <c r="G1043" s="2" t="str">
        <f aca="false">PROPER(TRIM(Raw_Data!G1043))</f>
        <v>948 Main St</v>
      </c>
      <c r="H1043" s="2" t="str">
        <f aca="false">PROPER(TRIM(Raw_Data!H1043))</f>
        <v>Gift Card</v>
      </c>
      <c r="I1043" s="2" t="str">
        <f aca="false">PROPER(TRIM(Raw_Data!I1043))</f>
        <v>Shipped</v>
      </c>
      <c r="J1043" s="2" t="str">
        <f aca="false">TRIM(UPPER(Raw_Data!J1043))</f>
        <v>TRK97737564</v>
      </c>
      <c r="K1043" s="2" t="n">
        <f aca="false">Raw_Data!K1043</f>
        <v>9</v>
      </c>
      <c r="L1043" s="2" t="str">
        <f aca="false">IF(TRIM(Raw_Data!L1043)="","No Coupon",TRIM(UPPER(Raw_Data!L1043)))</f>
        <v>WINTER15</v>
      </c>
      <c r="M1043" s="2" t="str">
        <f aca="false">PROPER(TRIM(Raw_Data!M1043))</f>
        <v>Google</v>
      </c>
      <c r="N1043" s="4" t="n">
        <f aca="false">ROUND(E1043*F1043,2)</f>
        <v>2235.6</v>
      </c>
      <c r="O1043" s="2" t="str">
        <f aca="false">IF(COUNTIF($A$2:$A$1201,A1043)&gt;1,"DUPLICATE","Unique")</f>
        <v>Unique</v>
      </c>
      <c r="P1043" s="2" t="str">
        <f aca="false">IF(L1043="","MISSING","OK")</f>
        <v>OK</v>
      </c>
      <c r="Q1043" s="2" t="str">
        <f aca="false">IF(ISNUMBER(B1043),"OK","BAD DATE")</f>
        <v>OK</v>
      </c>
      <c r="R1043" s="2" t="str">
        <f aca="false">IF(ROUND(F1043,2)=F1043,"OK","FIX")</f>
        <v>OK</v>
      </c>
    </row>
    <row r="1044" customFormat="false" ht="15" hidden="false" customHeight="false" outlineLevel="0" collapsed="false">
      <c r="A1044" s="2" t="str">
        <f aca="false">TRIM(UPPER(Raw_Data!A1044))</f>
        <v>ORD201042</v>
      </c>
      <c r="B1044" s="3" t="n">
        <f aca="false">IF(ISNUMBER(Raw_Data!B1044),Raw_Data!B1044,DATEVALUE(Raw_Data!B1044))</f>
        <v>45635</v>
      </c>
      <c r="C1044" s="2" t="str">
        <f aca="false">TRIM(UPPER(Raw_Data!C1044))</f>
        <v>C59724</v>
      </c>
      <c r="D1044" s="2" t="str">
        <f aca="false">PROPER(TRIM(Raw_Data!D1044))</f>
        <v>Tablet</v>
      </c>
      <c r="E1044" s="2" t="n">
        <f aca="false">Raw_Data!E1044</f>
        <v>2</v>
      </c>
      <c r="F1044" s="4" t="n">
        <f aca="false">ROUND(Raw_Data!F1044,2)</f>
        <v>409.75</v>
      </c>
      <c r="G1044" s="2" t="str">
        <f aca="false">PROPER(TRIM(Raw_Data!G1044))</f>
        <v>414 Main St</v>
      </c>
      <c r="H1044" s="2" t="str">
        <f aca="false">PROPER(TRIM(Raw_Data!H1044))</f>
        <v>Debit Card</v>
      </c>
      <c r="I1044" s="2" t="str">
        <f aca="false">PROPER(TRIM(Raw_Data!I1044))</f>
        <v>Shipped</v>
      </c>
      <c r="J1044" s="2" t="str">
        <f aca="false">TRIM(UPPER(Raw_Data!J1044))</f>
        <v>TRK67878272</v>
      </c>
      <c r="K1044" s="2" t="n">
        <f aca="false">Raw_Data!K1044</f>
        <v>2</v>
      </c>
      <c r="L1044" s="2" t="str">
        <f aca="false">IF(TRIM(Raw_Data!L1044)="","No Coupon",TRIM(UPPER(Raw_Data!L1044)))</f>
        <v>WINTER15</v>
      </c>
      <c r="M1044" s="2" t="str">
        <f aca="false">PROPER(TRIM(Raw_Data!M1044))</f>
        <v>Facebook</v>
      </c>
      <c r="N1044" s="4" t="n">
        <f aca="false">ROUND(E1044*F1044,2)</f>
        <v>819.5</v>
      </c>
      <c r="O1044" s="2" t="str">
        <f aca="false">IF(COUNTIF($A$2:$A$1201,A1044)&gt;1,"DUPLICATE","Unique")</f>
        <v>Unique</v>
      </c>
      <c r="P1044" s="2" t="str">
        <f aca="false">IF(L1044="","MISSING","OK")</f>
        <v>OK</v>
      </c>
      <c r="Q1044" s="2" t="str">
        <f aca="false">IF(ISNUMBER(B1044),"OK","BAD DATE")</f>
        <v>OK</v>
      </c>
      <c r="R1044" s="2" t="str">
        <f aca="false">IF(ROUND(F1044,2)=F1044,"OK","FIX")</f>
        <v>OK</v>
      </c>
    </row>
    <row r="1045" customFormat="false" ht="15" hidden="false" customHeight="false" outlineLevel="0" collapsed="false">
      <c r="A1045" s="2" t="str">
        <f aca="false">TRIM(UPPER(Raw_Data!A1045))</f>
        <v>ORD201043</v>
      </c>
      <c r="B1045" s="3" t="n">
        <f aca="false">IF(ISNUMBER(Raw_Data!B1045),Raw_Data!B1045,DATEVALUE(Raw_Data!B1045))</f>
        <v>45668</v>
      </c>
      <c r="C1045" s="2" t="str">
        <f aca="false">TRIM(UPPER(Raw_Data!C1045))</f>
        <v>C43965</v>
      </c>
      <c r="D1045" s="2" t="str">
        <f aca="false">PROPER(TRIM(Raw_Data!D1045))</f>
        <v>Tablet</v>
      </c>
      <c r="E1045" s="2" t="n">
        <f aca="false">Raw_Data!E1045</f>
        <v>2</v>
      </c>
      <c r="F1045" s="4" t="n">
        <f aca="false">ROUND(Raw_Data!F1045,2)</f>
        <v>179.96</v>
      </c>
      <c r="G1045" s="2" t="str">
        <f aca="false">PROPER(TRIM(Raw_Data!G1045))</f>
        <v>675 Main St</v>
      </c>
      <c r="H1045" s="2" t="str">
        <f aca="false">PROPER(TRIM(Raw_Data!H1045))</f>
        <v>Gift Card</v>
      </c>
      <c r="I1045" s="2" t="str">
        <f aca="false">PROPER(TRIM(Raw_Data!I1045))</f>
        <v>Shipped</v>
      </c>
      <c r="J1045" s="2" t="str">
        <f aca="false">TRIM(UPPER(Raw_Data!J1045))</f>
        <v>TRK94346739</v>
      </c>
      <c r="K1045" s="2" t="n">
        <f aca="false">Raw_Data!K1045</f>
        <v>5</v>
      </c>
      <c r="L1045" s="2" t="str">
        <f aca="false">IF(TRIM(Raw_Data!L1045)="","No Coupon",TRIM(UPPER(Raw_Data!L1045)))</f>
        <v>No Coupon</v>
      </c>
      <c r="M1045" s="2" t="str">
        <f aca="false">PROPER(TRIM(Raw_Data!M1045))</f>
        <v>Instagram</v>
      </c>
      <c r="N1045" s="4" t="n">
        <f aca="false">ROUND(E1045*F1045,2)</f>
        <v>359.92</v>
      </c>
      <c r="O1045" s="2" t="str">
        <f aca="false">IF(COUNTIF($A$2:$A$1201,A1045)&gt;1,"DUPLICATE","Unique")</f>
        <v>Unique</v>
      </c>
      <c r="P1045" s="2" t="str">
        <f aca="false">IF(L1045="","MISSING","OK")</f>
        <v>OK</v>
      </c>
      <c r="Q1045" s="2" t="str">
        <f aca="false">IF(ISNUMBER(B1045),"OK","BAD DATE")</f>
        <v>OK</v>
      </c>
      <c r="R1045" s="2" t="str">
        <f aca="false">IF(ROUND(F1045,2)=F1045,"OK","FIX")</f>
        <v>OK</v>
      </c>
    </row>
    <row r="1046" customFormat="false" ht="15" hidden="false" customHeight="false" outlineLevel="0" collapsed="false">
      <c r="A1046" s="2" t="str">
        <f aca="false">TRIM(UPPER(Raw_Data!A1046))</f>
        <v>ORD201044</v>
      </c>
      <c r="B1046" s="3" t="n">
        <f aca="false">IF(ISNUMBER(Raw_Data!B1046),Raw_Data!B1046,DATEVALUE(Raw_Data!B1046))</f>
        <v>45830</v>
      </c>
      <c r="C1046" s="2" t="str">
        <f aca="false">TRIM(UPPER(Raw_Data!C1046))</f>
        <v>C63018</v>
      </c>
      <c r="D1046" s="2" t="str">
        <f aca="false">PROPER(TRIM(Raw_Data!D1046))</f>
        <v>Printer</v>
      </c>
      <c r="E1046" s="2" t="n">
        <f aca="false">Raw_Data!E1046</f>
        <v>1</v>
      </c>
      <c r="F1046" s="4" t="n">
        <f aca="false">ROUND(Raw_Data!F1046,2)</f>
        <v>38.49</v>
      </c>
      <c r="G1046" s="2" t="str">
        <f aca="false">PROPER(TRIM(Raw_Data!G1046))</f>
        <v>215 Main St</v>
      </c>
      <c r="H1046" s="2" t="str">
        <f aca="false">PROPER(TRIM(Raw_Data!H1046))</f>
        <v>Credit Card</v>
      </c>
      <c r="I1046" s="2" t="str">
        <f aca="false">PROPER(TRIM(Raw_Data!I1046))</f>
        <v>Delivered</v>
      </c>
      <c r="J1046" s="2" t="str">
        <f aca="false">TRIM(UPPER(Raw_Data!J1046))</f>
        <v>TRK52335337</v>
      </c>
      <c r="K1046" s="2" t="n">
        <f aca="false">Raw_Data!K1046</f>
        <v>4</v>
      </c>
      <c r="L1046" s="2" t="str">
        <f aca="false">IF(TRIM(Raw_Data!L1046)="","No Coupon",TRIM(UPPER(Raw_Data!L1046)))</f>
        <v>FREESHIP</v>
      </c>
      <c r="M1046" s="2" t="str">
        <f aca="false">PROPER(TRIM(Raw_Data!M1046))</f>
        <v>Referral</v>
      </c>
      <c r="N1046" s="4" t="n">
        <f aca="false">ROUND(E1046*F1046,2)</f>
        <v>38.49</v>
      </c>
      <c r="O1046" s="2" t="str">
        <f aca="false">IF(COUNTIF($A$2:$A$1201,A1046)&gt;1,"DUPLICATE","Unique")</f>
        <v>Unique</v>
      </c>
      <c r="P1046" s="2" t="str">
        <f aca="false">IF(L1046="","MISSING","OK")</f>
        <v>OK</v>
      </c>
      <c r="Q1046" s="2" t="str">
        <f aca="false">IF(ISNUMBER(B1046),"OK","BAD DATE")</f>
        <v>OK</v>
      </c>
      <c r="R1046" s="2" t="str">
        <f aca="false">IF(ROUND(F1046,2)=F1046,"OK","FIX")</f>
        <v>OK</v>
      </c>
    </row>
    <row r="1047" customFormat="false" ht="15" hidden="false" customHeight="false" outlineLevel="0" collapsed="false">
      <c r="A1047" s="2" t="str">
        <f aca="false">TRIM(UPPER(Raw_Data!A1047))</f>
        <v>ORD201045</v>
      </c>
      <c r="B1047" s="3" t="n">
        <f aca="false">IF(ISNUMBER(Raw_Data!B1047),Raw_Data!B1047,DATEVALUE(Raw_Data!B1047))</f>
        <v>45555</v>
      </c>
      <c r="C1047" s="2" t="str">
        <f aca="false">TRIM(UPPER(Raw_Data!C1047))</f>
        <v>C11893</v>
      </c>
      <c r="D1047" s="2" t="str">
        <f aca="false">PROPER(TRIM(Raw_Data!D1047))</f>
        <v>Laptop</v>
      </c>
      <c r="E1047" s="2" t="n">
        <f aca="false">Raw_Data!E1047</f>
        <v>5</v>
      </c>
      <c r="F1047" s="4" t="n">
        <f aca="false">ROUND(Raw_Data!F1047,2)</f>
        <v>316.4</v>
      </c>
      <c r="G1047" s="2" t="str">
        <f aca="false">PROPER(TRIM(Raw_Data!G1047))</f>
        <v>671 Main St</v>
      </c>
      <c r="H1047" s="2" t="str">
        <f aca="false">PROPER(TRIM(Raw_Data!H1047))</f>
        <v>Gift Card</v>
      </c>
      <c r="I1047" s="2" t="str">
        <f aca="false">PROPER(TRIM(Raw_Data!I1047))</f>
        <v>Returned</v>
      </c>
      <c r="J1047" s="2" t="str">
        <f aca="false">TRIM(UPPER(Raw_Data!J1047))</f>
        <v>TRK72012758</v>
      </c>
      <c r="K1047" s="2" t="n">
        <f aca="false">Raw_Data!K1047</f>
        <v>7</v>
      </c>
      <c r="L1047" s="2" t="str">
        <f aca="false">IF(TRIM(Raw_Data!L1047)="","No Coupon",TRIM(UPPER(Raw_Data!L1047)))</f>
        <v>No Coupon</v>
      </c>
      <c r="M1047" s="2" t="str">
        <f aca="false">PROPER(TRIM(Raw_Data!M1047))</f>
        <v>Email</v>
      </c>
      <c r="N1047" s="4" t="n">
        <f aca="false">ROUND(E1047*F1047,2)</f>
        <v>1582</v>
      </c>
      <c r="O1047" s="2" t="str">
        <f aca="false">IF(COUNTIF($A$2:$A$1201,A1047)&gt;1,"DUPLICATE","Unique")</f>
        <v>Unique</v>
      </c>
      <c r="P1047" s="2" t="str">
        <f aca="false">IF(L1047="","MISSING","OK")</f>
        <v>OK</v>
      </c>
      <c r="Q1047" s="2" t="str">
        <f aca="false">IF(ISNUMBER(B1047),"OK","BAD DATE")</f>
        <v>OK</v>
      </c>
      <c r="R1047" s="2" t="str">
        <f aca="false">IF(ROUND(F1047,2)=F1047,"OK","FIX")</f>
        <v>OK</v>
      </c>
    </row>
    <row r="1048" customFormat="false" ht="15" hidden="false" customHeight="false" outlineLevel="0" collapsed="false">
      <c r="A1048" s="2" t="str">
        <f aca="false">TRIM(UPPER(Raw_Data!A1048))</f>
        <v>ORD201046</v>
      </c>
      <c r="B1048" s="3" t="n">
        <f aca="false">IF(ISNUMBER(Raw_Data!B1048),Raw_Data!B1048,DATEVALUE(Raw_Data!B1048))</f>
        <v>45572</v>
      </c>
      <c r="C1048" s="2" t="str">
        <f aca="false">TRIM(UPPER(Raw_Data!C1048))</f>
        <v>C85421</v>
      </c>
      <c r="D1048" s="2" t="str">
        <f aca="false">PROPER(TRIM(Raw_Data!D1048))</f>
        <v>Tablet</v>
      </c>
      <c r="E1048" s="2" t="n">
        <f aca="false">Raw_Data!E1048</f>
        <v>3</v>
      </c>
      <c r="F1048" s="4" t="n">
        <f aca="false">ROUND(Raw_Data!F1048,2)</f>
        <v>547.15</v>
      </c>
      <c r="G1048" s="2" t="str">
        <f aca="false">PROPER(TRIM(Raw_Data!G1048))</f>
        <v>466 Main St</v>
      </c>
      <c r="H1048" s="2" t="str">
        <f aca="false">PROPER(TRIM(Raw_Data!H1048))</f>
        <v>Online</v>
      </c>
      <c r="I1048" s="2" t="str">
        <f aca="false">PROPER(TRIM(Raw_Data!I1048))</f>
        <v>Shipped</v>
      </c>
      <c r="J1048" s="2" t="str">
        <f aca="false">TRIM(UPPER(Raw_Data!J1048))</f>
        <v>TRK16524006</v>
      </c>
      <c r="K1048" s="2" t="n">
        <f aca="false">Raw_Data!K1048</f>
        <v>4</v>
      </c>
      <c r="L1048" s="2" t="str">
        <f aca="false">IF(TRIM(Raw_Data!L1048)="","No Coupon",TRIM(UPPER(Raw_Data!L1048)))</f>
        <v>WINTER15</v>
      </c>
      <c r="M1048" s="2" t="str">
        <f aca="false">PROPER(TRIM(Raw_Data!M1048))</f>
        <v>Instagram</v>
      </c>
      <c r="N1048" s="4" t="n">
        <f aca="false">ROUND(E1048*F1048,2)</f>
        <v>1641.45</v>
      </c>
      <c r="O1048" s="2" t="str">
        <f aca="false">IF(COUNTIF($A$2:$A$1201,A1048)&gt;1,"DUPLICATE","Unique")</f>
        <v>Unique</v>
      </c>
      <c r="P1048" s="2" t="str">
        <f aca="false">IF(L1048="","MISSING","OK")</f>
        <v>OK</v>
      </c>
      <c r="Q1048" s="2" t="str">
        <f aca="false">IF(ISNUMBER(B1048),"OK","BAD DATE")</f>
        <v>OK</v>
      </c>
      <c r="R1048" s="2" t="str">
        <f aca="false">IF(ROUND(F1048,2)=F1048,"OK","FIX")</f>
        <v>OK</v>
      </c>
    </row>
    <row r="1049" customFormat="false" ht="15" hidden="false" customHeight="false" outlineLevel="0" collapsed="false">
      <c r="A1049" s="2" t="str">
        <f aca="false">TRIM(UPPER(Raw_Data!A1049))</f>
        <v>ORD201047</v>
      </c>
      <c r="B1049" s="3" t="n">
        <f aca="false">IF(ISNUMBER(Raw_Data!B1049),Raw_Data!B1049,DATEVALUE(Raw_Data!B1049))</f>
        <v>45100</v>
      </c>
      <c r="C1049" s="2" t="str">
        <f aca="false">TRIM(UPPER(Raw_Data!C1049))</f>
        <v>C81726</v>
      </c>
      <c r="D1049" s="2" t="str">
        <f aca="false">PROPER(TRIM(Raw_Data!D1049))</f>
        <v>Chair</v>
      </c>
      <c r="E1049" s="2" t="n">
        <f aca="false">Raw_Data!E1049</f>
        <v>4</v>
      </c>
      <c r="F1049" s="4" t="n">
        <f aca="false">ROUND(Raw_Data!F1049,2)</f>
        <v>540.34</v>
      </c>
      <c r="G1049" s="2" t="str">
        <f aca="false">PROPER(TRIM(Raw_Data!G1049))</f>
        <v>394 Main St</v>
      </c>
      <c r="H1049" s="2" t="str">
        <f aca="false">PROPER(TRIM(Raw_Data!H1049))</f>
        <v>Gift Card</v>
      </c>
      <c r="I1049" s="2" t="str">
        <f aca="false">PROPER(TRIM(Raw_Data!I1049))</f>
        <v>Shipped</v>
      </c>
      <c r="J1049" s="2" t="str">
        <f aca="false">TRIM(UPPER(Raw_Data!J1049))</f>
        <v>TRK69872994</v>
      </c>
      <c r="K1049" s="2" t="n">
        <f aca="false">Raw_Data!K1049</f>
        <v>6</v>
      </c>
      <c r="L1049" s="2" t="str">
        <f aca="false">IF(TRIM(Raw_Data!L1049)="","No Coupon",TRIM(UPPER(Raw_Data!L1049)))</f>
        <v>WINTER15</v>
      </c>
      <c r="M1049" s="2" t="str">
        <f aca="false">PROPER(TRIM(Raw_Data!M1049))</f>
        <v>Referral</v>
      </c>
      <c r="N1049" s="4" t="n">
        <f aca="false">ROUND(E1049*F1049,2)</f>
        <v>2161.36</v>
      </c>
      <c r="O1049" s="2" t="str">
        <f aca="false">IF(COUNTIF($A$2:$A$1201,A1049)&gt;1,"DUPLICATE","Unique")</f>
        <v>Unique</v>
      </c>
      <c r="P1049" s="2" t="str">
        <f aca="false">IF(L1049="","MISSING","OK")</f>
        <v>OK</v>
      </c>
      <c r="Q1049" s="2" t="str">
        <f aca="false">IF(ISNUMBER(B1049),"OK","BAD DATE")</f>
        <v>OK</v>
      </c>
      <c r="R1049" s="2" t="str">
        <f aca="false">IF(ROUND(F1049,2)=F1049,"OK","FIX")</f>
        <v>OK</v>
      </c>
    </row>
    <row r="1050" customFormat="false" ht="15" hidden="false" customHeight="false" outlineLevel="0" collapsed="false">
      <c r="A1050" s="2" t="str">
        <f aca="false">TRIM(UPPER(Raw_Data!A1050))</f>
        <v>ORD201048</v>
      </c>
      <c r="B1050" s="3" t="n">
        <f aca="false">IF(ISNUMBER(Raw_Data!B1050),Raw_Data!B1050,DATEVALUE(Raw_Data!B1050))</f>
        <v>45544</v>
      </c>
      <c r="C1050" s="2" t="str">
        <f aca="false">TRIM(UPPER(Raw_Data!C1050))</f>
        <v>C57601</v>
      </c>
      <c r="D1050" s="2" t="str">
        <f aca="false">PROPER(TRIM(Raw_Data!D1050))</f>
        <v>Monitor</v>
      </c>
      <c r="E1050" s="2" t="n">
        <f aca="false">Raw_Data!E1050</f>
        <v>4</v>
      </c>
      <c r="F1050" s="4" t="n">
        <f aca="false">ROUND(Raw_Data!F1050,2)</f>
        <v>73.65</v>
      </c>
      <c r="G1050" s="2" t="str">
        <f aca="false">PROPER(TRIM(Raw_Data!G1050))</f>
        <v>889 Main St</v>
      </c>
      <c r="H1050" s="2" t="str">
        <f aca="false">PROPER(TRIM(Raw_Data!H1050))</f>
        <v>Debit Card</v>
      </c>
      <c r="I1050" s="2" t="str">
        <f aca="false">PROPER(TRIM(Raw_Data!I1050))</f>
        <v>Shipped</v>
      </c>
      <c r="J1050" s="2" t="str">
        <f aca="false">TRIM(UPPER(Raw_Data!J1050))</f>
        <v>TRK21153699</v>
      </c>
      <c r="K1050" s="2" t="n">
        <f aca="false">Raw_Data!K1050</f>
        <v>9</v>
      </c>
      <c r="L1050" s="2" t="str">
        <f aca="false">IF(TRIM(Raw_Data!L1050)="","No Coupon",TRIM(UPPER(Raw_Data!L1050)))</f>
        <v>No Coupon</v>
      </c>
      <c r="M1050" s="2" t="str">
        <f aca="false">PROPER(TRIM(Raw_Data!M1050))</f>
        <v>Google</v>
      </c>
      <c r="N1050" s="4" t="n">
        <f aca="false">ROUND(E1050*F1050,2)</f>
        <v>294.6</v>
      </c>
      <c r="O1050" s="2" t="str">
        <f aca="false">IF(COUNTIF($A$2:$A$1201,A1050)&gt;1,"DUPLICATE","Unique")</f>
        <v>Unique</v>
      </c>
      <c r="P1050" s="2" t="str">
        <f aca="false">IF(L1050="","MISSING","OK")</f>
        <v>OK</v>
      </c>
      <c r="Q1050" s="2" t="str">
        <f aca="false">IF(ISNUMBER(B1050),"OK","BAD DATE")</f>
        <v>OK</v>
      </c>
      <c r="R1050" s="2" t="str">
        <f aca="false">IF(ROUND(F1050,2)=F1050,"OK","FIX")</f>
        <v>OK</v>
      </c>
    </row>
    <row r="1051" customFormat="false" ht="15" hidden="false" customHeight="false" outlineLevel="0" collapsed="false">
      <c r="A1051" s="2" t="str">
        <f aca="false">TRIM(UPPER(Raw_Data!A1051))</f>
        <v>ORD201049</v>
      </c>
      <c r="B1051" s="3" t="n">
        <f aca="false">IF(ISNUMBER(Raw_Data!B1051),Raw_Data!B1051,DATEVALUE(Raw_Data!B1051))</f>
        <v>45491</v>
      </c>
      <c r="C1051" s="2" t="str">
        <f aca="false">TRIM(UPPER(Raw_Data!C1051))</f>
        <v>C60575</v>
      </c>
      <c r="D1051" s="2" t="str">
        <f aca="false">PROPER(TRIM(Raw_Data!D1051))</f>
        <v>Desk</v>
      </c>
      <c r="E1051" s="2" t="n">
        <f aca="false">Raw_Data!E1051</f>
        <v>5</v>
      </c>
      <c r="F1051" s="4" t="n">
        <f aca="false">ROUND(Raw_Data!F1051,2)</f>
        <v>391.86</v>
      </c>
      <c r="G1051" s="2" t="str">
        <f aca="false">PROPER(TRIM(Raw_Data!G1051))</f>
        <v>587 Main St</v>
      </c>
      <c r="H1051" s="2" t="str">
        <f aca="false">PROPER(TRIM(Raw_Data!H1051))</f>
        <v>Credit Card</v>
      </c>
      <c r="I1051" s="2" t="str">
        <f aca="false">PROPER(TRIM(Raw_Data!I1051))</f>
        <v>Shipped</v>
      </c>
      <c r="J1051" s="2" t="str">
        <f aca="false">TRIM(UPPER(Raw_Data!J1051))</f>
        <v>TRK44468232</v>
      </c>
      <c r="K1051" s="2" t="n">
        <f aca="false">Raw_Data!K1051</f>
        <v>6</v>
      </c>
      <c r="L1051" s="2" t="str">
        <f aca="false">IF(TRIM(Raw_Data!L1051)="","No Coupon",TRIM(UPPER(Raw_Data!L1051)))</f>
        <v>No Coupon</v>
      </c>
      <c r="M1051" s="2" t="str">
        <f aca="false">PROPER(TRIM(Raw_Data!M1051))</f>
        <v>Instagram</v>
      </c>
      <c r="N1051" s="4" t="n">
        <f aca="false">ROUND(E1051*F1051,2)</f>
        <v>1959.3</v>
      </c>
      <c r="O1051" s="2" t="str">
        <f aca="false">IF(COUNTIF($A$2:$A$1201,A1051)&gt;1,"DUPLICATE","Unique")</f>
        <v>Unique</v>
      </c>
      <c r="P1051" s="2" t="str">
        <f aca="false">IF(L1051="","MISSING","OK")</f>
        <v>OK</v>
      </c>
      <c r="Q1051" s="2" t="str">
        <f aca="false">IF(ISNUMBER(B1051),"OK","BAD DATE")</f>
        <v>OK</v>
      </c>
      <c r="R1051" s="2" t="str">
        <f aca="false">IF(ROUND(F1051,2)=F1051,"OK","FIX")</f>
        <v>OK</v>
      </c>
    </row>
    <row r="1052" customFormat="false" ht="15" hidden="false" customHeight="false" outlineLevel="0" collapsed="false">
      <c r="A1052" s="2" t="str">
        <f aca="false">TRIM(UPPER(Raw_Data!A1052))</f>
        <v>ORD201050</v>
      </c>
      <c r="B1052" s="3" t="n">
        <f aca="false">IF(ISNUMBER(Raw_Data!B1052),Raw_Data!B1052,DATEVALUE(Raw_Data!B1052))</f>
        <v>45158</v>
      </c>
      <c r="C1052" s="2" t="str">
        <f aca="false">TRIM(UPPER(Raw_Data!C1052))</f>
        <v>C70659</v>
      </c>
      <c r="D1052" s="2" t="str">
        <f aca="false">PROPER(TRIM(Raw_Data!D1052))</f>
        <v>Laptop</v>
      </c>
      <c r="E1052" s="2" t="n">
        <f aca="false">Raw_Data!E1052</f>
        <v>5</v>
      </c>
      <c r="F1052" s="4" t="n">
        <f aca="false">ROUND(Raw_Data!F1052,2)</f>
        <v>69.7</v>
      </c>
      <c r="G1052" s="2" t="str">
        <f aca="false">PROPER(TRIM(Raw_Data!G1052))</f>
        <v>722 Main St</v>
      </c>
      <c r="H1052" s="2" t="str">
        <f aca="false">PROPER(TRIM(Raw_Data!H1052))</f>
        <v>Online</v>
      </c>
      <c r="I1052" s="2" t="str">
        <f aca="false">PROPER(TRIM(Raw_Data!I1052))</f>
        <v>Returned</v>
      </c>
      <c r="J1052" s="2" t="str">
        <f aca="false">TRIM(UPPER(Raw_Data!J1052))</f>
        <v>TRK49663597</v>
      </c>
      <c r="K1052" s="2" t="n">
        <f aca="false">Raw_Data!K1052</f>
        <v>9</v>
      </c>
      <c r="L1052" s="2" t="str">
        <f aca="false">IF(TRIM(Raw_Data!L1052)="","No Coupon",TRIM(UPPER(Raw_Data!L1052)))</f>
        <v>No Coupon</v>
      </c>
      <c r="M1052" s="2" t="str">
        <f aca="false">PROPER(TRIM(Raw_Data!M1052))</f>
        <v>Instagram</v>
      </c>
      <c r="N1052" s="4" t="n">
        <f aca="false">ROUND(E1052*F1052,2)</f>
        <v>348.5</v>
      </c>
      <c r="O1052" s="2" t="str">
        <f aca="false">IF(COUNTIF($A$2:$A$1201,A1052)&gt;1,"DUPLICATE","Unique")</f>
        <v>Unique</v>
      </c>
      <c r="P1052" s="2" t="str">
        <f aca="false">IF(L1052="","MISSING","OK")</f>
        <v>OK</v>
      </c>
      <c r="Q1052" s="2" t="str">
        <f aca="false">IF(ISNUMBER(B1052),"OK","BAD DATE")</f>
        <v>OK</v>
      </c>
      <c r="R1052" s="2" t="str">
        <f aca="false">IF(ROUND(F1052,2)=F1052,"OK","FIX")</f>
        <v>OK</v>
      </c>
    </row>
    <row r="1053" customFormat="false" ht="15" hidden="false" customHeight="false" outlineLevel="0" collapsed="false">
      <c r="A1053" s="2" t="str">
        <f aca="false">TRIM(UPPER(Raw_Data!A1053))</f>
        <v>ORD201051</v>
      </c>
      <c r="B1053" s="3" t="n">
        <f aca="false">IF(ISNUMBER(Raw_Data!B1053),Raw_Data!B1053,DATEVALUE(Raw_Data!B1053))</f>
        <v>45721</v>
      </c>
      <c r="C1053" s="2" t="str">
        <f aca="false">TRIM(UPPER(Raw_Data!C1053))</f>
        <v>C35043</v>
      </c>
      <c r="D1053" s="2" t="str">
        <f aca="false">PROPER(TRIM(Raw_Data!D1053))</f>
        <v>Monitor</v>
      </c>
      <c r="E1053" s="2" t="n">
        <f aca="false">Raw_Data!E1053</f>
        <v>5</v>
      </c>
      <c r="F1053" s="4" t="n">
        <f aca="false">ROUND(Raw_Data!F1053,2)</f>
        <v>26.43</v>
      </c>
      <c r="G1053" s="2" t="str">
        <f aca="false">PROPER(TRIM(Raw_Data!G1053))</f>
        <v>820 Main St</v>
      </c>
      <c r="H1053" s="2" t="str">
        <f aca="false">PROPER(TRIM(Raw_Data!H1053))</f>
        <v>Gift Card</v>
      </c>
      <c r="I1053" s="2" t="str">
        <f aca="false">PROPER(TRIM(Raw_Data!I1053))</f>
        <v>Shipped</v>
      </c>
      <c r="J1053" s="2" t="str">
        <f aca="false">TRIM(UPPER(Raw_Data!J1053))</f>
        <v>TRK65097450</v>
      </c>
      <c r="K1053" s="2" t="n">
        <f aca="false">Raw_Data!K1053</f>
        <v>5</v>
      </c>
      <c r="L1053" s="2" t="str">
        <f aca="false">IF(TRIM(Raw_Data!L1053)="","No Coupon",TRIM(UPPER(Raw_Data!L1053)))</f>
        <v>FREESHIP</v>
      </c>
      <c r="M1053" s="2" t="str">
        <f aca="false">PROPER(TRIM(Raw_Data!M1053))</f>
        <v>Facebook</v>
      </c>
      <c r="N1053" s="4" t="n">
        <f aca="false">ROUND(E1053*F1053,2)</f>
        <v>132.15</v>
      </c>
      <c r="O1053" s="2" t="str">
        <f aca="false">IF(COUNTIF($A$2:$A$1201,A1053)&gt;1,"DUPLICATE","Unique")</f>
        <v>Unique</v>
      </c>
      <c r="P1053" s="2" t="str">
        <f aca="false">IF(L1053="","MISSING","OK")</f>
        <v>OK</v>
      </c>
      <c r="Q1053" s="2" t="str">
        <f aca="false">IF(ISNUMBER(B1053),"OK","BAD DATE")</f>
        <v>OK</v>
      </c>
      <c r="R1053" s="2" t="str">
        <f aca="false">IF(ROUND(F1053,2)=F1053,"OK","FIX")</f>
        <v>OK</v>
      </c>
    </row>
    <row r="1054" customFormat="false" ht="15" hidden="false" customHeight="false" outlineLevel="0" collapsed="false">
      <c r="A1054" s="2" t="str">
        <f aca="false">TRIM(UPPER(Raw_Data!A1054))</f>
        <v>ORD201052</v>
      </c>
      <c r="B1054" s="3" t="n">
        <f aca="false">IF(ISNUMBER(Raw_Data!B1054),Raw_Data!B1054,DATEVALUE(Raw_Data!B1054))</f>
        <v>45180</v>
      </c>
      <c r="C1054" s="2" t="str">
        <f aca="false">TRIM(UPPER(Raw_Data!C1054))</f>
        <v>C12301</v>
      </c>
      <c r="D1054" s="2" t="str">
        <f aca="false">PROPER(TRIM(Raw_Data!D1054))</f>
        <v>Tablet</v>
      </c>
      <c r="E1054" s="2" t="n">
        <f aca="false">Raw_Data!E1054</f>
        <v>1</v>
      </c>
      <c r="F1054" s="4" t="n">
        <f aca="false">ROUND(Raw_Data!F1054,2)</f>
        <v>531.74</v>
      </c>
      <c r="G1054" s="2" t="str">
        <f aca="false">PROPER(TRIM(Raw_Data!G1054))</f>
        <v>493 Main St</v>
      </c>
      <c r="H1054" s="2" t="str">
        <f aca="false">PROPER(TRIM(Raw_Data!H1054))</f>
        <v>Online</v>
      </c>
      <c r="I1054" s="2" t="str">
        <f aca="false">PROPER(TRIM(Raw_Data!I1054))</f>
        <v>Shipped</v>
      </c>
      <c r="J1054" s="2" t="str">
        <f aca="false">TRIM(UPPER(Raw_Data!J1054))</f>
        <v>TRK25145796</v>
      </c>
      <c r="K1054" s="2" t="n">
        <f aca="false">Raw_Data!K1054</f>
        <v>1</v>
      </c>
      <c r="L1054" s="2" t="str">
        <f aca="false">IF(TRIM(Raw_Data!L1054)="","No Coupon",TRIM(UPPER(Raw_Data!L1054)))</f>
        <v>WINTER15</v>
      </c>
      <c r="M1054" s="2" t="str">
        <f aca="false">PROPER(TRIM(Raw_Data!M1054))</f>
        <v>Google</v>
      </c>
      <c r="N1054" s="4" t="n">
        <f aca="false">ROUND(E1054*F1054,2)</f>
        <v>531.74</v>
      </c>
      <c r="O1054" s="2" t="str">
        <f aca="false">IF(COUNTIF($A$2:$A$1201,A1054)&gt;1,"DUPLICATE","Unique")</f>
        <v>Unique</v>
      </c>
      <c r="P1054" s="2" t="str">
        <f aca="false">IF(L1054="","MISSING","OK")</f>
        <v>OK</v>
      </c>
      <c r="Q1054" s="2" t="str">
        <f aca="false">IF(ISNUMBER(B1054),"OK","BAD DATE")</f>
        <v>OK</v>
      </c>
      <c r="R1054" s="2" t="str">
        <f aca="false">IF(ROUND(F1054,2)=F1054,"OK","FIX")</f>
        <v>OK</v>
      </c>
    </row>
    <row r="1055" customFormat="false" ht="15" hidden="false" customHeight="false" outlineLevel="0" collapsed="false">
      <c r="A1055" s="2" t="str">
        <f aca="false">TRIM(UPPER(Raw_Data!A1055))</f>
        <v>ORD201053</v>
      </c>
      <c r="B1055" s="3" t="n">
        <f aca="false">IF(ISNUMBER(Raw_Data!B1055),Raw_Data!B1055,DATEVALUE(Raw_Data!B1055))</f>
        <v>45550</v>
      </c>
      <c r="C1055" s="2" t="str">
        <f aca="false">TRIM(UPPER(Raw_Data!C1055))</f>
        <v>C32798</v>
      </c>
      <c r="D1055" s="2" t="str">
        <f aca="false">PROPER(TRIM(Raw_Data!D1055))</f>
        <v>Phone</v>
      </c>
      <c r="E1055" s="2" t="n">
        <f aca="false">Raw_Data!E1055</f>
        <v>2</v>
      </c>
      <c r="F1055" s="4" t="n">
        <f aca="false">ROUND(Raw_Data!F1055,2)</f>
        <v>496.62</v>
      </c>
      <c r="G1055" s="2" t="str">
        <f aca="false">PROPER(TRIM(Raw_Data!G1055))</f>
        <v>679 Main St</v>
      </c>
      <c r="H1055" s="2" t="str">
        <f aca="false">PROPER(TRIM(Raw_Data!H1055))</f>
        <v>Online</v>
      </c>
      <c r="I1055" s="2" t="str">
        <f aca="false">PROPER(TRIM(Raw_Data!I1055))</f>
        <v>Pending</v>
      </c>
      <c r="J1055" s="2" t="str">
        <f aca="false">TRIM(UPPER(Raw_Data!J1055))</f>
        <v>TRK37375451</v>
      </c>
      <c r="K1055" s="2" t="n">
        <f aca="false">Raw_Data!K1055</f>
        <v>2</v>
      </c>
      <c r="L1055" s="2" t="str">
        <f aca="false">IF(TRIM(Raw_Data!L1055)="","No Coupon",TRIM(UPPER(Raw_Data!L1055)))</f>
        <v>SAVE10</v>
      </c>
      <c r="M1055" s="2" t="str">
        <f aca="false">PROPER(TRIM(Raw_Data!M1055))</f>
        <v>Instagram</v>
      </c>
      <c r="N1055" s="4" t="n">
        <f aca="false">ROUND(E1055*F1055,2)</f>
        <v>993.24</v>
      </c>
      <c r="O1055" s="2" t="str">
        <f aca="false">IF(COUNTIF($A$2:$A$1201,A1055)&gt;1,"DUPLICATE","Unique")</f>
        <v>Unique</v>
      </c>
      <c r="P1055" s="2" t="str">
        <f aca="false">IF(L1055="","MISSING","OK")</f>
        <v>OK</v>
      </c>
      <c r="Q1055" s="2" t="str">
        <f aca="false">IF(ISNUMBER(B1055),"OK","BAD DATE")</f>
        <v>OK</v>
      </c>
      <c r="R1055" s="2" t="str">
        <f aca="false">IF(ROUND(F1055,2)=F1055,"OK","FIX")</f>
        <v>OK</v>
      </c>
    </row>
    <row r="1056" customFormat="false" ht="15" hidden="false" customHeight="false" outlineLevel="0" collapsed="false">
      <c r="A1056" s="2" t="str">
        <f aca="false">TRIM(UPPER(Raw_Data!A1056))</f>
        <v>ORD201054</v>
      </c>
      <c r="B1056" s="3" t="n">
        <f aca="false">IF(ISNUMBER(Raw_Data!B1056),Raw_Data!B1056,DATEVALUE(Raw_Data!B1056))</f>
        <v>45259</v>
      </c>
      <c r="C1056" s="2" t="str">
        <f aca="false">TRIM(UPPER(Raw_Data!C1056))</f>
        <v>C42949</v>
      </c>
      <c r="D1056" s="2" t="str">
        <f aca="false">PROPER(TRIM(Raw_Data!D1056))</f>
        <v>Printer</v>
      </c>
      <c r="E1056" s="2" t="n">
        <f aca="false">Raw_Data!E1056</f>
        <v>1</v>
      </c>
      <c r="F1056" s="4" t="n">
        <f aca="false">ROUND(Raw_Data!F1056,2)</f>
        <v>660.66</v>
      </c>
      <c r="G1056" s="2" t="str">
        <f aca="false">PROPER(TRIM(Raw_Data!G1056))</f>
        <v>447 Main St</v>
      </c>
      <c r="H1056" s="2" t="str">
        <f aca="false">PROPER(TRIM(Raw_Data!H1056))</f>
        <v>Debit Card</v>
      </c>
      <c r="I1056" s="2" t="str">
        <f aca="false">PROPER(TRIM(Raw_Data!I1056))</f>
        <v>Delivered</v>
      </c>
      <c r="J1056" s="2" t="str">
        <f aca="false">TRIM(UPPER(Raw_Data!J1056))</f>
        <v>TRK46415143</v>
      </c>
      <c r="K1056" s="2" t="n">
        <f aca="false">Raw_Data!K1056</f>
        <v>3</v>
      </c>
      <c r="L1056" s="2" t="str">
        <f aca="false">IF(TRIM(Raw_Data!L1056)="","No Coupon",TRIM(UPPER(Raw_Data!L1056)))</f>
        <v>WINTER15</v>
      </c>
      <c r="M1056" s="2" t="str">
        <f aca="false">PROPER(TRIM(Raw_Data!M1056))</f>
        <v>Instagram</v>
      </c>
      <c r="N1056" s="4" t="n">
        <f aca="false">ROUND(E1056*F1056,2)</f>
        <v>660.66</v>
      </c>
      <c r="O1056" s="2" t="str">
        <f aca="false">IF(COUNTIF($A$2:$A$1201,A1056)&gt;1,"DUPLICATE","Unique")</f>
        <v>Unique</v>
      </c>
      <c r="P1056" s="2" t="str">
        <f aca="false">IF(L1056="","MISSING","OK")</f>
        <v>OK</v>
      </c>
      <c r="Q1056" s="2" t="str">
        <f aca="false">IF(ISNUMBER(B1056),"OK","BAD DATE")</f>
        <v>OK</v>
      </c>
      <c r="R1056" s="2" t="str">
        <f aca="false">IF(ROUND(F1056,2)=F1056,"OK","FIX")</f>
        <v>OK</v>
      </c>
    </row>
    <row r="1057" customFormat="false" ht="15" hidden="false" customHeight="false" outlineLevel="0" collapsed="false">
      <c r="A1057" s="2" t="str">
        <f aca="false">TRIM(UPPER(Raw_Data!A1057))</f>
        <v>ORD201055</v>
      </c>
      <c r="B1057" s="3" t="n">
        <f aca="false">IF(ISNUMBER(Raw_Data!B1057),Raw_Data!B1057,DATEVALUE(Raw_Data!B1057))</f>
        <v>45222</v>
      </c>
      <c r="C1057" s="2" t="str">
        <f aca="false">TRIM(UPPER(Raw_Data!C1057))</f>
        <v>C10787</v>
      </c>
      <c r="D1057" s="2" t="str">
        <f aca="false">PROPER(TRIM(Raw_Data!D1057))</f>
        <v>Monitor</v>
      </c>
      <c r="E1057" s="2" t="n">
        <f aca="false">Raw_Data!E1057</f>
        <v>4</v>
      </c>
      <c r="F1057" s="4" t="n">
        <f aca="false">ROUND(Raw_Data!F1057,2)</f>
        <v>274.82</v>
      </c>
      <c r="G1057" s="2" t="str">
        <f aca="false">PROPER(TRIM(Raw_Data!G1057))</f>
        <v>932 Main St</v>
      </c>
      <c r="H1057" s="2" t="str">
        <f aca="false">PROPER(TRIM(Raw_Data!H1057))</f>
        <v>Debit Card</v>
      </c>
      <c r="I1057" s="2" t="str">
        <f aca="false">PROPER(TRIM(Raw_Data!I1057))</f>
        <v>Delivered</v>
      </c>
      <c r="J1057" s="2" t="str">
        <f aca="false">TRIM(UPPER(Raw_Data!J1057))</f>
        <v>TRK91512567</v>
      </c>
      <c r="K1057" s="2" t="n">
        <f aca="false">Raw_Data!K1057</f>
        <v>9</v>
      </c>
      <c r="L1057" s="2" t="str">
        <f aca="false">IF(TRIM(Raw_Data!L1057)="","No Coupon",TRIM(UPPER(Raw_Data!L1057)))</f>
        <v>WINTER15</v>
      </c>
      <c r="M1057" s="2" t="str">
        <f aca="false">PROPER(TRIM(Raw_Data!M1057))</f>
        <v>Email</v>
      </c>
      <c r="N1057" s="4" t="n">
        <f aca="false">ROUND(E1057*F1057,2)</f>
        <v>1099.28</v>
      </c>
      <c r="O1057" s="2" t="str">
        <f aca="false">IF(COUNTIF($A$2:$A$1201,A1057)&gt;1,"DUPLICATE","Unique")</f>
        <v>Unique</v>
      </c>
      <c r="P1057" s="2" t="str">
        <f aca="false">IF(L1057="","MISSING","OK")</f>
        <v>OK</v>
      </c>
      <c r="Q1057" s="2" t="str">
        <f aca="false">IF(ISNUMBER(B1057),"OK","BAD DATE")</f>
        <v>OK</v>
      </c>
      <c r="R1057" s="2" t="str">
        <f aca="false">IF(ROUND(F1057,2)=F1057,"OK","FIX")</f>
        <v>OK</v>
      </c>
    </row>
    <row r="1058" customFormat="false" ht="15" hidden="false" customHeight="false" outlineLevel="0" collapsed="false">
      <c r="A1058" s="2" t="str">
        <f aca="false">TRIM(UPPER(Raw_Data!A1058))</f>
        <v>ORD201056</v>
      </c>
      <c r="B1058" s="3" t="n">
        <f aca="false">IF(ISNUMBER(Raw_Data!B1058),Raw_Data!B1058,DATEVALUE(Raw_Data!B1058))</f>
        <v>45457</v>
      </c>
      <c r="C1058" s="2" t="str">
        <f aca="false">TRIM(UPPER(Raw_Data!C1058))</f>
        <v>C26152</v>
      </c>
      <c r="D1058" s="2" t="str">
        <f aca="false">PROPER(TRIM(Raw_Data!D1058))</f>
        <v>Phone</v>
      </c>
      <c r="E1058" s="2" t="n">
        <f aca="false">Raw_Data!E1058</f>
        <v>2</v>
      </c>
      <c r="F1058" s="4" t="n">
        <f aca="false">ROUND(Raw_Data!F1058,2)</f>
        <v>486.35</v>
      </c>
      <c r="G1058" s="2" t="str">
        <f aca="false">PROPER(TRIM(Raw_Data!G1058))</f>
        <v>790 Main St</v>
      </c>
      <c r="H1058" s="2" t="str">
        <f aca="false">PROPER(TRIM(Raw_Data!H1058))</f>
        <v>Online</v>
      </c>
      <c r="I1058" s="2" t="str">
        <f aca="false">PROPER(TRIM(Raw_Data!I1058))</f>
        <v>Pending</v>
      </c>
      <c r="J1058" s="2" t="str">
        <f aca="false">TRIM(UPPER(Raw_Data!J1058))</f>
        <v>TRK49382455</v>
      </c>
      <c r="K1058" s="2" t="n">
        <f aca="false">Raw_Data!K1058</f>
        <v>6</v>
      </c>
      <c r="L1058" s="2" t="str">
        <f aca="false">IF(TRIM(Raw_Data!L1058)="","No Coupon",TRIM(UPPER(Raw_Data!L1058)))</f>
        <v>SAVE10</v>
      </c>
      <c r="M1058" s="2" t="str">
        <f aca="false">PROPER(TRIM(Raw_Data!M1058))</f>
        <v>Referral</v>
      </c>
      <c r="N1058" s="4" t="n">
        <f aca="false">ROUND(E1058*F1058,2)</f>
        <v>972.7</v>
      </c>
      <c r="O1058" s="2" t="str">
        <f aca="false">IF(COUNTIF($A$2:$A$1201,A1058)&gt;1,"DUPLICATE","Unique")</f>
        <v>Unique</v>
      </c>
      <c r="P1058" s="2" t="str">
        <f aca="false">IF(L1058="","MISSING","OK")</f>
        <v>OK</v>
      </c>
      <c r="Q1058" s="2" t="str">
        <f aca="false">IF(ISNUMBER(B1058),"OK","BAD DATE")</f>
        <v>OK</v>
      </c>
      <c r="R1058" s="2" t="str">
        <f aca="false">IF(ROUND(F1058,2)=F1058,"OK","FIX")</f>
        <v>OK</v>
      </c>
    </row>
    <row r="1059" customFormat="false" ht="15" hidden="false" customHeight="false" outlineLevel="0" collapsed="false">
      <c r="A1059" s="2" t="str">
        <f aca="false">TRIM(UPPER(Raw_Data!A1059))</f>
        <v>ORD201057</v>
      </c>
      <c r="B1059" s="3" t="n">
        <f aca="false">IF(ISNUMBER(Raw_Data!B1059),Raw_Data!B1059,DATEVALUE(Raw_Data!B1059))</f>
        <v>45559</v>
      </c>
      <c r="C1059" s="2" t="str">
        <f aca="false">TRIM(UPPER(Raw_Data!C1059))</f>
        <v>C46210</v>
      </c>
      <c r="D1059" s="2" t="str">
        <f aca="false">PROPER(TRIM(Raw_Data!D1059))</f>
        <v>Laptop</v>
      </c>
      <c r="E1059" s="2" t="n">
        <f aca="false">Raw_Data!E1059</f>
        <v>3</v>
      </c>
      <c r="F1059" s="4" t="n">
        <f aca="false">ROUND(Raw_Data!F1059,2)</f>
        <v>428.88</v>
      </c>
      <c r="G1059" s="2" t="str">
        <f aca="false">PROPER(TRIM(Raw_Data!G1059))</f>
        <v>535 Main St</v>
      </c>
      <c r="H1059" s="2" t="str">
        <f aca="false">PROPER(TRIM(Raw_Data!H1059))</f>
        <v>Debit Card</v>
      </c>
      <c r="I1059" s="2" t="str">
        <f aca="false">PROPER(TRIM(Raw_Data!I1059))</f>
        <v>Shipped</v>
      </c>
      <c r="J1059" s="2" t="str">
        <f aca="false">TRIM(UPPER(Raw_Data!J1059))</f>
        <v>TRK81611937</v>
      </c>
      <c r="K1059" s="2" t="n">
        <f aca="false">Raw_Data!K1059</f>
        <v>3</v>
      </c>
      <c r="L1059" s="2" t="str">
        <f aca="false">IF(TRIM(Raw_Data!L1059)="","No Coupon",TRIM(UPPER(Raw_Data!L1059)))</f>
        <v>WINTER15</v>
      </c>
      <c r="M1059" s="2" t="str">
        <f aca="false">PROPER(TRIM(Raw_Data!M1059))</f>
        <v>Facebook</v>
      </c>
      <c r="N1059" s="4" t="n">
        <f aca="false">ROUND(E1059*F1059,2)</f>
        <v>1286.64</v>
      </c>
      <c r="O1059" s="2" t="str">
        <f aca="false">IF(COUNTIF($A$2:$A$1201,A1059)&gt;1,"DUPLICATE","Unique")</f>
        <v>Unique</v>
      </c>
      <c r="P1059" s="2" t="str">
        <f aca="false">IF(L1059="","MISSING","OK")</f>
        <v>OK</v>
      </c>
      <c r="Q1059" s="2" t="str">
        <f aca="false">IF(ISNUMBER(B1059),"OK","BAD DATE")</f>
        <v>OK</v>
      </c>
      <c r="R1059" s="2" t="str">
        <f aca="false">IF(ROUND(F1059,2)=F1059,"OK","FIX")</f>
        <v>OK</v>
      </c>
    </row>
    <row r="1060" customFormat="false" ht="15" hidden="false" customHeight="false" outlineLevel="0" collapsed="false">
      <c r="A1060" s="2" t="str">
        <f aca="false">TRIM(UPPER(Raw_Data!A1060))</f>
        <v>ORD201058</v>
      </c>
      <c r="B1060" s="3" t="n">
        <f aca="false">IF(ISNUMBER(Raw_Data!B1060),Raw_Data!B1060,DATEVALUE(Raw_Data!B1060))</f>
        <v>45177</v>
      </c>
      <c r="C1060" s="2" t="str">
        <f aca="false">TRIM(UPPER(Raw_Data!C1060))</f>
        <v>C32943</v>
      </c>
      <c r="D1060" s="2" t="str">
        <f aca="false">PROPER(TRIM(Raw_Data!D1060))</f>
        <v>Desk</v>
      </c>
      <c r="E1060" s="2" t="n">
        <f aca="false">Raw_Data!E1060</f>
        <v>2</v>
      </c>
      <c r="F1060" s="4" t="n">
        <f aca="false">ROUND(Raw_Data!F1060,2)</f>
        <v>412.14</v>
      </c>
      <c r="G1060" s="2" t="str">
        <f aca="false">PROPER(TRIM(Raw_Data!G1060))</f>
        <v>127 Main St</v>
      </c>
      <c r="H1060" s="2" t="str">
        <f aca="false">PROPER(TRIM(Raw_Data!H1060))</f>
        <v>Credit Card</v>
      </c>
      <c r="I1060" s="2" t="str">
        <f aca="false">PROPER(TRIM(Raw_Data!I1060))</f>
        <v>Returned</v>
      </c>
      <c r="J1060" s="2" t="str">
        <f aca="false">TRIM(UPPER(Raw_Data!J1060))</f>
        <v>TRK26949106</v>
      </c>
      <c r="K1060" s="2" t="n">
        <f aca="false">Raw_Data!K1060</f>
        <v>2</v>
      </c>
      <c r="L1060" s="2" t="str">
        <f aca="false">IF(TRIM(Raw_Data!L1060)="","No Coupon",TRIM(UPPER(Raw_Data!L1060)))</f>
        <v>FREESHIP</v>
      </c>
      <c r="M1060" s="2" t="str">
        <f aca="false">PROPER(TRIM(Raw_Data!M1060))</f>
        <v>Instagram</v>
      </c>
      <c r="N1060" s="4" t="n">
        <f aca="false">ROUND(E1060*F1060,2)</f>
        <v>824.28</v>
      </c>
      <c r="O1060" s="2" t="str">
        <f aca="false">IF(COUNTIF($A$2:$A$1201,A1060)&gt;1,"DUPLICATE","Unique")</f>
        <v>Unique</v>
      </c>
      <c r="P1060" s="2" t="str">
        <f aca="false">IF(L1060="","MISSING","OK")</f>
        <v>OK</v>
      </c>
      <c r="Q1060" s="2" t="str">
        <f aca="false">IF(ISNUMBER(B1060),"OK","BAD DATE")</f>
        <v>OK</v>
      </c>
      <c r="R1060" s="2" t="str">
        <f aca="false">IF(ROUND(F1060,2)=F1060,"OK","FIX")</f>
        <v>OK</v>
      </c>
    </row>
    <row r="1061" customFormat="false" ht="15" hidden="false" customHeight="false" outlineLevel="0" collapsed="false">
      <c r="A1061" s="2" t="str">
        <f aca="false">TRIM(UPPER(Raw_Data!A1061))</f>
        <v>ORD201059</v>
      </c>
      <c r="B1061" s="3" t="n">
        <f aca="false">IF(ISNUMBER(Raw_Data!B1061),Raw_Data!B1061,DATEVALUE(Raw_Data!B1061))</f>
        <v>45557</v>
      </c>
      <c r="C1061" s="2" t="str">
        <f aca="false">TRIM(UPPER(Raw_Data!C1061))</f>
        <v>C73629</v>
      </c>
      <c r="D1061" s="2" t="str">
        <f aca="false">PROPER(TRIM(Raw_Data!D1061))</f>
        <v>Desk</v>
      </c>
      <c r="E1061" s="2" t="n">
        <f aca="false">Raw_Data!E1061</f>
        <v>1</v>
      </c>
      <c r="F1061" s="4" t="n">
        <f aca="false">ROUND(Raw_Data!F1061,2)</f>
        <v>265.64</v>
      </c>
      <c r="G1061" s="2" t="str">
        <f aca="false">PROPER(TRIM(Raw_Data!G1061))</f>
        <v>601 Main St</v>
      </c>
      <c r="H1061" s="2" t="str">
        <f aca="false">PROPER(TRIM(Raw_Data!H1061))</f>
        <v>Credit Card</v>
      </c>
      <c r="I1061" s="2" t="str">
        <f aca="false">PROPER(TRIM(Raw_Data!I1061))</f>
        <v>Returned</v>
      </c>
      <c r="J1061" s="2" t="str">
        <f aca="false">TRIM(UPPER(Raw_Data!J1061))</f>
        <v>TRK11492924</v>
      </c>
      <c r="K1061" s="2" t="n">
        <f aca="false">Raw_Data!K1061</f>
        <v>3</v>
      </c>
      <c r="L1061" s="2" t="str">
        <f aca="false">IF(TRIM(Raw_Data!L1061)="","No Coupon",TRIM(UPPER(Raw_Data!L1061)))</f>
        <v>WINTER15</v>
      </c>
      <c r="M1061" s="2" t="str">
        <f aca="false">PROPER(TRIM(Raw_Data!M1061))</f>
        <v>Instagram</v>
      </c>
      <c r="N1061" s="4" t="n">
        <f aca="false">ROUND(E1061*F1061,2)</f>
        <v>265.64</v>
      </c>
      <c r="O1061" s="2" t="str">
        <f aca="false">IF(COUNTIF($A$2:$A$1201,A1061)&gt;1,"DUPLICATE","Unique")</f>
        <v>Unique</v>
      </c>
      <c r="P1061" s="2" t="str">
        <f aca="false">IF(L1061="","MISSING","OK")</f>
        <v>OK</v>
      </c>
      <c r="Q1061" s="2" t="str">
        <f aca="false">IF(ISNUMBER(B1061),"OK","BAD DATE")</f>
        <v>OK</v>
      </c>
      <c r="R1061" s="2" t="str">
        <f aca="false">IF(ROUND(F1061,2)=F1061,"OK","FIX")</f>
        <v>OK</v>
      </c>
    </row>
    <row r="1062" customFormat="false" ht="15" hidden="false" customHeight="false" outlineLevel="0" collapsed="false">
      <c r="A1062" s="2" t="str">
        <f aca="false">TRIM(UPPER(Raw_Data!A1062))</f>
        <v>ORD201060</v>
      </c>
      <c r="B1062" s="3" t="n">
        <f aca="false">IF(ISNUMBER(Raw_Data!B1062),Raw_Data!B1062,DATEVALUE(Raw_Data!B1062))</f>
        <v>45419</v>
      </c>
      <c r="C1062" s="2" t="str">
        <f aca="false">TRIM(UPPER(Raw_Data!C1062))</f>
        <v>C38024</v>
      </c>
      <c r="D1062" s="2" t="str">
        <f aca="false">PROPER(TRIM(Raw_Data!D1062))</f>
        <v>Tablet</v>
      </c>
      <c r="E1062" s="2" t="n">
        <f aca="false">Raw_Data!E1062</f>
        <v>2</v>
      </c>
      <c r="F1062" s="4" t="n">
        <f aca="false">ROUND(Raw_Data!F1062,2)</f>
        <v>273.43</v>
      </c>
      <c r="G1062" s="2" t="str">
        <f aca="false">PROPER(TRIM(Raw_Data!G1062))</f>
        <v>824 Main St</v>
      </c>
      <c r="H1062" s="2" t="str">
        <f aca="false">PROPER(TRIM(Raw_Data!H1062))</f>
        <v>Cash</v>
      </c>
      <c r="I1062" s="2" t="str">
        <f aca="false">PROPER(TRIM(Raw_Data!I1062))</f>
        <v>Shipped</v>
      </c>
      <c r="J1062" s="2" t="str">
        <f aca="false">TRIM(UPPER(Raw_Data!J1062))</f>
        <v>TRK93370912</v>
      </c>
      <c r="K1062" s="2" t="n">
        <f aca="false">Raw_Data!K1062</f>
        <v>7</v>
      </c>
      <c r="L1062" s="2" t="str">
        <f aca="false">IF(TRIM(Raw_Data!L1062)="","No Coupon",TRIM(UPPER(Raw_Data!L1062)))</f>
        <v>WINTER15</v>
      </c>
      <c r="M1062" s="2" t="str">
        <f aca="false">PROPER(TRIM(Raw_Data!M1062))</f>
        <v>Referral</v>
      </c>
      <c r="N1062" s="4" t="n">
        <f aca="false">ROUND(E1062*F1062,2)</f>
        <v>546.86</v>
      </c>
      <c r="O1062" s="2" t="str">
        <f aca="false">IF(COUNTIF($A$2:$A$1201,A1062)&gt;1,"DUPLICATE","Unique")</f>
        <v>Unique</v>
      </c>
      <c r="P1062" s="2" t="str">
        <f aca="false">IF(L1062="","MISSING","OK")</f>
        <v>OK</v>
      </c>
      <c r="Q1062" s="2" t="str">
        <f aca="false">IF(ISNUMBER(B1062),"OK","BAD DATE")</f>
        <v>OK</v>
      </c>
      <c r="R1062" s="2" t="str">
        <f aca="false">IF(ROUND(F1062,2)=F1062,"OK","FIX")</f>
        <v>OK</v>
      </c>
    </row>
    <row r="1063" customFormat="false" ht="15" hidden="false" customHeight="false" outlineLevel="0" collapsed="false">
      <c r="A1063" s="2" t="str">
        <f aca="false">TRIM(UPPER(Raw_Data!A1063))</f>
        <v>ORD201061</v>
      </c>
      <c r="B1063" s="3" t="n">
        <f aca="false">IF(ISNUMBER(Raw_Data!B1063),Raw_Data!B1063,DATEVALUE(Raw_Data!B1063))</f>
        <v>45686</v>
      </c>
      <c r="C1063" s="2" t="str">
        <f aca="false">TRIM(UPPER(Raw_Data!C1063))</f>
        <v>C25445</v>
      </c>
      <c r="D1063" s="2" t="str">
        <f aca="false">PROPER(TRIM(Raw_Data!D1063))</f>
        <v>Laptop</v>
      </c>
      <c r="E1063" s="2" t="n">
        <f aca="false">Raw_Data!E1063</f>
        <v>5</v>
      </c>
      <c r="F1063" s="4" t="n">
        <f aca="false">ROUND(Raw_Data!F1063,2)</f>
        <v>131.7</v>
      </c>
      <c r="G1063" s="2" t="str">
        <f aca="false">PROPER(TRIM(Raw_Data!G1063))</f>
        <v>830 Main St</v>
      </c>
      <c r="H1063" s="2" t="str">
        <f aca="false">PROPER(TRIM(Raw_Data!H1063))</f>
        <v>Cash</v>
      </c>
      <c r="I1063" s="2" t="str">
        <f aca="false">PROPER(TRIM(Raw_Data!I1063))</f>
        <v>Shipped</v>
      </c>
      <c r="J1063" s="2" t="str">
        <f aca="false">TRIM(UPPER(Raw_Data!J1063))</f>
        <v>TRK12402431</v>
      </c>
      <c r="K1063" s="2" t="n">
        <f aca="false">Raw_Data!K1063</f>
        <v>8</v>
      </c>
      <c r="L1063" s="2" t="str">
        <f aca="false">IF(TRIM(Raw_Data!L1063)="","No Coupon",TRIM(UPPER(Raw_Data!L1063)))</f>
        <v>FREESHIP</v>
      </c>
      <c r="M1063" s="2" t="str">
        <f aca="false">PROPER(TRIM(Raw_Data!M1063))</f>
        <v>Google</v>
      </c>
      <c r="N1063" s="4" t="n">
        <f aca="false">ROUND(E1063*F1063,2)</f>
        <v>658.5</v>
      </c>
      <c r="O1063" s="2" t="str">
        <f aca="false">IF(COUNTIF($A$2:$A$1201,A1063)&gt;1,"DUPLICATE","Unique")</f>
        <v>Unique</v>
      </c>
      <c r="P1063" s="2" t="str">
        <f aca="false">IF(L1063="","MISSING","OK")</f>
        <v>OK</v>
      </c>
      <c r="Q1063" s="2" t="str">
        <f aca="false">IF(ISNUMBER(B1063),"OK","BAD DATE")</f>
        <v>OK</v>
      </c>
      <c r="R1063" s="2" t="str">
        <f aca="false">IF(ROUND(F1063,2)=F1063,"OK","FIX")</f>
        <v>OK</v>
      </c>
    </row>
    <row r="1064" customFormat="false" ht="15" hidden="false" customHeight="false" outlineLevel="0" collapsed="false">
      <c r="A1064" s="2" t="str">
        <f aca="false">TRIM(UPPER(Raw_Data!A1064))</f>
        <v>ORD201062</v>
      </c>
      <c r="B1064" s="3" t="n">
        <f aca="false">IF(ISNUMBER(Raw_Data!B1064),Raw_Data!B1064,DATEVALUE(Raw_Data!B1064))</f>
        <v>45161</v>
      </c>
      <c r="C1064" s="2" t="str">
        <f aca="false">TRIM(UPPER(Raw_Data!C1064))</f>
        <v>C13501</v>
      </c>
      <c r="D1064" s="2" t="str">
        <f aca="false">PROPER(TRIM(Raw_Data!D1064))</f>
        <v>Chair</v>
      </c>
      <c r="E1064" s="2" t="n">
        <f aca="false">Raw_Data!E1064</f>
        <v>5</v>
      </c>
      <c r="F1064" s="4" t="n">
        <f aca="false">ROUND(Raw_Data!F1064,2)</f>
        <v>85.52</v>
      </c>
      <c r="G1064" s="2" t="str">
        <f aca="false">PROPER(TRIM(Raw_Data!G1064))</f>
        <v>301 Main St</v>
      </c>
      <c r="H1064" s="2" t="str">
        <f aca="false">PROPER(TRIM(Raw_Data!H1064))</f>
        <v>Gift Card</v>
      </c>
      <c r="I1064" s="2" t="str">
        <f aca="false">PROPER(TRIM(Raw_Data!I1064))</f>
        <v>Cancelled</v>
      </c>
      <c r="J1064" s="2" t="str">
        <f aca="false">TRIM(UPPER(Raw_Data!J1064))</f>
        <v>TRK65149372</v>
      </c>
      <c r="K1064" s="2" t="n">
        <f aca="false">Raw_Data!K1064</f>
        <v>5</v>
      </c>
      <c r="L1064" s="2" t="str">
        <f aca="false">IF(TRIM(Raw_Data!L1064)="","No Coupon",TRIM(UPPER(Raw_Data!L1064)))</f>
        <v>No Coupon</v>
      </c>
      <c r="M1064" s="2" t="str">
        <f aca="false">PROPER(TRIM(Raw_Data!M1064))</f>
        <v>Facebook</v>
      </c>
      <c r="N1064" s="4" t="n">
        <f aca="false">ROUND(E1064*F1064,2)</f>
        <v>427.6</v>
      </c>
      <c r="O1064" s="2" t="str">
        <f aca="false">IF(COUNTIF($A$2:$A$1201,A1064)&gt;1,"DUPLICATE","Unique")</f>
        <v>Unique</v>
      </c>
      <c r="P1064" s="2" t="str">
        <f aca="false">IF(L1064="","MISSING","OK")</f>
        <v>OK</v>
      </c>
      <c r="Q1064" s="2" t="str">
        <f aca="false">IF(ISNUMBER(B1064),"OK","BAD DATE")</f>
        <v>OK</v>
      </c>
      <c r="R1064" s="2" t="str">
        <f aca="false">IF(ROUND(F1064,2)=F1064,"OK","FIX")</f>
        <v>OK</v>
      </c>
    </row>
    <row r="1065" customFormat="false" ht="15" hidden="false" customHeight="false" outlineLevel="0" collapsed="false">
      <c r="A1065" s="2" t="str">
        <f aca="false">TRIM(UPPER(Raw_Data!A1065))</f>
        <v>ORD201063</v>
      </c>
      <c r="B1065" s="3" t="n">
        <f aca="false">IF(ISNUMBER(Raw_Data!B1065),Raw_Data!B1065,DATEVALUE(Raw_Data!B1065))</f>
        <v>45462</v>
      </c>
      <c r="C1065" s="2" t="str">
        <f aca="false">TRIM(UPPER(Raw_Data!C1065))</f>
        <v>C42108</v>
      </c>
      <c r="D1065" s="2" t="str">
        <f aca="false">PROPER(TRIM(Raw_Data!D1065))</f>
        <v>Desk</v>
      </c>
      <c r="E1065" s="2" t="n">
        <f aca="false">Raw_Data!E1065</f>
        <v>2</v>
      </c>
      <c r="F1065" s="4" t="n">
        <f aca="false">ROUND(Raw_Data!F1065,2)</f>
        <v>320.68</v>
      </c>
      <c r="G1065" s="2" t="str">
        <f aca="false">PROPER(TRIM(Raw_Data!G1065))</f>
        <v>336 Main St</v>
      </c>
      <c r="H1065" s="2" t="str">
        <f aca="false">PROPER(TRIM(Raw_Data!H1065))</f>
        <v>Credit Card</v>
      </c>
      <c r="I1065" s="2" t="str">
        <f aca="false">PROPER(TRIM(Raw_Data!I1065))</f>
        <v>Shipped</v>
      </c>
      <c r="J1065" s="2" t="str">
        <f aca="false">TRIM(UPPER(Raw_Data!J1065))</f>
        <v>TRK58407918</v>
      </c>
      <c r="K1065" s="2" t="n">
        <f aca="false">Raw_Data!K1065</f>
        <v>5</v>
      </c>
      <c r="L1065" s="2" t="str">
        <f aca="false">IF(TRIM(Raw_Data!L1065)="","No Coupon",TRIM(UPPER(Raw_Data!L1065)))</f>
        <v>FREESHIP</v>
      </c>
      <c r="M1065" s="2" t="str">
        <f aca="false">PROPER(TRIM(Raw_Data!M1065))</f>
        <v>Referral</v>
      </c>
      <c r="N1065" s="4" t="n">
        <f aca="false">ROUND(E1065*F1065,2)</f>
        <v>641.36</v>
      </c>
      <c r="O1065" s="2" t="str">
        <f aca="false">IF(COUNTIF($A$2:$A$1201,A1065)&gt;1,"DUPLICATE","Unique")</f>
        <v>Unique</v>
      </c>
      <c r="P1065" s="2" t="str">
        <f aca="false">IF(L1065="","MISSING","OK")</f>
        <v>OK</v>
      </c>
      <c r="Q1065" s="2" t="str">
        <f aca="false">IF(ISNUMBER(B1065),"OK","BAD DATE")</f>
        <v>OK</v>
      </c>
      <c r="R1065" s="2" t="str">
        <f aca="false">IF(ROUND(F1065,2)=F1065,"OK","FIX")</f>
        <v>OK</v>
      </c>
    </row>
    <row r="1066" customFormat="false" ht="15" hidden="false" customHeight="false" outlineLevel="0" collapsed="false">
      <c r="A1066" s="2" t="str">
        <f aca="false">TRIM(UPPER(Raw_Data!A1066))</f>
        <v>ORD201064</v>
      </c>
      <c r="B1066" s="3" t="n">
        <f aca="false">IF(ISNUMBER(Raw_Data!B1066),Raw_Data!B1066,DATEVALUE(Raw_Data!B1066))</f>
        <v>45700</v>
      </c>
      <c r="C1066" s="2" t="str">
        <f aca="false">TRIM(UPPER(Raw_Data!C1066))</f>
        <v>C32121</v>
      </c>
      <c r="D1066" s="2" t="str">
        <f aca="false">PROPER(TRIM(Raw_Data!D1066))</f>
        <v>Laptop</v>
      </c>
      <c r="E1066" s="2" t="n">
        <f aca="false">Raw_Data!E1066</f>
        <v>4</v>
      </c>
      <c r="F1066" s="4" t="n">
        <f aca="false">ROUND(Raw_Data!F1066,2)</f>
        <v>198.81</v>
      </c>
      <c r="G1066" s="2" t="str">
        <f aca="false">PROPER(TRIM(Raw_Data!G1066))</f>
        <v>654 Main St</v>
      </c>
      <c r="H1066" s="2" t="str">
        <f aca="false">PROPER(TRIM(Raw_Data!H1066))</f>
        <v>Cash</v>
      </c>
      <c r="I1066" s="2" t="str">
        <f aca="false">PROPER(TRIM(Raw_Data!I1066))</f>
        <v>Returned</v>
      </c>
      <c r="J1066" s="2" t="str">
        <f aca="false">TRIM(UPPER(Raw_Data!J1066))</f>
        <v>TRK96074264</v>
      </c>
      <c r="K1066" s="2" t="n">
        <f aca="false">Raw_Data!K1066</f>
        <v>9</v>
      </c>
      <c r="L1066" s="2" t="str">
        <f aca="false">IF(TRIM(Raw_Data!L1066)="","No Coupon",TRIM(UPPER(Raw_Data!L1066)))</f>
        <v>FREESHIP</v>
      </c>
      <c r="M1066" s="2" t="str">
        <f aca="false">PROPER(TRIM(Raw_Data!M1066))</f>
        <v>Referral</v>
      </c>
      <c r="N1066" s="4" t="n">
        <f aca="false">ROUND(E1066*F1066,2)</f>
        <v>795.24</v>
      </c>
      <c r="O1066" s="2" t="str">
        <f aca="false">IF(COUNTIF($A$2:$A$1201,A1066)&gt;1,"DUPLICATE","Unique")</f>
        <v>Unique</v>
      </c>
      <c r="P1066" s="2" t="str">
        <f aca="false">IF(L1066="","MISSING","OK")</f>
        <v>OK</v>
      </c>
      <c r="Q1066" s="2" t="str">
        <f aca="false">IF(ISNUMBER(B1066),"OK","BAD DATE")</f>
        <v>OK</v>
      </c>
      <c r="R1066" s="2" t="str">
        <f aca="false">IF(ROUND(F1066,2)=F1066,"OK","FIX")</f>
        <v>OK</v>
      </c>
    </row>
    <row r="1067" customFormat="false" ht="15" hidden="false" customHeight="false" outlineLevel="0" collapsed="false">
      <c r="A1067" s="2" t="str">
        <f aca="false">TRIM(UPPER(Raw_Data!A1067))</f>
        <v>ORD201065</v>
      </c>
      <c r="B1067" s="3" t="n">
        <f aca="false">IF(ISNUMBER(Raw_Data!B1067),Raw_Data!B1067,DATEVALUE(Raw_Data!B1067))</f>
        <v>45229</v>
      </c>
      <c r="C1067" s="2" t="str">
        <f aca="false">TRIM(UPPER(Raw_Data!C1067))</f>
        <v>C47778</v>
      </c>
      <c r="D1067" s="2" t="str">
        <f aca="false">PROPER(TRIM(Raw_Data!D1067))</f>
        <v>Printer</v>
      </c>
      <c r="E1067" s="2" t="n">
        <f aca="false">Raw_Data!E1067</f>
        <v>5</v>
      </c>
      <c r="F1067" s="4" t="n">
        <f aca="false">ROUND(Raw_Data!F1067,2)</f>
        <v>666.8</v>
      </c>
      <c r="G1067" s="2" t="str">
        <f aca="false">PROPER(TRIM(Raw_Data!G1067))</f>
        <v>488 Main St</v>
      </c>
      <c r="H1067" s="2" t="str">
        <f aca="false">PROPER(TRIM(Raw_Data!H1067))</f>
        <v>Debit Card</v>
      </c>
      <c r="I1067" s="2" t="str">
        <f aca="false">PROPER(TRIM(Raw_Data!I1067))</f>
        <v>Delivered</v>
      </c>
      <c r="J1067" s="2" t="str">
        <f aca="false">TRIM(UPPER(Raw_Data!J1067))</f>
        <v>TRK79504329</v>
      </c>
      <c r="K1067" s="2" t="n">
        <f aca="false">Raw_Data!K1067</f>
        <v>7</v>
      </c>
      <c r="L1067" s="2" t="str">
        <f aca="false">IF(TRIM(Raw_Data!L1067)="","No Coupon",TRIM(UPPER(Raw_Data!L1067)))</f>
        <v>SAVE10</v>
      </c>
      <c r="M1067" s="2" t="str">
        <f aca="false">PROPER(TRIM(Raw_Data!M1067))</f>
        <v>Referral</v>
      </c>
      <c r="N1067" s="4" t="n">
        <f aca="false">ROUND(E1067*F1067,2)</f>
        <v>3334</v>
      </c>
      <c r="O1067" s="2" t="str">
        <f aca="false">IF(COUNTIF($A$2:$A$1201,A1067)&gt;1,"DUPLICATE","Unique")</f>
        <v>Unique</v>
      </c>
      <c r="P1067" s="2" t="str">
        <f aca="false">IF(L1067="","MISSING","OK")</f>
        <v>OK</v>
      </c>
      <c r="Q1067" s="2" t="str">
        <f aca="false">IF(ISNUMBER(B1067),"OK","BAD DATE")</f>
        <v>OK</v>
      </c>
      <c r="R1067" s="2" t="str">
        <f aca="false">IF(ROUND(F1067,2)=F1067,"OK","FIX")</f>
        <v>OK</v>
      </c>
    </row>
    <row r="1068" customFormat="false" ht="15" hidden="false" customHeight="false" outlineLevel="0" collapsed="false">
      <c r="A1068" s="2" t="str">
        <f aca="false">TRIM(UPPER(Raw_Data!A1068))</f>
        <v>ORD201066</v>
      </c>
      <c r="B1068" s="3" t="n">
        <f aca="false">IF(ISNUMBER(Raw_Data!B1068),Raw_Data!B1068,DATEVALUE(Raw_Data!B1068))</f>
        <v>45280</v>
      </c>
      <c r="C1068" s="2" t="str">
        <f aca="false">TRIM(UPPER(Raw_Data!C1068))</f>
        <v>C10791</v>
      </c>
      <c r="D1068" s="2" t="str">
        <f aca="false">PROPER(TRIM(Raw_Data!D1068))</f>
        <v>Desk</v>
      </c>
      <c r="E1068" s="2" t="n">
        <f aca="false">Raw_Data!E1068</f>
        <v>1</v>
      </c>
      <c r="F1068" s="4" t="n">
        <f aca="false">ROUND(Raw_Data!F1068,2)</f>
        <v>355.09</v>
      </c>
      <c r="G1068" s="2" t="str">
        <f aca="false">PROPER(TRIM(Raw_Data!G1068))</f>
        <v>674 Main St</v>
      </c>
      <c r="H1068" s="2" t="str">
        <f aca="false">PROPER(TRIM(Raw_Data!H1068))</f>
        <v>Debit Card</v>
      </c>
      <c r="I1068" s="2" t="str">
        <f aca="false">PROPER(TRIM(Raw_Data!I1068))</f>
        <v>Cancelled</v>
      </c>
      <c r="J1068" s="2" t="str">
        <f aca="false">TRIM(UPPER(Raw_Data!J1068))</f>
        <v>TRK20321248</v>
      </c>
      <c r="K1068" s="2" t="n">
        <f aca="false">Raw_Data!K1068</f>
        <v>5</v>
      </c>
      <c r="L1068" s="2" t="str">
        <f aca="false">IF(TRIM(Raw_Data!L1068)="","No Coupon",TRIM(UPPER(Raw_Data!L1068)))</f>
        <v>SAVE10</v>
      </c>
      <c r="M1068" s="2" t="str">
        <f aca="false">PROPER(TRIM(Raw_Data!M1068))</f>
        <v>Instagram</v>
      </c>
      <c r="N1068" s="4" t="n">
        <f aca="false">ROUND(E1068*F1068,2)</f>
        <v>355.09</v>
      </c>
      <c r="O1068" s="2" t="str">
        <f aca="false">IF(COUNTIF($A$2:$A$1201,A1068)&gt;1,"DUPLICATE","Unique")</f>
        <v>Unique</v>
      </c>
      <c r="P1068" s="2" t="str">
        <f aca="false">IF(L1068="","MISSING","OK")</f>
        <v>OK</v>
      </c>
      <c r="Q1068" s="2" t="str">
        <f aca="false">IF(ISNUMBER(B1068),"OK","BAD DATE")</f>
        <v>OK</v>
      </c>
      <c r="R1068" s="2" t="str">
        <f aca="false">IF(ROUND(F1068,2)=F1068,"OK","FIX")</f>
        <v>OK</v>
      </c>
    </row>
    <row r="1069" customFormat="false" ht="15" hidden="false" customHeight="false" outlineLevel="0" collapsed="false">
      <c r="A1069" s="2" t="str">
        <f aca="false">TRIM(UPPER(Raw_Data!A1069))</f>
        <v>ORD201067</v>
      </c>
      <c r="B1069" s="3" t="n">
        <f aca="false">IF(ISNUMBER(Raw_Data!B1069),Raw_Data!B1069,DATEVALUE(Raw_Data!B1069))</f>
        <v>45083</v>
      </c>
      <c r="C1069" s="2" t="str">
        <f aca="false">TRIM(UPPER(Raw_Data!C1069))</f>
        <v>C78959</v>
      </c>
      <c r="D1069" s="2" t="str">
        <f aca="false">PROPER(TRIM(Raw_Data!D1069))</f>
        <v>Phone</v>
      </c>
      <c r="E1069" s="2" t="n">
        <f aca="false">Raw_Data!E1069</f>
        <v>2</v>
      </c>
      <c r="F1069" s="4" t="n">
        <f aca="false">ROUND(Raw_Data!F1069,2)</f>
        <v>316.2</v>
      </c>
      <c r="G1069" s="2" t="str">
        <f aca="false">PROPER(TRIM(Raw_Data!G1069))</f>
        <v>384 Main St</v>
      </c>
      <c r="H1069" s="2" t="str">
        <f aca="false">PROPER(TRIM(Raw_Data!H1069))</f>
        <v>Online</v>
      </c>
      <c r="I1069" s="2" t="str">
        <f aca="false">PROPER(TRIM(Raw_Data!I1069))</f>
        <v>Returned</v>
      </c>
      <c r="J1069" s="2" t="str">
        <f aca="false">TRIM(UPPER(Raw_Data!J1069))</f>
        <v>TRK37426359</v>
      </c>
      <c r="K1069" s="2" t="n">
        <f aca="false">Raw_Data!K1069</f>
        <v>2</v>
      </c>
      <c r="L1069" s="2" t="str">
        <f aca="false">IF(TRIM(Raw_Data!L1069)="","No Coupon",TRIM(UPPER(Raw_Data!L1069)))</f>
        <v>No Coupon</v>
      </c>
      <c r="M1069" s="2" t="str">
        <f aca="false">PROPER(TRIM(Raw_Data!M1069))</f>
        <v>Instagram</v>
      </c>
      <c r="N1069" s="4" t="n">
        <f aca="false">ROUND(E1069*F1069,2)</f>
        <v>632.4</v>
      </c>
      <c r="O1069" s="2" t="str">
        <f aca="false">IF(COUNTIF($A$2:$A$1201,A1069)&gt;1,"DUPLICATE","Unique")</f>
        <v>Unique</v>
      </c>
      <c r="P1069" s="2" t="str">
        <f aca="false">IF(L1069="","MISSING","OK")</f>
        <v>OK</v>
      </c>
      <c r="Q1069" s="2" t="str">
        <f aca="false">IF(ISNUMBER(B1069),"OK","BAD DATE")</f>
        <v>OK</v>
      </c>
      <c r="R1069" s="2" t="str">
        <f aca="false">IF(ROUND(F1069,2)=F1069,"OK","FIX")</f>
        <v>OK</v>
      </c>
    </row>
    <row r="1070" customFormat="false" ht="15" hidden="false" customHeight="false" outlineLevel="0" collapsed="false">
      <c r="A1070" s="2" t="str">
        <f aca="false">TRIM(UPPER(Raw_Data!A1070))</f>
        <v>ORD201068</v>
      </c>
      <c r="B1070" s="3" t="n">
        <f aca="false">IF(ISNUMBER(Raw_Data!B1070),Raw_Data!B1070,DATEVALUE(Raw_Data!B1070))</f>
        <v>45507</v>
      </c>
      <c r="C1070" s="2" t="str">
        <f aca="false">TRIM(UPPER(Raw_Data!C1070))</f>
        <v>C29914</v>
      </c>
      <c r="D1070" s="2" t="str">
        <f aca="false">PROPER(TRIM(Raw_Data!D1070))</f>
        <v>Laptop</v>
      </c>
      <c r="E1070" s="2" t="n">
        <f aca="false">Raw_Data!E1070</f>
        <v>1</v>
      </c>
      <c r="F1070" s="4" t="n">
        <f aca="false">ROUND(Raw_Data!F1070,2)</f>
        <v>133.39</v>
      </c>
      <c r="G1070" s="2" t="str">
        <f aca="false">PROPER(TRIM(Raw_Data!G1070))</f>
        <v>469 Main St</v>
      </c>
      <c r="H1070" s="2" t="str">
        <f aca="false">PROPER(TRIM(Raw_Data!H1070))</f>
        <v>Debit Card</v>
      </c>
      <c r="I1070" s="2" t="str">
        <f aca="false">PROPER(TRIM(Raw_Data!I1070))</f>
        <v>Shipped</v>
      </c>
      <c r="J1070" s="2" t="str">
        <f aca="false">TRIM(UPPER(Raw_Data!J1070))</f>
        <v>TRK22073506</v>
      </c>
      <c r="K1070" s="2" t="n">
        <f aca="false">Raw_Data!K1070</f>
        <v>2</v>
      </c>
      <c r="L1070" s="2" t="str">
        <f aca="false">IF(TRIM(Raw_Data!L1070)="","No Coupon",TRIM(UPPER(Raw_Data!L1070)))</f>
        <v>SAVE10</v>
      </c>
      <c r="M1070" s="2" t="str">
        <f aca="false">PROPER(TRIM(Raw_Data!M1070))</f>
        <v>Referral</v>
      </c>
      <c r="N1070" s="4" t="n">
        <f aca="false">ROUND(E1070*F1070,2)</f>
        <v>133.39</v>
      </c>
      <c r="O1070" s="2" t="str">
        <f aca="false">IF(COUNTIF($A$2:$A$1201,A1070)&gt;1,"DUPLICATE","Unique")</f>
        <v>Unique</v>
      </c>
      <c r="P1070" s="2" t="str">
        <f aca="false">IF(L1070="","MISSING","OK")</f>
        <v>OK</v>
      </c>
      <c r="Q1070" s="2" t="str">
        <f aca="false">IF(ISNUMBER(B1070),"OK","BAD DATE")</f>
        <v>OK</v>
      </c>
      <c r="R1070" s="2" t="str">
        <f aca="false">IF(ROUND(F1070,2)=F1070,"OK","FIX")</f>
        <v>OK</v>
      </c>
    </row>
    <row r="1071" customFormat="false" ht="15" hidden="false" customHeight="false" outlineLevel="0" collapsed="false">
      <c r="A1071" s="2" t="str">
        <f aca="false">TRIM(UPPER(Raw_Data!A1071))</f>
        <v>ORD201069</v>
      </c>
      <c r="B1071" s="3" t="n">
        <f aca="false">IF(ISNUMBER(Raw_Data!B1071),Raw_Data!B1071,DATEVALUE(Raw_Data!B1071))</f>
        <v>44982</v>
      </c>
      <c r="C1071" s="2" t="str">
        <f aca="false">TRIM(UPPER(Raw_Data!C1071))</f>
        <v>C70506</v>
      </c>
      <c r="D1071" s="2" t="str">
        <f aca="false">PROPER(TRIM(Raw_Data!D1071))</f>
        <v>Monitor</v>
      </c>
      <c r="E1071" s="2" t="n">
        <f aca="false">Raw_Data!E1071</f>
        <v>1</v>
      </c>
      <c r="F1071" s="4" t="n">
        <f aca="false">ROUND(Raw_Data!F1071,2)</f>
        <v>454.23</v>
      </c>
      <c r="G1071" s="2" t="str">
        <f aca="false">PROPER(TRIM(Raw_Data!G1071))</f>
        <v>255 Main St</v>
      </c>
      <c r="H1071" s="2" t="str">
        <f aca="false">PROPER(TRIM(Raw_Data!H1071))</f>
        <v>Gift Card</v>
      </c>
      <c r="I1071" s="2" t="str">
        <f aca="false">PROPER(TRIM(Raw_Data!I1071))</f>
        <v>Returned</v>
      </c>
      <c r="J1071" s="2" t="str">
        <f aca="false">TRIM(UPPER(Raw_Data!J1071))</f>
        <v>TRK12518384</v>
      </c>
      <c r="K1071" s="2" t="n">
        <f aca="false">Raw_Data!K1071</f>
        <v>3</v>
      </c>
      <c r="L1071" s="2" t="str">
        <f aca="false">IF(TRIM(Raw_Data!L1071)="","No Coupon",TRIM(UPPER(Raw_Data!L1071)))</f>
        <v>No Coupon</v>
      </c>
      <c r="M1071" s="2" t="str">
        <f aca="false">PROPER(TRIM(Raw_Data!M1071))</f>
        <v>Facebook</v>
      </c>
      <c r="N1071" s="4" t="n">
        <f aca="false">ROUND(E1071*F1071,2)</f>
        <v>454.23</v>
      </c>
      <c r="O1071" s="2" t="str">
        <f aca="false">IF(COUNTIF($A$2:$A$1201,A1071)&gt;1,"DUPLICATE","Unique")</f>
        <v>Unique</v>
      </c>
      <c r="P1071" s="2" t="str">
        <f aca="false">IF(L1071="","MISSING","OK")</f>
        <v>OK</v>
      </c>
      <c r="Q1071" s="2" t="str">
        <f aca="false">IF(ISNUMBER(B1071),"OK","BAD DATE")</f>
        <v>OK</v>
      </c>
      <c r="R1071" s="2" t="str">
        <f aca="false">IF(ROUND(F1071,2)=F1071,"OK","FIX")</f>
        <v>OK</v>
      </c>
    </row>
    <row r="1072" customFormat="false" ht="15" hidden="false" customHeight="false" outlineLevel="0" collapsed="false">
      <c r="A1072" s="2" t="str">
        <f aca="false">TRIM(UPPER(Raw_Data!A1072))</f>
        <v>ORD201070</v>
      </c>
      <c r="B1072" s="3" t="n">
        <f aca="false">IF(ISNUMBER(Raw_Data!B1072),Raw_Data!B1072,DATEVALUE(Raw_Data!B1072))</f>
        <v>45541</v>
      </c>
      <c r="C1072" s="2" t="str">
        <f aca="false">TRIM(UPPER(Raw_Data!C1072))</f>
        <v>C46873</v>
      </c>
      <c r="D1072" s="2" t="str">
        <f aca="false">PROPER(TRIM(Raw_Data!D1072))</f>
        <v>Desk</v>
      </c>
      <c r="E1072" s="2" t="n">
        <f aca="false">Raw_Data!E1072</f>
        <v>4</v>
      </c>
      <c r="F1072" s="4" t="n">
        <f aca="false">ROUND(Raw_Data!F1072,2)</f>
        <v>491.29</v>
      </c>
      <c r="G1072" s="2" t="str">
        <f aca="false">PROPER(TRIM(Raw_Data!G1072))</f>
        <v>496 Main St</v>
      </c>
      <c r="H1072" s="2" t="str">
        <f aca="false">PROPER(TRIM(Raw_Data!H1072))</f>
        <v>Debit Card</v>
      </c>
      <c r="I1072" s="2" t="str">
        <f aca="false">PROPER(TRIM(Raw_Data!I1072))</f>
        <v>Pending</v>
      </c>
      <c r="J1072" s="2" t="str">
        <f aca="false">TRIM(UPPER(Raw_Data!J1072))</f>
        <v>TRK10926575</v>
      </c>
      <c r="K1072" s="2" t="n">
        <f aca="false">Raw_Data!K1072</f>
        <v>6</v>
      </c>
      <c r="L1072" s="2" t="str">
        <f aca="false">IF(TRIM(Raw_Data!L1072)="","No Coupon",TRIM(UPPER(Raw_Data!L1072)))</f>
        <v>No Coupon</v>
      </c>
      <c r="M1072" s="2" t="str">
        <f aca="false">PROPER(TRIM(Raw_Data!M1072))</f>
        <v>Email</v>
      </c>
      <c r="N1072" s="4" t="n">
        <f aca="false">ROUND(E1072*F1072,2)</f>
        <v>1965.16</v>
      </c>
      <c r="O1072" s="2" t="str">
        <f aca="false">IF(COUNTIF($A$2:$A$1201,A1072)&gt;1,"DUPLICATE","Unique")</f>
        <v>Unique</v>
      </c>
      <c r="P1072" s="2" t="str">
        <f aca="false">IF(L1072="","MISSING","OK")</f>
        <v>OK</v>
      </c>
      <c r="Q1072" s="2" t="str">
        <f aca="false">IF(ISNUMBER(B1072),"OK","BAD DATE")</f>
        <v>OK</v>
      </c>
      <c r="R1072" s="2" t="str">
        <f aca="false">IF(ROUND(F1072,2)=F1072,"OK","FIX")</f>
        <v>OK</v>
      </c>
    </row>
    <row r="1073" customFormat="false" ht="15" hidden="false" customHeight="false" outlineLevel="0" collapsed="false">
      <c r="A1073" s="2" t="str">
        <f aca="false">TRIM(UPPER(Raw_Data!A1073))</f>
        <v>ORD201071</v>
      </c>
      <c r="B1073" s="3" t="n">
        <f aca="false">IF(ISNUMBER(Raw_Data!B1073),Raw_Data!B1073,DATEVALUE(Raw_Data!B1073))</f>
        <v>45832</v>
      </c>
      <c r="C1073" s="2" t="str">
        <f aca="false">TRIM(UPPER(Raw_Data!C1073))</f>
        <v>C94037</v>
      </c>
      <c r="D1073" s="2" t="str">
        <f aca="false">PROPER(TRIM(Raw_Data!D1073))</f>
        <v>Phone</v>
      </c>
      <c r="E1073" s="2" t="n">
        <f aca="false">Raw_Data!E1073</f>
        <v>2</v>
      </c>
      <c r="F1073" s="4" t="n">
        <f aca="false">ROUND(Raw_Data!F1073,2)</f>
        <v>255.14</v>
      </c>
      <c r="G1073" s="2" t="str">
        <f aca="false">PROPER(TRIM(Raw_Data!G1073))</f>
        <v>216 Main St</v>
      </c>
      <c r="H1073" s="2" t="str">
        <f aca="false">PROPER(TRIM(Raw_Data!H1073))</f>
        <v>Cash</v>
      </c>
      <c r="I1073" s="2" t="str">
        <f aca="false">PROPER(TRIM(Raw_Data!I1073))</f>
        <v>Shipped</v>
      </c>
      <c r="J1073" s="2" t="str">
        <f aca="false">TRIM(UPPER(Raw_Data!J1073))</f>
        <v>TRK47536985</v>
      </c>
      <c r="K1073" s="2" t="n">
        <f aca="false">Raw_Data!K1073</f>
        <v>2</v>
      </c>
      <c r="L1073" s="2" t="str">
        <f aca="false">IF(TRIM(Raw_Data!L1073)="","No Coupon",TRIM(UPPER(Raw_Data!L1073)))</f>
        <v>No Coupon</v>
      </c>
      <c r="M1073" s="2" t="str">
        <f aca="false">PROPER(TRIM(Raw_Data!M1073))</f>
        <v>Google</v>
      </c>
      <c r="N1073" s="4" t="n">
        <f aca="false">ROUND(E1073*F1073,2)</f>
        <v>510.28</v>
      </c>
      <c r="O1073" s="2" t="str">
        <f aca="false">IF(COUNTIF($A$2:$A$1201,A1073)&gt;1,"DUPLICATE","Unique")</f>
        <v>Unique</v>
      </c>
      <c r="P1073" s="2" t="str">
        <f aca="false">IF(L1073="","MISSING","OK")</f>
        <v>OK</v>
      </c>
      <c r="Q1073" s="2" t="str">
        <f aca="false">IF(ISNUMBER(B1073),"OK","BAD DATE")</f>
        <v>OK</v>
      </c>
      <c r="R1073" s="2" t="str">
        <f aca="false">IF(ROUND(F1073,2)=F1073,"OK","FIX")</f>
        <v>OK</v>
      </c>
    </row>
    <row r="1074" customFormat="false" ht="15" hidden="false" customHeight="false" outlineLevel="0" collapsed="false">
      <c r="A1074" s="2" t="str">
        <f aca="false">TRIM(UPPER(Raw_Data!A1074))</f>
        <v>ORD201072</v>
      </c>
      <c r="B1074" s="3" t="n">
        <f aca="false">IF(ISNUMBER(Raw_Data!B1074),Raw_Data!B1074,DATEVALUE(Raw_Data!B1074))</f>
        <v>44983</v>
      </c>
      <c r="C1074" s="2" t="str">
        <f aca="false">TRIM(UPPER(Raw_Data!C1074))</f>
        <v>C88644</v>
      </c>
      <c r="D1074" s="2" t="str">
        <f aca="false">PROPER(TRIM(Raw_Data!D1074))</f>
        <v>Monitor</v>
      </c>
      <c r="E1074" s="2" t="n">
        <f aca="false">Raw_Data!E1074</f>
        <v>1</v>
      </c>
      <c r="F1074" s="4" t="n">
        <f aca="false">ROUND(Raw_Data!F1074,2)</f>
        <v>392.61</v>
      </c>
      <c r="G1074" s="2" t="str">
        <f aca="false">PROPER(TRIM(Raw_Data!G1074))</f>
        <v>977 Main St</v>
      </c>
      <c r="H1074" s="2" t="str">
        <f aca="false">PROPER(TRIM(Raw_Data!H1074))</f>
        <v>Gift Card</v>
      </c>
      <c r="I1074" s="2" t="str">
        <f aca="false">PROPER(TRIM(Raw_Data!I1074))</f>
        <v>Cancelled</v>
      </c>
      <c r="J1074" s="2" t="str">
        <f aca="false">TRIM(UPPER(Raw_Data!J1074))</f>
        <v>TRK14900878</v>
      </c>
      <c r="K1074" s="2" t="n">
        <f aca="false">Raw_Data!K1074</f>
        <v>4</v>
      </c>
      <c r="L1074" s="2" t="str">
        <f aca="false">IF(TRIM(Raw_Data!L1074)="","No Coupon",TRIM(UPPER(Raw_Data!L1074)))</f>
        <v>SAVE10</v>
      </c>
      <c r="M1074" s="2" t="str">
        <f aca="false">PROPER(TRIM(Raw_Data!M1074))</f>
        <v>Referral</v>
      </c>
      <c r="N1074" s="4" t="n">
        <f aca="false">ROUND(E1074*F1074,2)</f>
        <v>392.61</v>
      </c>
      <c r="O1074" s="2" t="str">
        <f aca="false">IF(COUNTIF($A$2:$A$1201,A1074)&gt;1,"DUPLICATE","Unique")</f>
        <v>Unique</v>
      </c>
      <c r="P1074" s="2" t="str">
        <f aca="false">IF(L1074="","MISSING","OK")</f>
        <v>OK</v>
      </c>
      <c r="Q1074" s="2" t="str">
        <f aca="false">IF(ISNUMBER(B1074),"OK","BAD DATE")</f>
        <v>OK</v>
      </c>
      <c r="R1074" s="2" t="str">
        <f aca="false">IF(ROUND(F1074,2)=F1074,"OK","FIX")</f>
        <v>OK</v>
      </c>
    </row>
    <row r="1075" customFormat="false" ht="15" hidden="false" customHeight="false" outlineLevel="0" collapsed="false">
      <c r="A1075" s="2" t="str">
        <f aca="false">TRIM(UPPER(Raw_Data!A1075))</f>
        <v>ORD201073</v>
      </c>
      <c r="B1075" s="3" t="n">
        <f aca="false">IF(ISNUMBER(Raw_Data!B1075),Raw_Data!B1075,DATEVALUE(Raw_Data!B1075))</f>
        <v>45576</v>
      </c>
      <c r="C1075" s="2" t="str">
        <f aca="false">TRIM(UPPER(Raw_Data!C1075))</f>
        <v>C69471</v>
      </c>
      <c r="D1075" s="2" t="str">
        <f aca="false">PROPER(TRIM(Raw_Data!D1075))</f>
        <v>Tablet</v>
      </c>
      <c r="E1075" s="2" t="n">
        <f aca="false">Raw_Data!E1075</f>
        <v>4</v>
      </c>
      <c r="F1075" s="4" t="n">
        <f aca="false">ROUND(Raw_Data!F1075,2)</f>
        <v>362.06</v>
      </c>
      <c r="G1075" s="2" t="str">
        <f aca="false">PROPER(TRIM(Raw_Data!G1075))</f>
        <v>294 Main St</v>
      </c>
      <c r="H1075" s="2" t="str">
        <f aca="false">PROPER(TRIM(Raw_Data!H1075))</f>
        <v>Debit Card</v>
      </c>
      <c r="I1075" s="2" t="str">
        <f aca="false">PROPER(TRIM(Raw_Data!I1075))</f>
        <v>Returned</v>
      </c>
      <c r="J1075" s="2" t="str">
        <f aca="false">TRIM(UPPER(Raw_Data!J1075))</f>
        <v>TRK11107152</v>
      </c>
      <c r="K1075" s="2" t="n">
        <f aca="false">Raw_Data!K1075</f>
        <v>4</v>
      </c>
      <c r="L1075" s="2" t="str">
        <f aca="false">IF(TRIM(Raw_Data!L1075)="","No Coupon",TRIM(UPPER(Raw_Data!L1075)))</f>
        <v>No Coupon</v>
      </c>
      <c r="M1075" s="2" t="str">
        <f aca="false">PROPER(TRIM(Raw_Data!M1075))</f>
        <v>Facebook</v>
      </c>
      <c r="N1075" s="4" t="n">
        <f aca="false">ROUND(E1075*F1075,2)</f>
        <v>1448.24</v>
      </c>
      <c r="O1075" s="2" t="str">
        <f aca="false">IF(COUNTIF($A$2:$A$1201,A1075)&gt;1,"DUPLICATE","Unique")</f>
        <v>Unique</v>
      </c>
      <c r="P1075" s="2" t="str">
        <f aca="false">IF(L1075="","MISSING","OK")</f>
        <v>OK</v>
      </c>
      <c r="Q1075" s="2" t="str">
        <f aca="false">IF(ISNUMBER(B1075),"OK","BAD DATE")</f>
        <v>OK</v>
      </c>
      <c r="R1075" s="2" t="str">
        <f aca="false">IF(ROUND(F1075,2)=F1075,"OK","FIX")</f>
        <v>OK</v>
      </c>
    </row>
    <row r="1076" customFormat="false" ht="15" hidden="false" customHeight="false" outlineLevel="0" collapsed="false">
      <c r="A1076" s="2" t="str">
        <f aca="false">TRIM(UPPER(Raw_Data!A1076))</f>
        <v>ORD201074</v>
      </c>
      <c r="B1076" s="3" t="n">
        <f aca="false">IF(ISNUMBER(Raw_Data!B1076),Raw_Data!B1076,DATEVALUE(Raw_Data!B1076))</f>
        <v>45422</v>
      </c>
      <c r="C1076" s="2" t="str">
        <f aca="false">TRIM(UPPER(Raw_Data!C1076))</f>
        <v>C21437</v>
      </c>
      <c r="D1076" s="2" t="str">
        <f aca="false">PROPER(TRIM(Raw_Data!D1076))</f>
        <v>Phone</v>
      </c>
      <c r="E1076" s="2" t="n">
        <f aca="false">Raw_Data!E1076</f>
        <v>1</v>
      </c>
      <c r="F1076" s="4" t="n">
        <f aca="false">ROUND(Raw_Data!F1076,2)</f>
        <v>222.73</v>
      </c>
      <c r="G1076" s="2" t="str">
        <f aca="false">PROPER(TRIM(Raw_Data!G1076))</f>
        <v>120 Main St</v>
      </c>
      <c r="H1076" s="2" t="str">
        <f aca="false">PROPER(TRIM(Raw_Data!H1076))</f>
        <v>Online</v>
      </c>
      <c r="I1076" s="2" t="str">
        <f aca="false">PROPER(TRIM(Raw_Data!I1076))</f>
        <v>Returned</v>
      </c>
      <c r="J1076" s="2" t="str">
        <f aca="false">TRIM(UPPER(Raw_Data!J1076))</f>
        <v>TRK81624772</v>
      </c>
      <c r="K1076" s="2" t="n">
        <f aca="false">Raw_Data!K1076</f>
        <v>4</v>
      </c>
      <c r="L1076" s="2" t="str">
        <f aca="false">IF(TRIM(Raw_Data!L1076)="","No Coupon",TRIM(UPPER(Raw_Data!L1076)))</f>
        <v>No Coupon</v>
      </c>
      <c r="M1076" s="2" t="str">
        <f aca="false">PROPER(TRIM(Raw_Data!M1076))</f>
        <v>Google</v>
      </c>
      <c r="N1076" s="4" t="n">
        <f aca="false">ROUND(E1076*F1076,2)</f>
        <v>222.73</v>
      </c>
      <c r="O1076" s="2" t="str">
        <f aca="false">IF(COUNTIF($A$2:$A$1201,A1076)&gt;1,"DUPLICATE","Unique")</f>
        <v>Unique</v>
      </c>
      <c r="P1076" s="2" t="str">
        <f aca="false">IF(L1076="","MISSING","OK")</f>
        <v>OK</v>
      </c>
      <c r="Q1076" s="2" t="str">
        <f aca="false">IF(ISNUMBER(B1076),"OK","BAD DATE")</f>
        <v>OK</v>
      </c>
      <c r="R1076" s="2" t="str">
        <f aca="false">IF(ROUND(F1076,2)=F1076,"OK","FIX")</f>
        <v>OK</v>
      </c>
    </row>
    <row r="1077" customFormat="false" ht="15" hidden="false" customHeight="false" outlineLevel="0" collapsed="false">
      <c r="A1077" s="2" t="str">
        <f aca="false">TRIM(UPPER(Raw_Data!A1077))</f>
        <v>ORD201075</v>
      </c>
      <c r="B1077" s="3" t="n">
        <f aca="false">IF(ISNUMBER(Raw_Data!B1077),Raw_Data!B1077,DATEVALUE(Raw_Data!B1077))</f>
        <v>45535</v>
      </c>
      <c r="C1077" s="2" t="str">
        <f aca="false">TRIM(UPPER(Raw_Data!C1077))</f>
        <v>C40949</v>
      </c>
      <c r="D1077" s="2" t="str">
        <f aca="false">PROPER(TRIM(Raw_Data!D1077))</f>
        <v>Monitor</v>
      </c>
      <c r="E1077" s="2" t="n">
        <f aca="false">Raw_Data!E1077</f>
        <v>2</v>
      </c>
      <c r="F1077" s="4" t="n">
        <f aca="false">ROUND(Raw_Data!F1077,2)</f>
        <v>552.63</v>
      </c>
      <c r="G1077" s="2" t="str">
        <f aca="false">PROPER(TRIM(Raw_Data!G1077))</f>
        <v>609 Main St</v>
      </c>
      <c r="H1077" s="2" t="str">
        <f aca="false">PROPER(TRIM(Raw_Data!H1077))</f>
        <v>Debit Card</v>
      </c>
      <c r="I1077" s="2" t="str">
        <f aca="false">PROPER(TRIM(Raw_Data!I1077))</f>
        <v>Delivered</v>
      </c>
      <c r="J1077" s="2" t="str">
        <f aca="false">TRIM(UPPER(Raw_Data!J1077))</f>
        <v>TRK43066749</v>
      </c>
      <c r="K1077" s="2" t="n">
        <f aca="false">Raw_Data!K1077</f>
        <v>7</v>
      </c>
      <c r="L1077" s="2" t="str">
        <f aca="false">IF(TRIM(Raw_Data!L1077)="","No Coupon",TRIM(UPPER(Raw_Data!L1077)))</f>
        <v>WINTER15</v>
      </c>
      <c r="M1077" s="2" t="str">
        <f aca="false">PROPER(TRIM(Raw_Data!M1077))</f>
        <v>Instagram</v>
      </c>
      <c r="N1077" s="4" t="n">
        <f aca="false">ROUND(E1077*F1077,2)</f>
        <v>1105.26</v>
      </c>
      <c r="O1077" s="2" t="str">
        <f aca="false">IF(COUNTIF($A$2:$A$1201,A1077)&gt;1,"DUPLICATE","Unique")</f>
        <v>Unique</v>
      </c>
      <c r="P1077" s="2" t="str">
        <f aca="false">IF(L1077="","MISSING","OK")</f>
        <v>OK</v>
      </c>
      <c r="Q1077" s="2" t="str">
        <f aca="false">IF(ISNUMBER(B1077),"OK","BAD DATE")</f>
        <v>OK</v>
      </c>
      <c r="R1077" s="2" t="str">
        <f aca="false">IF(ROUND(F1077,2)=F1077,"OK","FIX")</f>
        <v>OK</v>
      </c>
    </row>
    <row r="1078" customFormat="false" ht="15" hidden="false" customHeight="false" outlineLevel="0" collapsed="false">
      <c r="A1078" s="2" t="str">
        <f aca="false">TRIM(UPPER(Raw_Data!A1078))</f>
        <v>ORD201076</v>
      </c>
      <c r="B1078" s="3" t="n">
        <f aca="false">IF(ISNUMBER(Raw_Data!B1078),Raw_Data!B1078,DATEVALUE(Raw_Data!B1078))</f>
        <v>45054</v>
      </c>
      <c r="C1078" s="2" t="str">
        <f aca="false">TRIM(UPPER(Raw_Data!C1078))</f>
        <v>C99116</v>
      </c>
      <c r="D1078" s="2" t="str">
        <f aca="false">PROPER(TRIM(Raw_Data!D1078))</f>
        <v>Laptop</v>
      </c>
      <c r="E1078" s="2" t="n">
        <f aca="false">Raw_Data!E1078</f>
        <v>4</v>
      </c>
      <c r="F1078" s="4" t="n">
        <f aca="false">ROUND(Raw_Data!F1078,2)</f>
        <v>686.61</v>
      </c>
      <c r="G1078" s="2" t="str">
        <f aca="false">PROPER(TRIM(Raw_Data!G1078))</f>
        <v>176 Main St</v>
      </c>
      <c r="H1078" s="2" t="str">
        <f aca="false">PROPER(TRIM(Raw_Data!H1078))</f>
        <v>Cash</v>
      </c>
      <c r="I1078" s="2" t="str">
        <f aca="false">PROPER(TRIM(Raw_Data!I1078))</f>
        <v>Shipped</v>
      </c>
      <c r="J1078" s="2" t="str">
        <f aca="false">TRIM(UPPER(Raw_Data!J1078))</f>
        <v>TRK52711973</v>
      </c>
      <c r="K1078" s="2" t="n">
        <f aca="false">Raw_Data!K1078</f>
        <v>6</v>
      </c>
      <c r="L1078" s="2" t="str">
        <f aca="false">IF(TRIM(Raw_Data!L1078)="","No Coupon",TRIM(UPPER(Raw_Data!L1078)))</f>
        <v>No Coupon</v>
      </c>
      <c r="M1078" s="2" t="str">
        <f aca="false">PROPER(TRIM(Raw_Data!M1078))</f>
        <v>Referral</v>
      </c>
      <c r="N1078" s="4" t="n">
        <f aca="false">ROUND(E1078*F1078,2)</f>
        <v>2746.44</v>
      </c>
      <c r="O1078" s="2" t="str">
        <f aca="false">IF(COUNTIF($A$2:$A$1201,A1078)&gt;1,"DUPLICATE","Unique")</f>
        <v>Unique</v>
      </c>
      <c r="P1078" s="2" t="str">
        <f aca="false">IF(L1078="","MISSING","OK")</f>
        <v>OK</v>
      </c>
      <c r="Q1078" s="2" t="str">
        <f aca="false">IF(ISNUMBER(B1078),"OK","BAD DATE")</f>
        <v>OK</v>
      </c>
      <c r="R1078" s="2" t="str">
        <f aca="false">IF(ROUND(F1078,2)=F1078,"OK","FIX")</f>
        <v>OK</v>
      </c>
    </row>
    <row r="1079" customFormat="false" ht="15" hidden="false" customHeight="false" outlineLevel="0" collapsed="false">
      <c r="A1079" s="2" t="str">
        <f aca="false">TRIM(UPPER(Raw_Data!A1079))</f>
        <v>ORD201077</v>
      </c>
      <c r="B1079" s="3" t="n">
        <f aca="false">IF(ISNUMBER(Raw_Data!B1079),Raw_Data!B1079,DATEVALUE(Raw_Data!B1079))</f>
        <v>45723</v>
      </c>
      <c r="C1079" s="2" t="str">
        <f aca="false">TRIM(UPPER(Raw_Data!C1079))</f>
        <v>C57861</v>
      </c>
      <c r="D1079" s="2" t="str">
        <f aca="false">PROPER(TRIM(Raw_Data!D1079))</f>
        <v>Printer</v>
      </c>
      <c r="E1079" s="2" t="n">
        <f aca="false">Raw_Data!E1079</f>
        <v>3</v>
      </c>
      <c r="F1079" s="4" t="n">
        <f aca="false">ROUND(Raw_Data!F1079,2)</f>
        <v>305.16</v>
      </c>
      <c r="G1079" s="2" t="str">
        <f aca="false">PROPER(TRIM(Raw_Data!G1079))</f>
        <v>115 Main St</v>
      </c>
      <c r="H1079" s="2" t="str">
        <f aca="false">PROPER(TRIM(Raw_Data!H1079))</f>
        <v>Credit Card</v>
      </c>
      <c r="I1079" s="2" t="str">
        <f aca="false">PROPER(TRIM(Raw_Data!I1079))</f>
        <v>Cancelled</v>
      </c>
      <c r="J1079" s="2" t="str">
        <f aca="false">TRIM(UPPER(Raw_Data!J1079))</f>
        <v>TRK47775217</v>
      </c>
      <c r="K1079" s="2" t="n">
        <f aca="false">Raw_Data!K1079</f>
        <v>8</v>
      </c>
      <c r="L1079" s="2" t="str">
        <f aca="false">IF(TRIM(Raw_Data!L1079)="","No Coupon",TRIM(UPPER(Raw_Data!L1079)))</f>
        <v>SAVE10</v>
      </c>
      <c r="M1079" s="2" t="str">
        <f aca="false">PROPER(TRIM(Raw_Data!M1079))</f>
        <v>Referral</v>
      </c>
      <c r="N1079" s="4" t="n">
        <f aca="false">ROUND(E1079*F1079,2)</f>
        <v>915.48</v>
      </c>
      <c r="O1079" s="2" t="str">
        <f aca="false">IF(COUNTIF($A$2:$A$1201,A1079)&gt;1,"DUPLICATE","Unique")</f>
        <v>Unique</v>
      </c>
      <c r="P1079" s="2" t="str">
        <f aca="false">IF(L1079="","MISSING","OK")</f>
        <v>OK</v>
      </c>
      <c r="Q1079" s="2" t="str">
        <f aca="false">IF(ISNUMBER(B1079),"OK","BAD DATE")</f>
        <v>OK</v>
      </c>
      <c r="R1079" s="2" t="str">
        <f aca="false">IF(ROUND(F1079,2)=F1079,"OK","FIX")</f>
        <v>OK</v>
      </c>
    </row>
    <row r="1080" customFormat="false" ht="15" hidden="false" customHeight="false" outlineLevel="0" collapsed="false">
      <c r="A1080" s="2" t="str">
        <f aca="false">TRIM(UPPER(Raw_Data!A1080))</f>
        <v>ORD201078</v>
      </c>
      <c r="B1080" s="3" t="n">
        <f aca="false">IF(ISNUMBER(Raw_Data!B1080),Raw_Data!B1080,DATEVALUE(Raw_Data!B1080))</f>
        <v>45003</v>
      </c>
      <c r="C1080" s="2" t="str">
        <f aca="false">TRIM(UPPER(Raw_Data!C1080))</f>
        <v>C62627</v>
      </c>
      <c r="D1080" s="2" t="str">
        <f aca="false">PROPER(TRIM(Raw_Data!D1080))</f>
        <v>Desk</v>
      </c>
      <c r="E1080" s="2" t="n">
        <f aca="false">Raw_Data!E1080</f>
        <v>1</v>
      </c>
      <c r="F1080" s="4" t="n">
        <f aca="false">ROUND(Raw_Data!F1080,2)</f>
        <v>41.09</v>
      </c>
      <c r="G1080" s="2" t="str">
        <f aca="false">PROPER(TRIM(Raw_Data!G1080))</f>
        <v>881 Main St</v>
      </c>
      <c r="H1080" s="2" t="str">
        <f aca="false">PROPER(TRIM(Raw_Data!H1080))</f>
        <v>Online</v>
      </c>
      <c r="I1080" s="2" t="str">
        <f aca="false">PROPER(TRIM(Raw_Data!I1080))</f>
        <v>Returned</v>
      </c>
      <c r="J1080" s="2" t="str">
        <f aca="false">TRIM(UPPER(Raw_Data!J1080))</f>
        <v>TRK90060232</v>
      </c>
      <c r="K1080" s="2" t="n">
        <f aca="false">Raw_Data!K1080</f>
        <v>4</v>
      </c>
      <c r="L1080" s="2" t="str">
        <f aca="false">IF(TRIM(Raw_Data!L1080)="","No Coupon",TRIM(UPPER(Raw_Data!L1080)))</f>
        <v>WINTER15</v>
      </c>
      <c r="M1080" s="2" t="str">
        <f aca="false">PROPER(TRIM(Raw_Data!M1080))</f>
        <v>Email</v>
      </c>
      <c r="N1080" s="4" t="n">
        <f aca="false">ROUND(E1080*F1080,2)</f>
        <v>41.09</v>
      </c>
      <c r="O1080" s="2" t="str">
        <f aca="false">IF(COUNTIF($A$2:$A$1201,A1080)&gt;1,"DUPLICATE","Unique")</f>
        <v>Unique</v>
      </c>
      <c r="P1080" s="2" t="str">
        <f aca="false">IF(L1080="","MISSING","OK")</f>
        <v>OK</v>
      </c>
      <c r="Q1080" s="2" t="str">
        <f aca="false">IF(ISNUMBER(B1080),"OK","BAD DATE")</f>
        <v>OK</v>
      </c>
      <c r="R1080" s="2" t="str">
        <f aca="false">IF(ROUND(F1080,2)=F1080,"OK","FIX")</f>
        <v>OK</v>
      </c>
    </row>
    <row r="1081" customFormat="false" ht="15" hidden="false" customHeight="false" outlineLevel="0" collapsed="false">
      <c r="A1081" s="2" t="str">
        <f aca="false">TRIM(UPPER(Raw_Data!A1081))</f>
        <v>ORD201079</v>
      </c>
      <c r="B1081" s="3" t="n">
        <f aca="false">IF(ISNUMBER(Raw_Data!B1081),Raw_Data!B1081,DATEVALUE(Raw_Data!B1081))</f>
        <v>45463</v>
      </c>
      <c r="C1081" s="2" t="str">
        <f aca="false">TRIM(UPPER(Raw_Data!C1081))</f>
        <v>C89979</v>
      </c>
      <c r="D1081" s="2" t="str">
        <f aca="false">PROPER(TRIM(Raw_Data!D1081))</f>
        <v>Phone</v>
      </c>
      <c r="E1081" s="2" t="n">
        <f aca="false">Raw_Data!E1081</f>
        <v>5</v>
      </c>
      <c r="F1081" s="4" t="n">
        <f aca="false">ROUND(Raw_Data!F1081,2)</f>
        <v>634</v>
      </c>
      <c r="G1081" s="2" t="str">
        <f aca="false">PROPER(TRIM(Raw_Data!G1081))</f>
        <v>144 Main St</v>
      </c>
      <c r="H1081" s="2" t="str">
        <f aca="false">PROPER(TRIM(Raw_Data!H1081))</f>
        <v>Gift Card</v>
      </c>
      <c r="I1081" s="2" t="str">
        <f aca="false">PROPER(TRIM(Raw_Data!I1081))</f>
        <v>Delivered</v>
      </c>
      <c r="J1081" s="2" t="str">
        <f aca="false">TRIM(UPPER(Raw_Data!J1081))</f>
        <v>TRK99055909</v>
      </c>
      <c r="K1081" s="2" t="n">
        <f aca="false">Raw_Data!K1081</f>
        <v>8</v>
      </c>
      <c r="L1081" s="2" t="str">
        <f aca="false">IF(TRIM(Raw_Data!L1081)="","No Coupon",TRIM(UPPER(Raw_Data!L1081)))</f>
        <v>No Coupon</v>
      </c>
      <c r="M1081" s="2" t="str">
        <f aca="false">PROPER(TRIM(Raw_Data!M1081))</f>
        <v>Email</v>
      </c>
      <c r="N1081" s="4" t="n">
        <f aca="false">ROUND(E1081*F1081,2)</f>
        <v>3170</v>
      </c>
      <c r="O1081" s="2" t="str">
        <f aca="false">IF(COUNTIF($A$2:$A$1201,A1081)&gt;1,"DUPLICATE","Unique")</f>
        <v>Unique</v>
      </c>
      <c r="P1081" s="2" t="str">
        <f aca="false">IF(L1081="","MISSING","OK")</f>
        <v>OK</v>
      </c>
      <c r="Q1081" s="2" t="str">
        <f aca="false">IF(ISNUMBER(B1081),"OK","BAD DATE")</f>
        <v>OK</v>
      </c>
      <c r="R1081" s="2" t="str">
        <f aca="false">IF(ROUND(F1081,2)=F1081,"OK","FIX")</f>
        <v>OK</v>
      </c>
    </row>
    <row r="1082" customFormat="false" ht="15" hidden="false" customHeight="false" outlineLevel="0" collapsed="false">
      <c r="A1082" s="2" t="str">
        <f aca="false">TRIM(UPPER(Raw_Data!A1082))</f>
        <v>ORD201080</v>
      </c>
      <c r="B1082" s="3" t="n">
        <f aca="false">IF(ISNUMBER(Raw_Data!B1082),Raw_Data!B1082,DATEVALUE(Raw_Data!B1082))</f>
        <v>44946</v>
      </c>
      <c r="C1082" s="2" t="str">
        <f aca="false">TRIM(UPPER(Raw_Data!C1082))</f>
        <v>C70613</v>
      </c>
      <c r="D1082" s="2" t="str">
        <f aca="false">PROPER(TRIM(Raw_Data!D1082))</f>
        <v>Laptop</v>
      </c>
      <c r="E1082" s="2" t="n">
        <f aca="false">Raw_Data!E1082</f>
        <v>5</v>
      </c>
      <c r="F1082" s="4" t="n">
        <f aca="false">ROUND(Raw_Data!F1082,2)</f>
        <v>464.74</v>
      </c>
      <c r="G1082" s="2" t="str">
        <f aca="false">PROPER(TRIM(Raw_Data!G1082))</f>
        <v>438 Main St</v>
      </c>
      <c r="H1082" s="2" t="str">
        <f aca="false">PROPER(TRIM(Raw_Data!H1082))</f>
        <v>Gift Card</v>
      </c>
      <c r="I1082" s="2" t="str">
        <f aca="false">PROPER(TRIM(Raw_Data!I1082))</f>
        <v>Delivered</v>
      </c>
      <c r="J1082" s="2" t="str">
        <f aca="false">TRIM(UPPER(Raw_Data!J1082))</f>
        <v>TRK33140293</v>
      </c>
      <c r="K1082" s="2" t="n">
        <f aca="false">Raw_Data!K1082</f>
        <v>7</v>
      </c>
      <c r="L1082" s="2" t="str">
        <f aca="false">IF(TRIM(Raw_Data!L1082)="","No Coupon",TRIM(UPPER(Raw_Data!L1082)))</f>
        <v>No Coupon</v>
      </c>
      <c r="M1082" s="2" t="str">
        <f aca="false">PROPER(TRIM(Raw_Data!M1082))</f>
        <v>Referral</v>
      </c>
      <c r="N1082" s="4" t="n">
        <f aca="false">ROUND(E1082*F1082,2)</f>
        <v>2323.7</v>
      </c>
      <c r="O1082" s="2" t="str">
        <f aca="false">IF(COUNTIF($A$2:$A$1201,A1082)&gt;1,"DUPLICATE","Unique")</f>
        <v>Unique</v>
      </c>
      <c r="P1082" s="2" t="str">
        <f aca="false">IF(L1082="","MISSING","OK")</f>
        <v>OK</v>
      </c>
      <c r="Q1082" s="2" t="str">
        <f aca="false">IF(ISNUMBER(B1082),"OK","BAD DATE")</f>
        <v>OK</v>
      </c>
      <c r="R1082" s="2" t="str">
        <f aca="false">IF(ROUND(F1082,2)=F1082,"OK","FIX")</f>
        <v>OK</v>
      </c>
    </row>
    <row r="1083" customFormat="false" ht="15" hidden="false" customHeight="false" outlineLevel="0" collapsed="false">
      <c r="A1083" s="2" t="str">
        <f aca="false">TRIM(UPPER(Raw_Data!A1083))</f>
        <v>ORD201081</v>
      </c>
      <c r="B1083" s="3" t="n">
        <f aca="false">IF(ISNUMBER(Raw_Data!B1083),Raw_Data!B1083,DATEVALUE(Raw_Data!B1083))</f>
        <v>45037</v>
      </c>
      <c r="C1083" s="2" t="str">
        <f aca="false">TRIM(UPPER(Raw_Data!C1083))</f>
        <v>C55636</v>
      </c>
      <c r="D1083" s="2" t="str">
        <f aca="false">PROPER(TRIM(Raw_Data!D1083))</f>
        <v>Monitor</v>
      </c>
      <c r="E1083" s="2" t="n">
        <f aca="false">Raw_Data!E1083</f>
        <v>4</v>
      </c>
      <c r="F1083" s="4" t="n">
        <f aca="false">ROUND(Raw_Data!F1083,2)</f>
        <v>425.6</v>
      </c>
      <c r="G1083" s="2" t="str">
        <f aca="false">PROPER(TRIM(Raw_Data!G1083))</f>
        <v>494 Main St</v>
      </c>
      <c r="H1083" s="2" t="str">
        <f aca="false">PROPER(TRIM(Raw_Data!H1083))</f>
        <v>Credit Card</v>
      </c>
      <c r="I1083" s="2" t="str">
        <f aca="false">PROPER(TRIM(Raw_Data!I1083))</f>
        <v>Pending</v>
      </c>
      <c r="J1083" s="2" t="str">
        <f aca="false">TRIM(UPPER(Raw_Data!J1083))</f>
        <v>TRK85897054</v>
      </c>
      <c r="K1083" s="2" t="n">
        <f aca="false">Raw_Data!K1083</f>
        <v>5</v>
      </c>
      <c r="L1083" s="2" t="str">
        <f aca="false">IF(TRIM(Raw_Data!L1083)="","No Coupon",TRIM(UPPER(Raw_Data!L1083)))</f>
        <v>FREESHIP</v>
      </c>
      <c r="M1083" s="2" t="str">
        <f aca="false">PROPER(TRIM(Raw_Data!M1083))</f>
        <v>Google</v>
      </c>
      <c r="N1083" s="4" t="n">
        <f aca="false">ROUND(E1083*F1083,2)</f>
        <v>1702.4</v>
      </c>
      <c r="O1083" s="2" t="str">
        <f aca="false">IF(COUNTIF($A$2:$A$1201,A1083)&gt;1,"DUPLICATE","Unique")</f>
        <v>Unique</v>
      </c>
      <c r="P1083" s="2" t="str">
        <f aca="false">IF(L1083="","MISSING","OK")</f>
        <v>OK</v>
      </c>
      <c r="Q1083" s="2" t="str">
        <f aca="false">IF(ISNUMBER(B1083),"OK","BAD DATE")</f>
        <v>OK</v>
      </c>
      <c r="R1083" s="2" t="str">
        <f aca="false">IF(ROUND(F1083,2)=F1083,"OK","FIX")</f>
        <v>OK</v>
      </c>
    </row>
    <row r="1084" customFormat="false" ht="15" hidden="false" customHeight="false" outlineLevel="0" collapsed="false">
      <c r="A1084" s="2" t="str">
        <f aca="false">TRIM(UPPER(Raw_Data!A1084))</f>
        <v>ORD201082</v>
      </c>
      <c r="B1084" s="3" t="n">
        <f aca="false">IF(ISNUMBER(Raw_Data!B1084),Raw_Data!B1084,DATEVALUE(Raw_Data!B1084))</f>
        <v>45205</v>
      </c>
      <c r="C1084" s="2" t="str">
        <f aca="false">TRIM(UPPER(Raw_Data!C1084))</f>
        <v>C96595</v>
      </c>
      <c r="D1084" s="2" t="str">
        <f aca="false">PROPER(TRIM(Raw_Data!D1084))</f>
        <v>Chair</v>
      </c>
      <c r="E1084" s="2" t="n">
        <f aca="false">Raw_Data!E1084</f>
        <v>3</v>
      </c>
      <c r="F1084" s="4" t="n">
        <f aca="false">ROUND(Raw_Data!F1084,2)</f>
        <v>573.22</v>
      </c>
      <c r="G1084" s="2" t="str">
        <f aca="false">PROPER(TRIM(Raw_Data!G1084))</f>
        <v>177 Main St</v>
      </c>
      <c r="H1084" s="2" t="str">
        <f aca="false">PROPER(TRIM(Raw_Data!H1084))</f>
        <v>Debit Card</v>
      </c>
      <c r="I1084" s="2" t="str">
        <f aca="false">PROPER(TRIM(Raw_Data!I1084))</f>
        <v>Pending</v>
      </c>
      <c r="J1084" s="2" t="str">
        <f aca="false">TRIM(UPPER(Raw_Data!J1084))</f>
        <v>TRK59779174</v>
      </c>
      <c r="K1084" s="2" t="n">
        <f aca="false">Raw_Data!K1084</f>
        <v>5</v>
      </c>
      <c r="L1084" s="2" t="str">
        <f aca="false">IF(TRIM(Raw_Data!L1084)="","No Coupon",TRIM(UPPER(Raw_Data!L1084)))</f>
        <v>SAVE10</v>
      </c>
      <c r="M1084" s="2" t="str">
        <f aca="false">PROPER(TRIM(Raw_Data!M1084))</f>
        <v>Email</v>
      </c>
      <c r="N1084" s="4" t="n">
        <f aca="false">ROUND(E1084*F1084,2)</f>
        <v>1719.66</v>
      </c>
      <c r="O1084" s="2" t="str">
        <f aca="false">IF(COUNTIF($A$2:$A$1201,A1084)&gt;1,"DUPLICATE","Unique")</f>
        <v>Unique</v>
      </c>
      <c r="P1084" s="2" t="str">
        <f aca="false">IF(L1084="","MISSING","OK")</f>
        <v>OK</v>
      </c>
      <c r="Q1084" s="2" t="str">
        <f aca="false">IF(ISNUMBER(B1084),"OK","BAD DATE")</f>
        <v>OK</v>
      </c>
      <c r="R1084" s="2" t="str">
        <f aca="false">IF(ROUND(F1084,2)=F1084,"OK","FIX")</f>
        <v>OK</v>
      </c>
    </row>
    <row r="1085" customFormat="false" ht="15" hidden="false" customHeight="false" outlineLevel="0" collapsed="false">
      <c r="A1085" s="2" t="str">
        <f aca="false">TRIM(UPPER(Raw_Data!A1085))</f>
        <v>ORD201083</v>
      </c>
      <c r="B1085" s="3" t="n">
        <f aca="false">IF(ISNUMBER(Raw_Data!B1085),Raw_Data!B1085,DATEVALUE(Raw_Data!B1085))</f>
        <v>45482</v>
      </c>
      <c r="C1085" s="2" t="str">
        <f aca="false">TRIM(UPPER(Raw_Data!C1085))</f>
        <v>C68508</v>
      </c>
      <c r="D1085" s="2" t="str">
        <f aca="false">PROPER(TRIM(Raw_Data!D1085))</f>
        <v>Chair</v>
      </c>
      <c r="E1085" s="2" t="n">
        <f aca="false">Raw_Data!E1085</f>
        <v>1</v>
      </c>
      <c r="F1085" s="4" t="n">
        <f aca="false">ROUND(Raw_Data!F1085,2)</f>
        <v>123.28</v>
      </c>
      <c r="G1085" s="2" t="str">
        <f aca="false">PROPER(TRIM(Raw_Data!G1085))</f>
        <v>895 Main St</v>
      </c>
      <c r="H1085" s="2" t="str">
        <f aca="false">PROPER(TRIM(Raw_Data!H1085))</f>
        <v>Credit Card</v>
      </c>
      <c r="I1085" s="2" t="str">
        <f aca="false">PROPER(TRIM(Raw_Data!I1085))</f>
        <v>Delivered</v>
      </c>
      <c r="J1085" s="2" t="str">
        <f aca="false">TRIM(UPPER(Raw_Data!J1085))</f>
        <v>TRK98960285</v>
      </c>
      <c r="K1085" s="2" t="n">
        <f aca="false">Raw_Data!K1085</f>
        <v>3</v>
      </c>
      <c r="L1085" s="2" t="str">
        <f aca="false">IF(TRIM(Raw_Data!L1085)="","No Coupon",TRIM(UPPER(Raw_Data!L1085)))</f>
        <v>SAVE10</v>
      </c>
      <c r="M1085" s="2" t="str">
        <f aca="false">PROPER(TRIM(Raw_Data!M1085))</f>
        <v>Email</v>
      </c>
      <c r="N1085" s="4" t="n">
        <f aca="false">ROUND(E1085*F1085,2)</f>
        <v>123.28</v>
      </c>
      <c r="O1085" s="2" t="str">
        <f aca="false">IF(COUNTIF($A$2:$A$1201,A1085)&gt;1,"DUPLICATE","Unique")</f>
        <v>Unique</v>
      </c>
      <c r="P1085" s="2" t="str">
        <f aca="false">IF(L1085="","MISSING","OK")</f>
        <v>OK</v>
      </c>
      <c r="Q1085" s="2" t="str">
        <f aca="false">IF(ISNUMBER(B1085),"OK","BAD DATE")</f>
        <v>OK</v>
      </c>
      <c r="R1085" s="2" t="str">
        <f aca="false">IF(ROUND(F1085,2)=F1085,"OK","FIX")</f>
        <v>OK</v>
      </c>
    </row>
    <row r="1086" customFormat="false" ht="15" hidden="false" customHeight="false" outlineLevel="0" collapsed="false">
      <c r="A1086" s="2" t="str">
        <f aca="false">TRIM(UPPER(Raw_Data!A1086))</f>
        <v>ORD201084</v>
      </c>
      <c r="B1086" s="3" t="n">
        <f aca="false">IF(ISNUMBER(Raw_Data!B1086),Raw_Data!B1086,DATEVALUE(Raw_Data!B1086))</f>
        <v>44934</v>
      </c>
      <c r="C1086" s="2" t="str">
        <f aca="false">TRIM(UPPER(Raw_Data!C1086))</f>
        <v>C45175</v>
      </c>
      <c r="D1086" s="2" t="str">
        <f aca="false">PROPER(TRIM(Raw_Data!D1086))</f>
        <v>Phone</v>
      </c>
      <c r="E1086" s="2" t="n">
        <f aca="false">Raw_Data!E1086</f>
        <v>1</v>
      </c>
      <c r="F1086" s="4" t="n">
        <f aca="false">ROUND(Raw_Data!F1086,2)</f>
        <v>70.82</v>
      </c>
      <c r="G1086" s="2" t="str">
        <f aca="false">PROPER(TRIM(Raw_Data!G1086))</f>
        <v>128 Main St</v>
      </c>
      <c r="H1086" s="2" t="str">
        <f aca="false">PROPER(TRIM(Raw_Data!H1086))</f>
        <v>Gift Card</v>
      </c>
      <c r="I1086" s="2" t="str">
        <f aca="false">PROPER(TRIM(Raw_Data!I1086))</f>
        <v>Pending</v>
      </c>
      <c r="J1086" s="2" t="str">
        <f aca="false">TRIM(UPPER(Raw_Data!J1086))</f>
        <v>TRK41792296</v>
      </c>
      <c r="K1086" s="2" t="n">
        <f aca="false">Raw_Data!K1086</f>
        <v>1</v>
      </c>
      <c r="L1086" s="2" t="str">
        <f aca="false">IF(TRIM(Raw_Data!L1086)="","No Coupon",TRIM(UPPER(Raw_Data!L1086)))</f>
        <v>WINTER15</v>
      </c>
      <c r="M1086" s="2" t="str">
        <f aca="false">PROPER(TRIM(Raw_Data!M1086))</f>
        <v>Instagram</v>
      </c>
      <c r="N1086" s="4" t="n">
        <f aca="false">ROUND(E1086*F1086,2)</f>
        <v>70.82</v>
      </c>
      <c r="O1086" s="2" t="str">
        <f aca="false">IF(COUNTIF($A$2:$A$1201,A1086)&gt;1,"DUPLICATE","Unique")</f>
        <v>Unique</v>
      </c>
      <c r="P1086" s="2" t="str">
        <f aca="false">IF(L1086="","MISSING","OK")</f>
        <v>OK</v>
      </c>
      <c r="Q1086" s="2" t="str">
        <f aca="false">IF(ISNUMBER(B1086),"OK","BAD DATE")</f>
        <v>OK</v>
      </c>
      <c r="R1086" s="2" t="str">
        <f aca="false">IF(ROUND(F1086,2)=F1086,"OK","FIX")</f>
        <v>OK</v>
      </c>
    </row>
    <row r="1087" customFormat="false" ht="15" hidden="false" customHeight="false" outlineLevel="0" collapsed="false">
      <c r="A1087" s="2" t="str">
        <f aca="false">TRIM(UPPER(Raw_Data!A1087))</f>
        <v>ORD201085</v>
      </c>
      <c r="B1087" s="3" t="n">
        <f aca="false">IF(ISNUMBER(Raw_Data!B1087),Raw_Data!B1087,DATEVALUE(Raw_Data!B1087))</f>
        <v>45067</v>
      </c>
      <c r="C1087" s="2" t="str">
        <f aca="false">TRIM(UPPER(Raw_Data!C1087))</f>
        <v>C28049</v>
      </c>
      <c r="D1087" s="2" t="str">
        <f aca="false">PROPER(TRIM(Raw_Data!D1087))</f>
        <v>Printer</v>
      </c>
      <c r="E1087" s="2" t="n">
        <f aca="false">Raw_Data!E1087</f>
        <v>2</v>
      </c>
      <c r="F1087" s="4" t="n">
        <f aca="false">ROUND(Raw_Data!F1087,2)</f>
        <v>646.69</v>
      </c>
      <c r="G1087" s="2" t="str">
        <f aca="false">PROPER(TRIM(Raw_Data!G1087))</f>
        <v>404 Main St</v>
      </c>
      <c r="H1087" s="2" t="str">
        <f aca="false">PROPER(TRIM(Raw_Data!H1087))</f>
        <v>Debit Card</v>
      </c>
      <c r="I1087" s="2" t="str">
        <f aca="false">PROPER(TRIM(Raw_Data!I1087))</f>
        <v>Shipped</v>
      </c>
      <c r="J1087" s="2" t="str">
        <f aca="false">TRIM(UPPER(Raw_Data!J1087))</f>
        <v>TRK91426444</v>
      </c>
      <c r="K1087" s="2" t="n">
        <f aca="false">Raw_Data!K1087</f>
        <v>7</v>
      </c>
      <c r="L1087" s="2" t="str">
        <f aca="false">IF(TRIM(Raw_Data!L1087)="","No Coupon",TRIM(UPPER(Raw_Data!L1087)))</f>
        <v>WINTER15</v>
      </c>
      <c r="M1087" s="2" t="str">
        <f aca="false">PROPER(TRIM(Raw_Data!M1087))</f>
        <v>Instagram</v>
      </c>
      <c r="N1087" s="4" t="n">
        <f aca="false">ROUND(E1087*F1087,2)</f>
        <v>1293.38</v>
      </c>
      <c r="O1087" s="2" t="str">
        <f aca="false">IF(COUNTIF($A$2:$A$1201,A1087)&gt;1,"DUPLICATE","Unique")</f>
        <v>Unique</v>
      </c>
      <c r="P1087" s="2" t="str">
        <f aca="false">IF(L1087="","MISSING","OK")</f>
        <v>OK</v>
      </c>
      <c r="Q1087" s="2" t="str">
        <f aca="false">IF(ISNUMBER(B1087),"OK","BAD DATE")</f>
        <v>OK</v>
      </c>
      <c r="R1087" s="2" t="str">
        <f aca="false">IF(ROUND(F1087,2)=F1087,"OK","FIX")</f>
        <v>OK</v>
      </c>
    </row>
    <row r="1088" customFormat="false" ht="15" hidden="false" customHeight="false" outlineLevel="0" collapsed="false">
      <c r="A1088" s="2" t="str">
        <f aca="false">TRIM(UPPER(Raw_Data!A1088))</f>
        <v>ORD201086</v>
      </c>
      <c r="B1088" s="3" t="n">
        <f aca="false">IF(ISNUMBER(Raw_Data!B1088),Raw_Data!B1088,DATEVALUE(Raw_Data!B1088))</f>
        <v>45283</v>
      </c>
      <c r="C1088" s="2" t="str">
        <f aca="false">TRIM(UPPER(Raw_Data!C1088))</f>
        <v>C46967</v>
      </c>
      <c r="D1088" s="2" t="str">
        <f aca="false">PROPER(TRIM(Raw_Data!D1088))</f>
        <v>Tablet</v>
      </c>
      <c r="E1088" s="2" t="n">
        <f aca="false">Raw_Data!E1088</f>
        <v>2</v>
      </c>
      <c r="F1088" s="4" t="n">
        <f aca="false">ROUND(Raw_Data!F1088,2)</f>
        <v>513.42</v>
      </c>
      <c r="G1088" s="2" t="str">
        <f aca="false">PROPER(TRIM(Raw_Data!G1088))</f>
        <v>401 Main St</v>
      </c>
      <c r="H1088" s="2" t="str">
        <f aca="false">PROPER(TRIM(Raw_Data!H1088))</f>
        <v>Online</v>
      </c>
      <c r="I1088" s="2" t="str">
        <f aca="false">PROPER(TRIM(Raw_Data!I1088))</f>
        <v>Pending</v>
      </c>
      <c r="J1088" s="2" t="str">
        <f aca="false">TRIM(UPPER(Raw_Data!J1088))</f>
        <v>TRK91439791</v>
      </c>
      <c r="K1088" s="2" t="n">
        <f aca="false">Raw_Data!K1088</f>
        <v>5</v>
      </c>
      <c r="L1088" s="2" t="str">
        <f aca="false">IF(TRIM(Raw_Data!L1088)="","No Coupon",TRIM(UPPER(Raw_Data!L1088)))</f>
        <v>WINTER15</v>
      </c>
      <c r="M1088" s="2" t="str">
        <f aca="false">PROPER(TRIM(Raw_Data!M1088))</f>
        <v>Instagram</v>
      </c>
      <c r="N1088" s="4" t="n">
        <f aca="false">ROUND(E1088*F1088,2)</f>
        <v>1026.84</v>
      </c>
      <c r="O1088" s="2" t="str">
        <f aca="false">IF(COUNTIF($A$2:$A$1201,A1088)&gt;1,"DUPLICATE","Unique")</f>
        <v>Unique</v>
      </c>
      <c r="P1088" s="2" t="str">
        <f aca="false">IF(L1088="","MISSING","OK")</f>
        <v>OK</v>
      </c>
      <c r="Q1088" s="2" t="str">
        <f aca="false">IF(ISNUMBER(B1088),"OK","BAD DATE")</f>
        <v>OK</v>
      </c>
      <c r="R1088" s="2" t="str">
        <f aca="false">IF(ROUND(F1088,2)=F1088,"OK","FIX")</f>
        <v>OK</v>
      </c>
    </row>
    <row r="1089" customFormat="false" ht="15" hidden="false" customHeight="false" outlineLevel="0" collapsed="false">
      <c r="A1089" s="2" t="str">
        <f aca="false">TRIM(UPPER(Raw_Data!A1089))</f>
        <v>ORD201087</v>
      </c>
      <c r="B1089" s="3" t="n">
        <f aca="false">IF(ISNUMBER(Raw_Data!B1089),Raw_Data!B1089,DATEVALUE(Raw_Data!B1089))</f>
        <v>45739</v>
      </c>
      <c r="C1089" s="2" t="str">
        <f aca="false">TRIM(UPPER(Raw_Data!C1089))</f>
        <v>C84134</v>
      </c>
      <c r="D1089" s="2" t="str">
        <f aca="false">PROPER(TRIM(Raw_Data!D1089))</f>
        <v>Laptop</v>
      </c>
      <c r="E1089" s="2" t="n">
        <f aca="false">Raw_Data!E1089</f>
        <v>4</v>
      </c>
      <c r="F1089" s="4" t="n">
        <f aca="false">ROUND(Raw_Data!F1089,2)</f>
        <v>693.07</v>
      </c>
      <c r="G1089" s="2" t="str">
        <f aca="false">PROPER(TRIM(Raw_Data!G1089))</f>
        <v>530 Main St</v>
      </c>
      <c r="H1089" s="2" t="str">
        <f aca="false">PROPER(TRIM(Raw_Data!H1089))</f>
        <v>Online</v>
      </c>
      <c r="I1089" s="2" t="str">
        <f aca="false">PROPER(TRIM(Raw_Data!I1089))</f>
        <v>Shipped</v>
      </c>
      <c r="J1089" s="2" t="str">
        <f aca="false">TRIM(UPPER(Raw_Data!J1089))</f>
        <v>TRK48659380</v>
      </c>
      <c r="K1089" s="2" t="n">
        <f aca="false">Raw_Data!K1089</f>
        <v>8</v>
      </c>
      <c r="L1089" s="2" t="str">
        <f aca="false">IF(TRIM(Raw_Data!L1089)="","No Coupon",TRIM(UPPER(Raw_Data!L1089)))</f>
        <v>SAVE10</v>
      </c>
      <c r="M1089" s="2" t="str">
        <f aca="false">PROPER(TRIM(Raw_Data!M1089))</f>
        <v>Instagram</v>
      </c>
      <c r="N1089" s="4" t="n">
        <f aca="false">ROUND(E1089*F1089,2)</f>
        <v>2772.28</v>
      </c>
      <c r="O1089" s="2" t="str">
        <f aca="false">IF(COUNTIF($A$2:$A$1201,A1089)&gt;1,"DUPLICATE","Unique")</f>
        <v>Unique</v>
      </c>
      <c r="P1089" s="2" t="str">
        <f aca="false">IF(L1089="","MISSING","OK")</f>
        <v>OK</v>
      </c>
      <c r="Q1089" s="2" t="str">
        <f aca="false">IF(ISNUMBER(B1089),"OK","BAD DATE")</f>
        <v>OK</v>
      </c>
      <c r="R1089" s="2" t="str">
        <f aca="false">IF(ROUND(F1089,2)=F1089,"OK","FIX")</f>
        <v>OK</v>
      </c>
    </row>
    <row r="1090" customFormat="false" ht="15" hidden="false" customHeight="false" outlineLevel="0" collapsed="false">
      <c r="A1090" s="2" t="str">
        <f aca="false">TRIM(UPPER(Raw_Data!A1090))</f>
        <v>ORD201088</v>
      </c>
      <c r="B1090" s="3" t="n">
        <f aca="false">IF(ISNUMBER(Raw_Data!B1090),Raw_Data!B1090,DATEVALUE(Raw_Data!B1090))</f>
        <v>45260</v>
      </c>
      <c r="C1090" s="2" t="str">
        <f aca="false">TRIM(UPPER(Raw_Data!C1090))</f>
        <v>C49831</v>
      </c>
      <c r="D1090" s="2" t="str">
        <f aca="false">PROPER(TRIM(Raw_Data!D1090))</f>
        <v>Desk</v>
      </c>
      <c r="E1090" s="2" t="n">
        <f aca="false">Raw_Data!E1090</f>
        <v>3</v>
      </c>
      <c r="F1090" s="4" t="n">
        <f aca="false">ROUND(Raw_Data!F1090,2)</f>
        <v>491.43</v>
      </c>
      <c r="G1090" s="2" t="str">
        <f aca="false">PROPER(TRIM(Raw_Data!G1090))</f>
        <v>213 Main St</v>
      </c>
      <c r="H1090" s="2" t="str">
        <f aca="false">PROPER(TRIM(Raw_Data!H1090))</f>
        <v>Gift Card</v>
      </c>
      <c r="I1090" s="2" t="str">
        <f aca="false">PROPER(TRIM(Raw_Data!I1090))</f>
        <v>Shipped</v>
      </c>
      <c r="J1090" s="2" t="str">
        <f aca="false">TRIM(UPPER(Raw_Data!J1090))</f>
        <v>TRK21232601</v>
      </c>
      <c r="K1090" s="2" t="n">
        <f aca="false">Raw_Data!K1090</f>
        <v>6</v>
      </c>
      <c r="L1090" s="2" t="str">
        <f aca="false">IF(TRIM(Raw_Data!L1090)="","No Coupon",TRIM(UPPER(Raw_Data!L1090)))</f>
        <v>WINTER15</v>
      </c>
      <c r="M1090" s="2" t="str">
        <f aca="false">PROPER(TRIM(Raw_Data!M1090))</f>
        <v>Instagram</v>
      </c>
      <c r="N1090" s="4" t="n">
        <f aca="false">ROUND(E1090*F1090,2)</f>
        <v>1474.29</v>
      </c>
      <c r="O1090" s="2" t="str">
        <f aca="false">IF(COUNTIF($A$2:$A$1201,A1090)&gt;1,"DUPLICATE","Unique")</f>
        <v>Unique</v>
      </c>
      <c r="P1090" s="2" t="str">
        <f aca="false">IF(L1090="","MISSING","OK")</f>
        <v>OK</v>
      </c>
      <c r="Q1090" s="2" t="str">
        <f aca="false">IF(ISNUMBER(B1090),"OK","BAD DATE")</f>
        <v>OK</v>
      </c>
      <c r="R1090" s="2" t="str">
        <f aca="false">IF(ROUND(F1090,2)=F1090,"OK","FIX")</f>
        <v>OK</v>
      </c>
    </row>
    <row r="1091" customFormat="false" ht="15" hidden="false" customHeight="false" outlineLevel="0" collapsed="false">
      <c r="A1091" s="2" t="str">
        <f aca="false">TRIM(UPPER(Raw_Data!A1091))</f>
        <v>ORD201089</v>
      </c>
      <c r="B1091" s="3" t="n">
        <f aca="false">IF(ISNUMBER(Raw_Data!B1091),Raw_Data!B1091,DATEVALUE(Raw_Data!B1091))</f>
        <v>45731</v>
      </c>
      <c r="C1091" s="2" t="str">
        <f aca="false">TRIM(UPPER(Raw_Data!C1091))</f>
        <v>C13324</v>
      </c>
      <c r="D1091" s="2" t="str">
        <f aca="false">PROPER(TRIM(Raw_Data!D1091))</f>
        <v>Tablet</v>
      </c>
      <c r="E1091" s="2" t="n">
        <f aca="false">Raw_Data!E1091</f>
        <v>2</v>
      </c>
      <c r="F1091" s="4" t="n">
        <f aca="false">ROUND(Raw_Data!F1091,2)</f>
        <v>599.74</v>
      </c>
      <c r="G1091" s="2" t="str">
        <f aca="false">PROPER(TRIM(Raw_Data!G1091))</f>
        <v>440 Main St</v>
      </c>
      <c r="H1091" s="2" t="str">
        <f aca="false">PROPER(TRIM(Raw_Data!H1091))</f>
        <v>Gift Card</v>
      </c>
      <c r="I1091" s="2" t="str">
        <f aca="false">PROPER(TRIM(Raw_Data!I1091))</f>
        <v>Shipped</v>
      </c>
      <c r="J1091" s="2" t="str">
        <f aca="false">TRIM(UPPER(Raw_Data!J1091))</f>
        <v>TRK66967997</v>
      </c>
      <c r="K1091" s="2" t="n">
        <f aca="false">Raw_Data!K1091</f>
        <v>2</v>
      </c>
      <c r="L1091" s="2" t="str">
        <f aca="false">IF(TRIM(Raw_Data!L1091)="","No Coupon",TRIM(UPPER(Raw_Data!L1091)))</f>
        <v>No Coupon</v>
      </c>
      <c r="M1091" s="2" t="str">
        <f aca="false">PROPER(TRIM(Raw_Data!M1091))</f>
        <v>Instagram</v>
      </c>
      <c r="N1091" s="4" t="n">
        <f aca="false">ROUND(E1091*F1091,2)</f>
        <v>1199.48</v>
      </c>
      <c r="O1091" s="2" t="str">
        <f aca="false">IF(COUNTIF($A$2:$A$1201,A1091)&gt;1,"DUPLICATE","Unique")</f>
        <v>Unique</v>
      </c>
      <c r="P1091" s="2" t="str">
        <f aca="false">IF(L1091="","MISSING","OK")</f>
        <v>OK</v>
      </c>
      <c r="Q1091" s="2" t="str">
        <f aca="false">IF(ISNUMBER(B1091),"OK","BAD DATE")</f>
        <v>OK</v>
      </c>
      <c r="R1091" s="2" t="str">
        <f aca="false">IF(ROUND(F1091,2)=F1091,"OK","FIX")</f>
        <v>OK</v>
      </c>
    </row>
    <row r="1092" customFormat="false" ht="15" hidden="false" customHeight="false" outlineLevel="0" collapsed="false">
      <c r="A1092" s="2" t="str">
        <f aca="false">TRIM(UPPER(Raw_Data!A1092))</f>
        <v>ORD201090</v>
      </c>
      <c r="B1092" s="3" t="n">
        <f aca="false">IF(ISNUMBER(Raw_Data!B1092),Raw_Data!B1092,DATEVALUE(Raw_Data!B1092))</f>
        <v>44982</v>
      </c>
      <c r="C1092" s="2" t="str">
        <f aca="false">TRIM(UPPER(Raw_Data!C1092))</f>
        <v>C61225</v>
      </c>
      <c r="D1092" s="2" t="str">
        <f aca="false">PROPER(TRIM(Raw_Data!D1092))</f>
        <v>Monitor</v>
      </c>
      <c r="E1092" s="2" t="n">
        <f aca="false">Raw_Data!E1092</f>
        <v>2</v>
      </c>
      <c r="F1092" s="4" t="n">
        <f aca="false">ROUND(Raw_Data!F1092,2)</f>
        <v>650.25</v>
      </c>
      <c r="G1092" s="2" t="str">
        <f aca="false">PROPER(TRIM(Raw_Data!G1092))</f>
        <v>996 Main St</v>
      </c>
      <c r="H1092" s="2" t="str">
        <f aca="false">PROPER(TRIM(Raw_Data!H1092))</f>
        <v>Gift Card</v>
      </c>
      <c r="I1092" s="2" t="str">
        <f aca="false">PROPER(TRIM(Raw_Data!I1092))</f>
        <v>Returned</v>
      </c>
      <c r="J1092" s="2" t="str">
        <f aca="false">TRIM(UPPER(Raw_Data!J1092))</f>
        <v>TRK37022954</v>
      </c>
      <c r="K1092" s="2" t="n">
        <f aca="false">Raw_Data!K1092</f>
        <v>6</v>
      </c>
      <c r="L1092" s="2" t="str">
        <f aca="false">IF(TRIM(Raw_Data!L1092)="","No Coupon",TRIM(UPPER(Raw_Data!L1092)))</f>
        <v>No Coupon</v>
      </c>
      <c r="M1092" s="2" t="str">
        <f aca="false">PROPER(TRIM(Raw_Data!M1092))</f>
        <v>Instagram</v>
      </c>
      <c r="N1092" s="4" t="n">
        <f aca="false">ROUND(E1092*F1092,2)</f>
        <v>1300.5</v>
      </c>
      <c r="O1092" s="2" t="str">
        <f aca="false">IF(COUNTIF($A$2:$A$1201,A1092)&gt;1,"DUPLICATE","Unique")</f>
        <v>Unique</v>
      </c>
      <c r="P1092" s="2" t="str">
        <f aca="false">IF(L1092="","MISSING","OK")</f>
        <v>OK</v>
      </c>
      <c r="Q1092" s="2" t="str">
        <f aca="false">IF(ISNUMBER(B1092),"OK","BAD DATE")</f>
        <v>OK</v>
      </c>
      <c r="R1092" s="2" t="str">
        <f aca="false">IF(ROUND(F1092,2)=F1092,"OK","FIX")</f>
        <v>OK</v>
      </c>
    </row>
    <row r="1093" customFormat="false" ht="15" hidden="false" customHeight="false" outlineLevel="0" collapsed="false">
      <c r="A1093" s="2" t="str">
        <f aca="false">TRIM(UPPER(Raw_Data!A1093))</f>
        <v>ORD201091</v>
      </c>
      <c r="B1093" s="3" t="n">
        <f aca="false">IF(ISNUMBER(Raw_Data!B1093),Raw_Data!B1093,DATEVALUE(Raw_Data!B1093))</f>
        <v>45573</v>
      </c>
      <c r="C1093" s="2" t="str">
        <f aca="false">TRIM(UPPER(Raw_Data!C1093))</f>
        <v>C16400</v>
      </c>
      <c r="D1093" s="2" t="str">
        <f aca="false">PROPER(TRIM(Raw_Data!D1093))</f>
        <v>Laptop</v>
      </c>
      <c r="E1093" s="2" t="n">
        <f aca="false">Raw_Data!E1093</f>
        <v>3</v>
      </c>
      <c r="F1093" s="4" t="n">
        <f aca="false">ROUND(Raw_Data!F1093,2)</f>
        <v>209.48</v>
      </c>
      <c r="G1093" s="2" t="str">
        <f aca="false">PROPER(TRIM(Raw_Data!G1093))</f>
        <v>123 Main St</v>
      </c>
      <c r="H1093" s="2" t="str">
        <f aca="false">PROPER(TRIM(Raw_Data!H1093))</f>
        <v>Debit Card</v>
      </c>
      <c r="I1093" s="2" t="str">
        <f aca="false">PROPER(TRIM(Raw_Data!I1093))</f>
        <v>Pending</v>
      </c>
      <c r="J1093" s="2" t="str">
        <f aca="false">TRIM(UPPER(Raw_Data!J1093))</f>
        <v>TRK57771859</v>
      </c>
      <c r="K1093" s="2" t="n">
        <f aca="false">Raw_Data!K1093</f>
        <v>4</v>
      </c>
      <c r="L1093" s="2" t="str">
        <f aca="false">IF(TRIM(Raw_Data!L1093)="","No Coupon",TRIM(UPPER(Raw_Data!L1093)))</f>
        <v>No Coupon</v>
      </c>
      <c r="M1093" s="2" t="str">
        <f aca="false">PROPER(TRIM(Raw_Data!M1093))</f>
        <v>Email</v>
      </c>
      <c r="N1093" s="4" t="n">
        <f aca="false">ROUND(E1093*F1093,2)</f>
        <v>628.44</v>
      </c>
      <c r="O1093" s="2" t="str">
        <f aca="false">IF(COUNTIF($A$2:$A$1201,A1093)&gt;1,"DUPLICATE","Unique")</f>
        <v>Unique</v>
      </c>
      <c r="P1093" s="2" t="str">
        <f aca="false">IF(L1093="","MISSING","OK")</f>
        <v>OK</v>
      </c>
      <c r="Q1093" s="2" t="str">
        <f aca="false">IF(ISNUMBER(B1093),"OK","BAD DATE")</f>
        <v>OK</v>
      </c>
      <c r="R1093" s="2" t="str">
        <f aca="false">IF(ROUND(F1093,2)=F1093,"OK","FIX")</f>
        <v>OK</v>
      </c>
    </row>
    <row r="1094" customFormat="false" ht="15" hidden="false" customHeight="false" outlineLevel="0" collapsed="false">
      <c r="A1094" s="2" t="str">
        <f aca="false">TRIM(UPPER(Raw_Data!A1094))</f>
        <v>ORD201092</v>
      </c>
      <c r="B1094" s="3" t="n">
        <f aca="false">IF(ISNUMBER(Raw_Data!B1094),Raw_Data!B1094,DATEVALUE(Raw_Data!B1094))</f>
        <v>45159</v>
      </c>
      <c r="C1094" s="2" t="str">
        <f aca="false">TRIM(UPPER(Raw_Data!C1094))</f>
        <v>C38642</v>
      </c>
      <c r="D1094" s="2" t="str">
        <f aca="false">PROPER(TRIM(Raw_Data!D1094))</f>
        <v>Laptop</v>
      </c>
      <c r="E1094" s="2" t="n">
        <f aca="false">Raw_Data!E1094</f>
        <v>5</v>
      </c>
      <c r="F1094" s="4" t="n">
        <f aca="false">ROUND(Raw_Data!F1094,2)</f>
        <v>209.2</v>
      </c>
      <c r="G1094" s="2" t="str">
        <f aca="false">PROPER(TRIM(Raw_Data!G1094))</f>
        <v>930 Main St</v>
      </c>
      <c r="H1094" s="2" t="str">
        <f aca="false">PROPER(TRIM(Raw_Data!H1094))</f>
        <v>Debit Card</v>
      </c>
      <c r="I1094" s="2" t="str">
        <f aca="false">PROPER(TRIM(Raw_Data!I1094))</f>
        <v>Delivered</v>
      </c>
      <c r="J1094" s="2" t="str">
        <f aca="false">TRIM(UPPER(Raw_Data!J1094))</f>
        <v>TRK47744396</v>
      </c>
      <c r="K1094" s="2" t="n">
        <f aca="false">Raw_Data!K1094</f>
        <v>6</v>
      </c>
      <c r="L1094" s="2" t="str">
        <f aca="false">IF(TRIM(Raw_Data!L1094)="","No Coupon",TRIM(UPPER(Raw_Data!L1094)))</f>
        <v>WINTER15</v>
      </c>
      <c r="M1094" s="2" t="str">
        <f aca="false">PROPER(TRIM(Raw_Data!M1094))</f>
        <v>Email</v>
      </c>
      <c r="N1094" s="4" t="n">
        <f aca="false">ROUND(E1094*F1094,2)</f>
        <v>1046</v>
      </c>
      <c r="O1094" s="2" t="str">
        <f aca="false">IF(COUNTIF($A$2:$A$1201,A1094)&gt;1,"DUPLICATE","Unique")</f>
        <v>Unique</v>
      </c>
      <c r="P1094" s="2" t="str">
        <f aca="false">IF(L1094="","MISSING","OK")</f>
        <v>OK</v>
      </c>
      <c r="Q1094" s="2" t="str">
        <f aca="false">IF(ISNUMBER(B1094),"OK","BAD DATE")</f>
        <v>OK</v>
      </c>
      <c r="R1094" s="2" t="str">
        <f aca="false">IF(ROUND(F1094,2)=F1094,"OK","FIX")</f>
        <v>OK</v>
      </c>
    </row>
    <row r="1095" customFormat="false" ht="15" hidden="false" customHeight="false" outlineLevel="0" collapsed="false">
      <c r="A1095" s="2" t="str">
        <f aca="false">TRIM(UPPER(Raw_Data!A1095))</f>
        <v>ORD201093</v>
      </c>
      <c r="B1095" s="3" t="n">
        <f aca="false">IF(ISNUMBER(Raw_Data!B1095),Raw_Data!B1095,DATEVALUE(Raw_Data!B1095))</f>
        <v>45086</v>
      </c>
      <c r="C1095" s="2" t="str">
        <f aca="false">TRIM(UPPER(Raw_Data!C1095))</f>
        <v>C86773</v>
      </c>
      <c r="D1095" s="2" t="str">
        <f aca="false">PROPER(TRIM(Raw_Data!D1095))</f>
        <v>Phone</v>
      </c>
      <c r="E1095" s="2" t="n">
        <f aca="false">Raw_Data!E1095</f>
        <v>4</v>
      </c>
      <c r="F1095" s="4" t="n">
        <f aca="false">ROUND(Raw_Data!F1095,2)</f>
        <v>197.36</v>
      </c>
      <c r="G1095" s="2" t="str">
        <f aca="false">PROPER(TRIM(Raw_Data!G1095))</f>
        <v>557 Main St</v>
      </c>
      <c r="H1095" s="2" t="str">
        <f aca="false">PROPER(TRIM(Raw_Data!H1095))</f>
        <v>Gift Card</v>
      </c>
      <c r="I1095" s="2" t="str">
        <f aca="false">PROPER(TRIM(Raw_Data!I1095))</f>
        <v>Returned</v>
      </c>
      <c r="J1095" s="2" t="str">
        <f aca="false">TRIM(UPPER(Raw_Data!J1095))</f>
        <v>TRK22612240</v>
      </c>
      <c r="K1095" s="2" t="n">
        <f aca="false">Raw_Data!K1095</f>
        <v>9</v>
      </c>
      <c r="L1095" s="2" t="str">
        <f aca="false">IF(TRIM(Raw_Data!L1095)="","No Coupon",TRIM(UPPER(Raw_Data!L1095)))</f>
        <v>FREESHIP</v>
      </c>
      <c r="M1095" s="2" t="str">
        <f aca="false">PROPER(TRIM(Raw_Data!M1095))</f>
        <v>Instagram</v>
      </c>
      <c r="N1095" s="4" t="n">
        <f aca="false">ROUND(E1095*F1095,2)</f>
        <v>789.44</v>
      </c>
      <c r="O1095" s="2" t="str">
        <f aca="false">IF(COUNTIF($A$2:$A$1201,A1095)&gt;1,"DUPLICATE","Unique")</f>
        <v>Unique</v>
      </c>
      <c r="P1095" s="2" t="str">
        <f aca="false">IF(L1095="","MISSING","OK")</f>
        <v>OK</v>
      </c>
      <c r="Q1095" s="2" t="str">
        <f aca="false">IF(ISNUMBER(B1095),"OK","BAD DATE")</f>
        <v>OK</v>
      </c>
      <c r="R1095" s="2" t="str">
        <f aca="false">IF(ROUND(F1095,2)=F1095,"OK","FIX")</f>
        <v>OK</v>
      </c>
    </row>
    <row r="1096" customFormat="false" ht="15" hidden="false" customHeight="false" outlineLevel="0" collapsed="false">
      <c r="A1096" s="2" t="str">
        <f aca="false">TRIM(UPPER(Raw_Data!A1096))</f>
        <v>ORD201094</v>
      </c>
      <c r="B1096" s="3" t="n">
        <f aca="false">IF(ISNUMBER(Raw_Data!B1096),Raw_Data!B1096,DATEVALUE(Raw_Data!B1096))</f>
        <v>45105</v>
      </c>
      <c r="C1096" s="2" t="str">
        <f aca="false">TRIM(UPPER(Raw_Data!C1096))</f>
        <v>C66093</v>
      </c>
      <c r="D1096" s="2" t="str">
        <f aca="false">PROPER(TRIM(Raw_Data!D1096))</f>
        <v>Printer</v>
      </c>
      <c r="E1096" s="2" t="n">
        <f aca="false">Raw_Data!E1096</f>
        <v>4</v>
      </c>
      <c r="F1096" s="4" t="n">
        <f aca="false">ROUND(Raw_Data!F1096,2)</f>
        <v>648.91</v>
      </c>
      <c r="G1096" s="2" t="str">
        <f aca="false">PROPER(TRIM(Raw_Data!G1096))</f>
        <v>615 Main St</v>
      </c>
      <c r="H1096" s="2" t="str">
        <f aca="false">PROPER(TRIM(Raw_Data!H1096))</f>
        <v>Credit Card</v>
      </c>
      <c r="I1096" s="2" t="str">
        <f aca="false">PROPER(TRIM(Raw_Data!I1096))</f>
        <v>Shipped</v>
      </c>
      <c r="J1096" s="2" t="str">
        <f aca="false">TRIM(UPPER(Raw_Data!J1096))</f>
        <v>TRK54950785</v>
      </c>
      <c r="K1096" s="2" t="n">
        <f aca="false">Raw_Data!K1096</f>
        <v>6</v>
      </c>
      <c r="L1096" s="2" t="str">
        <f aca="false">IF(TRIM(Raw_Data!L1096)="","No Coupon",TRIM(UPPER(Raw_Data!L1096)))</f>
        <v>SAVE10</v>
      </c>
      <c r="M1096" s="2" t="str">
        <f aca="false">PROPER(TRIM(Raw_Data!M1096))</f>
        <v>Instagram</v>
      </c>
      <c r="N1096" s="4" t="n">
        <f aca="false">ROUND(E1096*F1096,2)</f>
        <v>2595.64</v>
      </c>
      <c r="O1096" s="2" t="str">
        <f aca="false">IF(COUNTIF($A$2:$A$1201,A1096)&gt;1,"DUPLICATE","Unique")</f>
        <v>Unique</v>
      </c>
      <c r="P1096" s="2" t="str">
        <f aca="false">IF(L1096="","MISSING","OK")</f>
        <v>OK</v>
      </c>
      <c r="Q1096" s="2" t="str">
        <f aca="false">IF(ISNUMBER(B1096),"OK","BAD DATE")</f>
        <v>OK</v>
      </c>
      <c r="R1096" s="2" t="str">
        <f aca="false">IF(ROUND(F1096,2)=F1096,"OK","FIX")</f>
        <v>OK</v>
      </c>
    </row>
    <row r="1097" customFormat="false" ht="15" hidden="false" customHeight="false" outlineLevel="0" collapsed="false">
      <c r="A1097" s="2" t="str">
        <f aca="false">TRIM(UPPER(Raw_Data!A1097))</f>
        <v>ORD201095</v>
      </c>
      <c r="B1097" s="3" t="n">
        <f aca="false">IF(ISNUMBER(Raw_Data!B1097),Raw_Data!B1097,DATEVALUE(Raw_Data!B1097))</f>
        <v>45405</v>
      </c>
      <c r="C1097" s="2" t="str">
        <f aca="false">TRIM(UPPER(Raw_Data!C1097))</f>
        <v>C33051</v>
      </c>
      <c r="D1097" s="2" t="str">
        <f aca="false">PROPER(TRIM(Raw_Data!D1097))</f>
        <v>Phone</v>
      </c>
      <c r="E1097" s="2" t="n">
        <f aca="false">Raw_Data!E1097</f>
        <v>2</v>
      </c>
      <c r="F1097" s="4" t="n">
        <f aca="false">ROUND(Raw_Data!F1097,2)</f>
        <v>441.54</v>
      </c>
      <c r="G1097" s="2" t="str">
        <f aca="false">PROPER(TRIM(Raw_Data!G1097))</f>
        <v>397 Main St</v>
      </c>
      <c r="H1097" s="2" t="str">
        <f aca="false">PROPER(TRIM(Raw_Data!H1097))</f>
        <v>Online</v>
      </c>
      <c r="I1097" s="2" t="str">
        <f aca="false">PROPER(TRIM(Raw_Data!I1097))</f>
        <v>Delivered</v>
      </c>
      <c r="J1097" s="2" t="str">
        <f aca="false">TRIM(UPPER(Raw_Data!J1097))</f>
        <v>TRK92929755</v>
      </c>
      <c r="K1097" s="2" t="n">
        <f aca="false">Raw_Data!K1097</f>
        <v>2</v>
      </c>
      <c r="L1097" s="2" t="str">
        <f aca="false">IF(TRIM(Raw_Data!L1097)="","No Coupon",TRIM(UPPER(Raw_Data!L1097)))</f>
        <v>SAVE10</v>
      </c>
      <c r="M1097" s="2" t="str">
        <f aca="false">PROPER(TRIM(Raw_Data!M1097))</f>
        <v>Email</v>
      </c>
      <c r="N1097" s="4" t="n">
        <f aca="false">ROUND(E1097*F1097,2)</f>
        <v>883.08</v>
      </c>
      <c r="O1097" s="2" t="str">
        <f aca="false">IF(COUNTIF($A$2:$A$1201,A1097)&gt;1,"DUPLICATE","Unique")</f>
        <v>Unique</v>
      </c>
      <c r="P1097" s="2" t="str">
        <f aca="false">IF(L1097="","MISSING","OK")</f>
        <v>OK</v>
      </c>
      <c r="Q1097" s="2" t="str">
        <f aca="false">IF(ISNUMBER(B1097),"OK","BAD DATE")</f>
        <v>OK</v>
      </c>
      <c r="R1097" s="2" t="str">
        <f aca="false">IF(ROUND(F1097,2)=F1097,"OK","FIX")</f>
        <v>OK</v>
      </c>
    </row>
    <row r="1098" customFormat="false" ht="15" hidden="false" customHeight="false" outlineLevel="0" collapsed="false">
      <c r="A1098" s="2" t="str">
        <f aca="false">TRIM(UPPER(Raw_Data!A1098))</f>
        <v>ORD201096</v>
      </c>
      <c r="B1098" s="3" t="n">
        <f aca="false">IF(ISNUMBER(Raw_Data!B1098),Raw_Data!B1098,DATEVALUE(Raw_Data!B1098))</f>
        <v>45780</v>
      </c>
      <c r="C1098" s="2" t="str">
        <f aca="false">TRIM(UPPER(Raw_Data!C1098))</f>
        <v>C18169</v>
      </c>
      <c r="D1098" s="2" t="str">
        <f aca="false">PROPER(TRIM(Raw_Data!D1098))</f>
        <v>Tablet</v>
      </c>
      <c r="E1098" s="2" t="n">
        <f aca="false">Raw_Data!E1098</f>
        <v>2</v>
      </c>
      <c r="F1098" s="4" t="n">
        <f aca="false">ROUND(Raw_Data!F1098,2)</f>
        <v>464.92</v>
      </c>
      <c r="G1098" s="2" t="str">
        <f aca="false">PROPER(TRIM(Raw_Data!G1098))</f>
        <v>782 Main St</v>
      </c>
      <c r="H1098" s="2" t="str">
        <f aca="false">PROPER(TRIM(Raw_Data!H1098))</f>
        <v>Debit Card</v>
      </c>
      <c r="I1098" s="2" t="str">
        <f aca="false">PROPER(TRIM(Raw_Data!I1098))</f>
        <v>Returned</v>
      </c>
      <c r="J1098" s="2" t="str">
        <f aca="false">TRIM(UPPER(Raw_Data!J1098))</f>
        <v>TRK49482923</v>
      </c>
      <c r="K1098" s="2" t="n">
        <f aca="false">Raw_Data!K1098</f>
        <v>2</v>
      </c>
      <c r="L1098" s="2" t="str">
        <f aca="false">IF(TRIM(Raw_Data!L1098)="","No Coupon",TRIM(UPPER(Raw_Data!L1098)))</f>
        <v>No Coupon</v>
      </c>
      <c r="M1098" s="2" t="str">
        <f aca="false">PROPER(TRIM(Raw_Data!M1098))</f>
        <v>Facebook</v>
      </c>
      <c r="N1098" s="4" t="n">
        <f aca="false">ROUND(E1098*F1098,2)</f>
        <v>929.84</v>
      </c>
      <c r="O1098" s="2" t="str">
        <f aca="false">IF(COUNTIF($A$2:$A$1201,A1098)&gt;1,"DUPLICATE","Unique")</f>
        <v>Unique</v>
      </c>
      <c r="P1098" s="2" t="str">
        <f aca="false">IF(L1098="","MISSING","OK")</f>
        <v>OK</v>
      </c>
      <c r="Q1098" s="2" t="str">
        <f aca="false">IF(ISNUMBER(B1098),"OK","BAD DATE")</f>
        <v>OK</v>
      </c>
      <c r="R1098" s="2" t="str">
        <f aca="false">IF(ROUND(F1098,2)=F1098,"OK","FIX")</f>
        <v>OK</v>
      </c>
    </row>
    <row r="1099" customFormat="false" ht="15" hidden="false" customHeight="false" outlineLevel="0" collapsed="false">
      <c r="A1099" s="2" t="str">
        <f aca="false">TRIM(UPPER(Raw_Data!A1099))</f>
        <v>ORD201097</v>
      </c>
      <c r="B1099" s="3" t="n">
        <f aca="false">IF(ISNUMBER(Raw_Data!B1099),Raw_Data!B1099,DATEVALUE(Raw_Data!B1099))</f>
        <v>45652</v>
      </c>
      <c r="C1099" s="2" t="str">
        <f aca="false">TRIM(UPPER(Raw_Data!C1099))</f>
        <v>C81370</v>
      </c>
      <c r="D1099" s="2" t="str">
        <f aca="false">PROPER(TRIM(Raw_Data!D1099))</f>
        <v>Monitor</v>
      </c>
      <c r="E1099" s="2" t="n">
        <f aca="false">Raw_Data!E1099</f>
        <v>5</v>
      </c>
      <c r="F1099" s="4" t="n">
        <f aca="false">ROUND(Raw_Data!F1099,2)</f>
        <v>506.45</v>
      </c>
      <c r="G1099" s="2" t="str">
        <f aca="false">PROPER(TRIM(Raw_Data!G1099))</f>
        <v>344 Main St</v>
      </c>
      <c r="H1099" s="2" t="str">
        <f aca="false">PROPER(TRIM(Raw_Data!H1099))</f>
        <v>Gift Card</v>
      </c>
      <c r="I1099" s="2" t="str">
        <f aca="false">PROPER(TRIM(Raw_Data!I1099))</f>
        <v>Shipped</v>
      </c>
      <c r="J1099" s="2" t="str">
        <f aca="false">TRIM(UPPER(Raw_Data!J1099))</f>
        <v>TRK99682998</v>
      </c>
      <c r="K1099" s="2" t="n">
        <f aca="false">Raw_Data!K1099</f>
        <v>7</v>
      </c>
      <c r="L1099" s="2" t="str">
        <f aca="false">IF(TRIM(Raw_Data!L1099)="","No Coupon",TRIM(UPPER(Raw_Data!L1099)))</f>
        <v>WINTER15</v>
      </c>
      <c r="M1099" s="2" t="str">
        <f aca="false">PROPER(TRIM(Raw_Data!M1099))</f>
        <v>Google</v>
      </c>
      <c r="N1099" s="4" t="n">
        <f aca="false">ROUND(E1099*F1099,2)</f>
        <v>2532.25</v>
      </c>
      <c r="O1099" s="2" t="str">
        <f aca="false">IF(COUNTIF($A$2:$A$1201,A1099)&gt;1,"DUPLICATE","Unique")</f>
        <v>Unique</v>
      </c>
      <c r="P1099" s="2" t="str">
        <f aca="false">IF(L1099="","MISSING","OK")</f>
        <v>OK</v>
      </c>
      <c r="Q1099" s="2" t="str">
        <f aca="false">IF(ISNUMBER(B1099),"OK","BAD DATE")</f>
        <v>OK</v>
      </c>
      <c r="R1099" s="2" t="str">
        <f aca="false">IF(ROUND(F1099,2)=F1099,"OK","FIX")</f>
        <v>OK</v>
      </c>
    </row>
    <row r="1100" customFormat="false" ht="15" hidden="false" customHeight="false" outlineLevel="0" collapsed="false">
      <c r="A1100" s="2" t="str">
        <f aca="false">TRIM(UPPER(Raw_Data!A1100))</f>
        <v>ORD201098</v>
      </c>
      <c r="B1100" s="3" t="n">
        <f aca="false">IF(ISNUMBER(Raw_Data!B1100),Raw_Data!B1100,DATEVALUE(Raw_Data!B1100))</f>
        <v>45094</v>
      </c>
      <c r="C1100" s="2" t="str">
        <f aca="false">TRIM(UPPER(Raw_Data!C1100))</f>
        <v>C91103</v>
      </c>
      <c r="D1100" s="2" t="str">
        <f aca="false">PROPER(TRIM(Raw_Data!D1100))</f>
        <v>Monitor</v>
      </c>
      <c r="E1100" s="2" t="n">
        <f aca="false">Raw_Data!E1100</f>
        <v>4</v>
      </c>
      <c r="F1100" s="4" t="n">
        <f aca="false">ROUND(Raw_Data!F1100,2)</f>
        <v>255.86</v>
      </c>
      <c r="G1100" s="2" t="str">
        <f aca="false">PROPER(TRIM(Raw_Data!G1100))</f>
        <v>155 Main St</v>
      </c>
      <c r="H1100" s="2" t="str">
        <f aca="false">PROPER(TRIM(Raw_Data!H1100))</f>
        <v>Credit Card</v>
      </c>
      <c r="I1100" s="2" t="str">
        <f aca="false">PROPER(TRIM(Raw_Data!I1100))</f>
        <v>Delivered</v>
      </c>
      <c r="J1100" s="2" t="str">
        <f aca="false">TRIM(UPPER(Raw_Data!J1100))</f>
        <v>TRK91653000</v>
      </c>
      <c r="K1100" s="2" t="n">
        <f aca="false">Raw_Data!K1100</f>
        <v>7</v>
      </c>
      <c r="L1100" s="2" t="str">
        <f aca="false">IF(TRIM(Raw_Data!L1100)="","No Coupon",TRIM(UPPER(Raw_Data!L1100)))</f>
        <v>No Coupon</v>
      </c>
      <c r="M1100" s="2" t="str">
        <f aca="false">PROPER(TRIM(Raw_Data!M1100))</f>
        <v>Email</v>
      </c>
      <c r="N1100" s="4" t="n">
        <f aca="false">ROUND(E1100*F1100,2)</f>
        <v>1023.44</v>
      </c>
      <c r="O1100" s="2" t="str">
        <f aca="false">IF(COUNTIF($A$2:$A$1201,A1100)&gt;1,"DUPLICATE","Unique")</f>
        <v>Unique</v>
      </c>
      <c r="P1100" s="2" t="str">
        <f aca="false">IF(L1100="","MISSING","OK")</f>
        <v>OK</v>
      </c>
      <c r="Q1100" s="2" t="str">
        <f aca="false">IF(ISNUMBER(B1100),"OK","BAD DATE")</f>
        <v>OK</v>
      </c>
      <c r="R1100" s="2" t="str">
        <f aca="false">IF(ROUND(F1100,2)=F1100,"OK","FIX")</f>
        <v>OK</v>
      </c>
    </row>
    <row r="1101" customFormat="false" ht="15" hidden="false" customHeight="false" outlineLevel="0" collapsed="false">
      <c r="A1101" s="2" t="str">
        <f aca="false">TRIM(UPPER(Raw_Data!A1101))</f>
        <v>ORD201099</v>
      </c>
      <c r="B1101" s="3" t="n">
        <f aca="false">IF(ISNUMBER(Raw_Data!B1101),Raw_Data!B1101,DATEVALUE(Raw_Data!B1101))</f>
        <v>45554</v>
      </c>
      <c r="C1101" s="2" t="str">
        <f aca="false">TRIM(UPPER(Raw_Data!C1101))</f>
        <v>C21953</v>
      </c>
      <c r="D1101" s="2" t="str">
        <f aca="false">PROPER(TRIM(Raw_Data!D1101))</f>
        <v>Laptop</v>
      </c>
      <c r="E1101" s="2" t="n">
        <f aca="false">Raw_Data!E1101</f>
        <v>2</v>
      </c>
      <c r="F1101" s="4" t="n">
        <f aca="false">ROUND(Raw_Data!F1101,2)</f>
        <v>125.23</v>
      </c>
      <c r="G1101" s="2" t="str">
        <f aca="false">PROPER(TRIM(Raw_Data!G1101))</f>
        <v>272 Main St</v>
      </c>
      <c r="H1101" s="2" t="str">
        <f aca="false">PROPER(TRIM(Raw_Data!H1101))</f>
        <v>Cash</v>
      </c>
      <c r="I1101" s="2" t="str">
        <f aca="false">PROPER(TRIM(Raw_Data!I1101))</f>
        <v>Cancelled</v>
      </c>
      <c r="J1101" s="2" t="str">
        <f aca="false">TRIM(UPPER(Raw_Data!J1101))</f>
        <v>TRK60774796</v>
      </c>
      <c r="K1101" s="2" t="n">
        <f aca="false">Raw_Data!K1101</f>
        <v>3</v>
      </c>
      <c r="L1101" s="2" t="str">
        <f aca="false">IF(TRIM(Raw_Data!L1101)="","No Coupon",TRIM(UPPER(Raw_Data!L1101)))</f>
        <v>FREESHIP</v>
      </c>
      <c r="M1101" s="2" t="str">
        <f aca="false">PROPER(TRIM(Raw_Data!M1101))</f>
        <v>Email</v>
      </c>
      <c r="N1101" s="4" t="n">
        <f aca="false">ROUND(E1101*F1101,2)</f>
        <v>250.46</v>
      </c>
      <c r="O1101" s="2" t="str">
        <f aca="false">IF(COUNTIF($A$2:$A$1201,A1101)&gt;1,"DUPLICATE","Unique")</f>
        <v>Unique</v>
      </c>
      <c r="P1101" s="2" t="str">
        <f aca="false">IF(L1101="","MISSING","OK")</f>
        <v>OK</v>
      </c>
      <c r="Q1101" s="2" t="str">
        <f aca="false">IF(ISNUMBER(B1101),"OK","BAD DATE")</f>
        <v>OK</v>
      </c>
      <c r="R1101" s="2" t="str">
        <f aca="false">IF(ROUND(F1101,2)=F1101,"OK","FIX")</f>
        <v>OK</v>
      </c>
    </row>
    <row r="1102" customFormat="false" ht="15" hidden="false" customHeight="false" outlineLevel="0" collapsed="false">
      <c r="A1102" s="2" t="str">
        <f aca="false">TRIM(UPPER(Raw_Data!A1102))</f>
        <v>ORD201100</v>
      </c>
      <c r="B1102" s="3" t="n">
        <f aca="false">IF(ISNUMBER(Raw_Data!B1102),Raw_Data!B1102,DATEVALUE(Raw_Data!B1102))</f>
        <v>45155</v>
      </c>
      <c r="C1102" s="2" t="str">
        <f aca="false">TRIM(UPPER(Raw_Data!C1102))</f>
        <v>C15146</v>
      </c>
      <c r="D1102" s="2" t="str">
        <f aca="false">PROPER(TRIM(Raw_Data!D1102))</f>
        <v>Laptop</v>
      </c>
      <c r="E1102" s="2" t="n">
        <f aca="false">Raw_Data!E1102</f>
        <v>5</v>
      </c>
      <c r="F1102" s="4" t="n">
        <f aca="false">ROUND(Raw_Data!F1102,2)</f>
        <v>38.11</v>
      </c>
      <c r="G1102" s="2" t="str">
        <f aca="false">PROPER(TRIM(Raw_Data!G1102))</f>
        <v>428 Main St</v>
      </c>
      <c r="H1102" s="2" t="str">
        <f aca="false">PROPER(TRIM(Raw_Data!H1102))</f>
        <v>Debit Card</v>
      </c>
      <c r="I1102" s="2" t="str">
        <f aca="false">PROPER(TRIM(Raw_Data!I1102))</f>
        <v>Cancelled</v>
      </c>
      <c r="J1102" s="2" t="str">
        <f aca="false">TRIM(UPPER(Raw_Data!J1102))</f>
        <v>TRK79790530</v>
      </c>
      <c r="K1102" s="2" t="n">
        <f aca="false">Raw_Data!K1102</f>
        <v>6</v>
      </c>
      <c r="L1102" s="2" t="str">
        <f aca="false">IF(TRIM(Raw_Data!L1102)="","No Coupon",TRIM(UPPER(Raw_Data!L1102)))</f>
        <v>WINTER15</v>
      </c>
      <c r="M1102" s="2" t="str">
        <f aca="false">PROPER(TRIM(Raw_Data!M1102))</f>
        <v>Instagram</v>
      </c>
      <c r="N1102" s="4" t="n">
        <f aca="false">ROUND(E1102*F1102,2)</f>
        <v>190.55</v>
      </c>
      <c r="O1102" s="2" t="str">
        <f aca="false">IF(COUNTIF($A$2:$A$1201,A1102)&gt;1,"DUPLICATE","Unique")</f>
        <v>Unique</v>
      </c>
      <c r="P1102" s="2" t="str">
        <f aca="false">IF(L1102="","MISSING","OK")</f>
        <v>OK</v>
      </c>
      <c r="Q1102" s="2" t="str">
        <f aca="false">IF(ISNUMBER(B1102),"OK","BAD DATE")</f>
        <v>OK</v>
      </c>
      <c r="R1102" s="2" t="str">
        <f aca="false">IF(ROUND(F1102,2)=F1102,"OK","FIX")</f>
        <v>OK</v>
      </c>
    </row>
    <row r="1103" customFormat="false" ht="15" hidden="false" customHeight="false" outlineLevel="0" collapsed="false">
      <c r="A1103" s="2" t="str">
        <f aca="false">TRIM(UPPER(Raw_Data!A1103))</f>
        <v>ORD201101</v>
      </c>
      <c r="B1103" s="3" t="n">
        <f aca="false">IF(ISNUMBER(Raw_Data!B1103),Raw_Data!B1103,DATEVALUE(Raw_Data!B1103))</f>
        <v>45816</v>
      </c>
      <c r="C1103" s="2" t="str">
        <f aca="false">TRIM(UPPER(Raw_Data!C1103))</f>
        <v>C43546</v>
      </c>
      <c r="D1103" s="2" t="str">
        <f aca="false">PROPER(TRIM(Raw_Data!D1103))</f>
        <v>Monitor</v>
      </c>
      <c r="E1103" s="2" t="n">
        <f aca="false">Raw_Data!E1103</f>
        <v>3</v>
      </c>
      <c r="F1103" s="4" t="n">
        <f aca="false">ROUND(Raw_Data!F1103,2)</f>
        <v>161.97</v>
      </c>
      <c r="G1103" s="2" t="str">
        <f aca="false">PROPER(TRIM(Raw_Data!G1103))</f>
        <v>904 Main St</v>
      </c>
      <c r="H1103" s="2" t="str">
        <f aca="false">PROPER(TRIM(Raw_Data!H1103))</f>
        <v>Cash</v>
      </c>
      <c r="I1103" s="2" t="str">
        <f aca="false">PROPER(TRIM(Raw_Data!I1103))</f>
        <v>Pending</v>
      </c>
      <c r="J1103" s="2" t="str">
        <f aca="false">TRIM(UPPER(Raw_Data!J1103))</f>
        <v>TRK85871121</v>
      </c>
      <c r="K1103" s="2" t="n">
        <f aca="false">Raw_Data!K1103</f>
        <v>4</v>
      </c>
      <c r="L1103" s="2" t="str">
        <f aca="false">IF(TRIM(Raw_Data!L1103)="","No Coupon",TRIM(UPPER(Raw_Data!L1103)))</f>
        <v>SAVE10</v>
      </c>
      <c r="M1103" s="2" t="str">
        <f aca="false">PROPER(TRIM(Raw_Data!M1103))</f>
        <v>Email</v>
      </c>
      <c r="N1103" s="4" t="n">
        <f aca="false">ROUND(E1103*F1103,2)</f>
        <v>485.91</v>
      </c>
      <c r="O1103" s="2" t="str">
        <f aca="false">IF(COUNTIF($A$2:$A$1201,A1103)&gt;1,"DUPLICATE","Unique")</f>
        <v>Unique</v>
      </c>
      <c r="P1103" s="2" t="str">
        <f aca="false">IF(L1103="","MISSING","OK")</f>
        <v>OK</v>
      </c>
      <c r="Q1103" s="2" t="str">
        <f aca="false">IF(ISNUMBER(B1103),"OK","BAD DATE")</f>
        <v>OK</v>
      </c>
      <c r="R1103" s="2" t="str">
        <f aca="false">IF(ROUND(F1103,2)=F1103,"OK","FIX")</f>
        <v>OK</v>
      </c>
    </row>
    <row r="1104" customFormat="false" ht="15" hidden="false" customHeight="false" outlineLevel="0" collapsed="false">
      <c r="A1104" s="2" t="str">
        <f aca="false">TRIM(UPPER(Raw_Data!A1104))</f>
        <v>ORD201102</v>
      </c>
      <c r="B1104" s="3" t="n">
        <f aca="false">IF(ISNUMBER(Raw_Data!B1104),Raw_Data!B1104,DATEVALUE(Raw_Data!B1104))</f>
        <v>45446</v>
      </c>
      <c r="C1104" s="2" t="str">
        <f aca="false">TRIM(UPPER(Raw_Data!C1104))</f>
        <v>C98474</v>
      </c>
      <c r="D1104" s="2" t="str">
        <f aca="false">PROPER(TRIM(Raw_Data!D1104))</f>
        <v>Chair</v>
      </c>
      <c r="E1104" s="2" t="n">
        <f aca="false">Raw_Data!E1104</f>
        <v>4</v>
      </c>
      <c r="F1104" s="4" t="n">
        <f aca="false">ROUND(Raw_Data!F1104,2)</f>
        <v>347.17</v>
      </c>
      <c r="G1104" s="2" t="str">
        <f aca="false">PROPER(TRIM(Raw_Data!G1104))</f>
        <v>997 Main St</v>
      </c>
      <c r="H1104" s="2" t="str">
        <f aca="false">PROPER(TRIM(Raw_Data!H1104))</f>
        <v>Debit Card</v>
      </c>
      <c r="I1104" s="2" t="str">
        <f aca="false">PROPER(TRIM(Raw_Data!I1104))</f>
        <v>Shipped</v>
      </c>
      <c r="J1104" s="2" t="str">
        <f aca="false">TRIM(UPPER(Raw_Data!J1104))</f>
        <v>TRK86192984</v>
      </c>
      <c r="K1104" s="2" t="n">
        <f aca="false">Raw_Data!K1104</f>
        <v>8</v>
      </c>
      <c r="L1104" s="2" t="str">
        <f aca="false">IF(TRIM(Raw_Data!L1104)="","No Coupon",TRIM(UPPER(Raw_Data!L1104)))</f>
        <v>No Coupon</v>
      </c>
      <c r="M1104" s="2" t="str">
        <f aca="false">PROPER(TRIM(Raw_Data!M1104))</f>
        <v>Instagram</v>
      </c>
      <c r="N1104" s="4" t="n">
        <f aca="false">ROUND(E1104*F1104,2)</f>
        <v>1388.68</v>
      </c>
      <c r="O1104" s="2" t="str">
        <f aca="false">IF(COUNTIF($A$2:$A$1201,A1104)&gt;1,"DUPLICATE","Unique")</f>
        <v>Unique</v>
      </c>
      <c r="P1104" s="2" t="str">
        <f aca="false">IF(L1104="","MISSING","OK")</f>
        <v>OK</v>
      </c>
      <c r="Q1104" s="2" t="str">
        <f aca="false">IF(ISNUMBER(B1104),"OK","BAD DATE")</f>
        <v>OK</v>
      </c>
      <c r="R1104" s="2" t="str">
        <f aca="false">IF(ROUND(F1104,2)=F1104,"OK","FIX")</f>
        <v>OK</v>
      </c>
    </row>
    <row r="1105" customFormat="false" ht="15" hidden="false" customHeight="false" outlineLevel="0" collapsed="false">
      <c r="A1105" s="2" t="str">
        <f aca="false">TRIM(UPPER(Raw_Data!A1105))</f>
        <v>ORD201103</v>
      </c>
      <c r="B1105" s="3" t="n">
        <f aca="false">IF(ISNUMBER(Raw_Data!B1105),Raw_Data!B1105,DATEVALUE(Raw_Data!B1105))</f>
        <v>45040</v>
      </c>
      <c r="C1105" s="2" t="str">
        <f aca="false">TRIM(UPPER(Raw_Data!C1105))</f>
        <v>C90292</v>
      </c>
      <c r="D1105" s="2" t="str">
        <f aca="false">PROPER(TRIM(Raw_Data!D1105))</f>
        <v>Laptop</v>
      </c>
      <c r="E1105" s="2" t="n">
        <f aca="false">Raw_Data!E1105</f>
        <v>4</v>
      </c>
      <c r="F1105" s="4" t="n">
        <f aca="false">ROUND(Raw_Data!F1105,2)</f>
        <v>276.32</v>
      </c>
      <c r="G1105" s="2" t="str">
        <f aca="false">PROPER(TRIM(Raw_Data!G1105))</f>
        <v>129 Main St</v>
      </c>
      <c r="H1105" s="2" t="str">
        <f aca="false">PROPER(TRIM(Raw_Data!H1105))</f>
        <v>Online</v>
      </c>
      <c r="I1105" s="2" t="str">
        <f aca="false">PROPER(TRIM(Raw_Data!I1105))</f>
        <v>Delivered</v>
      </c>
      <c r="J1105" s="2" t="str">
        <f aca="false">TRIM(UPPER(Raw_Data!J1105))</f>
        <v>TRK26270357</v>
      </c>
      <c r="K1105" s="2" t="n">
        <f aca="false">Raw_Data!K1105</f>
        <v>5</v>
      </c>
      <c r="L1105" s="2" t="str">
        <f aca="false">IF(TRIM(Raw_Data!L1105)="","No Coupon",TRIM(UPPER(Raw_Data!L1105)))</f>
        <v>No Coupon</v>
      </c>
      <c r="M1105" s="2" t="str">
        <f aca="false">PROPER(TRIM(Raw_Data!M1105))</f>
        <v>Google</v>
      </c>
      <c r="N1105" s="4" t="n">
        <f aca="false">ROUND(E1105*F1105,2)</f>
        <v>1105.28</v>
      </c>
      <c r="O1105" s="2" t="str">
        <f aca="false">IF(COUNTIF($A$2:$A$1201,A1105)&gt;1,"DUPLICATE","Unique")</f>
        <v>Unique</v>
      </c>
      <c r="P1105" s="2" t="str">
        <f aca="false">IF(L1105="","MISSING","OK")</f>
        <v>OK</v>
      </c>
      <c r="Q1105" s="2" t="str">
        <f aca="false">IF(ISNUMBER(B1105),"OK","BAD DATE")</f>
        <v>OK</v>
      </c>
      <c r="R1105" s="2" t="str">
        <f aca="false">IF(ROUND(F1105,2)=F1105,"OK","FIX")</f>
        <v>OK</v>
      </c>
    </row>
    <row r="1106" customFormat="false" ht="15" hidden="false" customHeight="false" outlineLevel="0" collapsed="false">
      <c r="A1106" s="2" t="str">
        <f aca="false">TRIM(UPPER(Raw_Data!A1106))</f>
        <v>ORD201104</v>
      </c>
      <c r="B1106" s="3" t="n">
        <f aca="false">IF(ISNUMBER(Raw_Data!B1106),Raw_Data!B1106,DATEVALUE(Raw_Data!B1106))</f>
        <v>45498</v>
      </c>
      <c r="C1106" s="2" t="str">
        <f aca="false">TRIM(UPPER(Raw_Data!C1106))</f>
        <v>C17075</v>
      </c>
      <c r="D1106" s="2" t="str">
        <f aca="false">PROPER(TRIM(Raw_Data!D1106))</f>
        <v>Tablet</v>
      </c>
      <c r="E1106" s="2" t="n">
        <f aca="false">Raw_Data!E1106</f>
        <v>4</v>
      </c>
      <c r="F1106" s="4" t="n">
        <f aca="false">ROUND(Raw_Data!F1106,2)</f>
        <v>314.76</v>
      </c>
      <c r="G1106" s="2" t="str">
        <f aca="false">PROPER(TRIM(Raw_Data!G1106))</f>
        <v>850 Main St</v>
      </c>
      <c r="H1106" s="2" t="str">
        <f aca="false">PROPER(TRIM(Raw_Data!H1106))</f>
        <v>Online</v>
      </c>
      <c r="I1106" s="2" t="str">
        <f aca="false">PROPER(TRIM(Raw_Data!I1106))</f>
        <v>Shipped</v>
      </c>
      <c r="J1106" s="2" t="str">
        <f aca="false">TRIM(UPPER(Raw_Data!J1106))</f>
        <v>TRK63547510</v>
      </c>
      <c r="K1106" s="2" t="n">
        <f aca="false">Raw_Data!K1106</f>
        <v>8</v>
      </c>
      <c r="L1106" s="2" t="str">
        <f aca="false">IF(TRIM(Raw_Data!L1106)="","No Coupon",TRIM(UPPER(Raw_Data!L1106)))</f>
        <v>No Coupon</v>
      </c>
      <c r="M1106" s="2" t="str">
        <f aca="false">PROPER(TRIM(Raw_Data!M1106))</f>
        <v>Instagram</v>
      </c>
      <c r="N1106" s="4" t="n">
        <f aca="false">ROUND(E1106*F1106,2)</f>
        <v>1259.04</v>
      </c>
      <c r="O1106" s="2" t="str">
        <f aca="false">IF(COUNTIF($A$2:$A$1201,A1106)&gt;1,"DUPLICATE","Unique")</f>
        <v>Unique</v>
      </c>
      <c r="P1106" s="2" t="str">
        <f aca="false">IF(L1106="","MISSING","OK")</f>
        <v>OK</v>
      </c>
      <c r="Q1106" s="2" t="str">
        <f aca="false">IF(ISNUMBER(B1106),"OK","BAD DATE")</f>
        <v>OK</v>
      </c>
      <c r="R1106" s="2" t="str">
        <f aca="false">IF(ROUND(F1106,2)=F1106,"OK","FIX")</f>
        <v>OK</v>
      </c>
    </row>
    <row r="1107" customFormat="false" ht="15" hidden="false" customHeight="false" outlineLevel="0" collapsed="false">
      <c r="A1107" s="2" t="str">
        <f aca="false">TRIM(UPPER(Raw_Data!A1107))</f>
        <v>ORD201105</v>
      </c>
      <c r="B1107" s="3" t="n">
        <f aca="false">IF(ISNUMBER(Raw_Data!B1107),Raw_Data!B1107,DATEVALUE(Raw_Data!B1107))</f>
        <v>45299</v>
      </c>
      <c r="C1107" s="2" t="str">
        <f aca="false">TRIM(UPPER(Raw_Data!C1107))</f>
        <v>C12487</v>
      </c>
      <c r="D1107" s="2" t="str">
        <f aca="false">PROPER(TRIM(Raw_Data!D1107))</f>
        <v>Tablet</v>
      </c>
      <c r="E1107" s="2" t="n">
        <f aca="false">Raw_Data!E1107</f>
        <v>3</v>
      </c>
      <c r="F1107" s="4" t="n">
        <f aca="false">ROUND(Raw_Data!F1107,2)</f>
        <v>475.69</v>
      </c>
      <c r="G1107" s="2" t="str">
        <f aca="false">PROPER(TRIM(Raw_Data!G1107))</f>
        <v>884 Main St</v>
      </c>
      <c r="H1107" s="2" t="str">
        <f aca="false">PROPER(TRIM(Raw_Data!H1107))</f>
        <v>Gift Card</v>
      </c>
      <c r="I1107" s="2" t="str">
        <f aca="false">PROPER(TRIM(Raw_Data!I1107))</f>
        <v>Cancelled</v>
      </c>
      <c r="J1107" s="2" t="str">
        <f aca="false">TRIM(UPPER(Raw_Data!J1107))</f>
        <v>TRK23324770</v>
      </c>
      <c r="K1107" s="2" t="n">
        <f aca="false">Raw_Data!K1107</f>
        <v>3</v>
      </c>
      <c r="L1107" s="2" t="str">
        <f aca="false">IF(TRIM(Raw_Data!L1107)="","No Coupon",TRIM(UPPER(Raw_Data!L1107)))</f>
        <v>FREESHIP</v>
      </c>
      <c r="M1107" s="2" t="str">
        <f aca="false">PROPER(TRIM(Raw_Data!M1107))</f>
        <v>Google</v>
      </c>
      <c r="N1107" s="4" t="n">
        <f aca="false">ROUND(E1107*F1107,2)</f>
        <v>1427.07</v>
      </c>
      <c r="O1107" s="2" t="str">
        <f aca="false">IF(COUNTIF($A$2:$A$1201,A1107)&gt;1,"DUPLICATE","Unique")</f>
        <v>Unique</v>
      </c>
      <c r="P1107" s="2" t="str">
        <f aca="false">IF(L1107="","MISSING","OK")</f>
        <v>OK</v>
      </c>
      <c r="Q1107" s="2" t="str">
        <f aca="false">IF(ISNUMBER(B1107),"OK","BAD DATE")</f>
        <v>OK</v>
      </c>
      <c r="R1107" s="2" t="str">
        <f aca="false">IF(ROUND(F1107,2)=F1107,"OK","FIX")</f>
        <v>OK</v>
      </c>
    </row>
    <row r="1108" customFormat="false" ht="15" hidden="false" customHeight="false" outlineLevel="0" collapsed="false">
      <c r="A1108" s="2" t="str">
        <f aca="false">TRIM(UPPER(Raw_Data!A1108))</f>
        <v>ORD201106</v>
      </c>
      <c r="B1108" s="3" t="n">
        <f aca="false">IF(ISNUMBER(Raw_Data!B1108),Raw_Data!B1108,DATEVALUE(Raw_Data!B1108))</f>
        <v>44997</v>
      </c>
      <c r="C1108" s="2" t="str">
        <f aca="false">TRIM(UPPER(Raw_Data!C1108))</f>
        <v>C34555</v>
      </c>
      <c r="D1108" s="2" t="str">
        <f aca="false">PROPER(TRIM(Raw_Data!D1108))</f>
        <v>Chair</v>
      </c>
      <c r="E1108" s="2" t="n">
        <f aca="false">Raw_Data!E1108</f>
        <v>1</v>
      </c>
      <c r="F1108" s="4" t="n">
        <f aca="false">ROUND(Raw_Data!F1108,2)</f>
        <v>372.8</v>
      </c>
      <c r="G1108" s="2" t="str">
        <f aca="false">PROPER(TRIM(Raw_Data!G1108))</f>
        <v>903 Main St</v>
      </c>
      <c r="H1108" s="2" t="str">
        <f aca="false">PROPER(TRIM(Raw_Data!H1108))</f>
        <v>Cash</v>
      </c>
      <c r="I1108" s="2" t="str">
        <f aca="false">PROPER(TRIM(Raw_Data!I1108))</f>
        <v>Cancelled</v>
      </c>
      <c r="J1108" s="2" t="str">
        <f aca="false">TRIM(UPPER(Raw_Data!J1108))</f>
        <v>TRK72859458</v>
      </c>
      <c r="K1108" s="2" t="n">
        <f aca="false">Raw_Data!K1108</f>
        <v>6</v>
      </c>
      <c r="L1108" s="2" t="str">
        <f aca="false">IF(TRIM(Raw_Data!L1108)="","No Coupon",TRIM(UPPER(Raw_Data!L1108)))</f>
        <v>SAVE10</v>
      </c>
      <c r="M1108" s="2" t="str">
        <f aca="false">PROPER(TRIM(Raw_Data!M1108))</f>
        <v>Facebook</v>
      </c>
      <c r="N1108" s="4" t="n">
        <f aca="false">ROUND(E1108*F1108,2)</f>
        <v>372.8</v>
      </c>
      <c r="O1108" s="2" t="str">
        <f aca="false">IF(COUNTIF($A$2:$A$1201,A1108)&gt;1,"DUPLICATE","Unique")</f>
        <v>Unique</v>
      </c>
      <c r="P1108" s="2" t="str">
        <f aca="false">IF(L1108="","MISSING","OK")</f>
        <v>OK</v>
      </c>
      <c r="Q1108" s="2" t="str">
        <f aca="false">IF(ISNUMBER(B1108),"OK","BAD DATE")</f>
        <v>OK</v>
      </c>
      <c r="R1108" s="2" t="str">
        <f aca="false">IF(ROUND(F1108,2)=F1108,"OK","FIX")</f>
        <v>OK</v>
      </c>
    </row>
    <row r="1109" customFormat="false" ht="15" hidden="false" customHeight="false" outlineLevel="0" collapsed="false">
      <c r="A1109" s="2" t="str">
        <f aca="false">TRIM(UPPER(Raw_Data!A1109))</f>
        <v>ORD201107</v>
      </c>
      <c r="B1109" s="3" t="n">
        <f aca="false">IF(ISNUMBER(Raw_Data!B1109),Raw_Data!B1109,DATEVALUE(Raw_Data!B1109))</f>
        <v>45838</v>
      </c>
      <c r="C1109" s="2" t="str">
        <f aca="false">TRIM(UPPER(Raw_Data!C1109))</f>
        <v>C25110</v>
      </c>
      <c r="D1109" s="2" t="str">
        <f aca="false">PROPER(TRIM(Raw_Data!D1109))</f>
        <v>Tablet</v>
      </c>
      <c r="E1109" s="2" t="n">
        <f aca="false">Raw_Data!E1109</f>
        <v>2</v>
      </c>
      <c r="F1109" s="4" t="n">
        <f aca="false">ROUND(Raw_Data!F1109,2)</f>
        <v>63.21</v>
      </c>
      <c r="G1109" s="2" t="str">
        <f aca="false">PROPER(TRIM(Raw_Data!G1109))</f>
        <v>282 Main St</v>
      </c>
      <c r="H1109" s="2" t="str">
        <f aca="false">PROPER(TRIM(Raw_Data!H1109))</f>
        <v>Online</v>
      </c>
      <c r="I1109" s="2" t="str">
        <f aca="false">PROPER(TRIM(Raw_Data!I1109))</f>
        <v>Cancelled</v>
      </c>
      <c r="J1109" s="2" t="str">
        <f aca="false">TRIM(UPPER(Raw_Data!J1109))</f>
        <v>TRK80963328</v>
      </c>
      <c r="K1109" s="2" t="n">
        <f aca="false">Raw_Data!K1109</f>
        <v>4</v>
      </c>
      <c r="L1109" s="2" t="str">
        <f aca="false">IF(TRIM(Raw_Data!L1109)="","No Coupon",TRIM(UPPER(Raw_Data!L1109)))</f>
        <v>SAVE10</v>
      </c>
      <c r="M1109" s="2" t="str">
        <f aca="false">PROPER(TRIM(Raw_Data!M1109))</f>
        <v>Google</v>
      </c>
      <c r="N1109" s="4" t="n">
        <f aca="false">ROUND(E1109*F1109,2)</f>
        <v>126.42</v>
      </c>
      <c r="O1109" s="2" t="str">
        <f aca="false">IF(COUNTIF($A$2:$A$1201,A1109)&gt;1,"DUPLICATE","Unique")</f>
        <v>Unique</v>
      </c>
      <c r="P1109" s="2" t="str">
        <f aca="false">IF(L1109="","MISSING","OK")</f>
        <v>OK</v>
      </c>
      <c r="Q1109" s="2" t="str">
        <f aca="false">IF(ISNUMBER(B1109),"OK","BAD DATE")</f>
        <v>OK</v>
      </c>
      <c r="R1109" s="2" t="str">
        <f aca="false">IF(ROUND(F1109,2)=F1109,"OK","FIX")</f>
        <v>OK</v>
      </c>
    </row>
    <row r="1110" customFormat="false" ht="15" hidden="false" customHeight="false" outlineLevel="0" collapsed="false">
      <c r="A1110" s="2" t="str">
        <f aca="false">TRIM(UPPER(Raw_Data!A1110))</f>
        <v>ORD201108</v>
      </c>
      <c r="B1110" s="3" t="n">
        <f aca="false">IF(ISNUMBER(Raw_Data!B1110),Raw_Data!B1110,DATEVALUE(Raw_Data!B1110))</f>
        <v>45005</v>
      </c>
      <c r="C1110" s="2" t="str">
        <f aca="false">TRIM(UPPER(Raw_Data!C1110))</f>
        <v>C35136</v>
      </c>
      <c r="D1110" s="2" t="str">
        <f aca="false">PROPER(TRIM(Raw_Data!D1110))</f>
        <v>Laptop</v>
      </c>
      <c r="E1110" s="2" t="n">
        <f aca="false">Raw_Data!E1110</f>
        <v>1</v>
      </c>
      <c r="F1110" s="4" t="n">
        <f aca="false">ROUND(Raw_Data!F1110,2)</f>
        <v>634.94</v>
      </c>
      <c r="G1110" s="2" t="str">
        <f aca="false">PROPER(TRIM(Raw_Data!G1110))</f>
        <v>462 Main St</v>
      </c>
      <c r="H1110" s="2" t="str">
        <f aca="false">PROPER(TRIM(Raw_Data!H1110))</f>
        <v>Online</v>
      </c>
      <c r="I1110" s="2" t="str">
        <f aca="false">PROPER(TRIM(Raw_Data!I1110))</f>
        <v>Cancelled</v>
      </c>
      <c r="J1110" s="2" t="str">
        <f aca="false">TRIM(UPPER(Raw_Data!J1110))</f>
        <v>TRK49753703</v>
      </c>
      <c r="K1110" s="2" t="n">
        <f aca="false">Raw_Data!K1110</f>
        <v>5</v>
      </c>
      <c r="L1110" s="2" t="str">
        <f aca="false">IF(TRIM(Raw_Data!L1110)="","No Coupon",TRIM(UPPER(Raw_Data!L1110)))</f>
        <v>WINTER15</v>
      </c>
      <c r="M1110" s="2" t="str">
        <f aca="false">PROPER(TRIM(Raw_Data!M1110))</f>
        <v>Instagram</v>
      </c>
      <c r="N1110" s="4" t="n">
        <f aca="false">ROUND(E1110*F1110,2)</f>
        <v>634.94</v>
      </c>
      <c r="O1110" s="2" t="str">
        <f aca="false">IF(COUNTIF($A$2:$A$1201,A1110)&gt;1,"DUPLICATE","Unique")</f>
        <v>Unique</v>
      </c>
      <c r="P1110" s="2" t="str">
        <f aca="false">IF(L1110="","MISSING","OK")</f>
        <v>OK</v>
      </c>
      <c r="Q1110" s="2" t="str">
        <f aca="false">IF(ISNUMBER(B1110),"OK","BAD DATE")</f>
        <v>OK</v>
      </c>
      <c r="R1110" s="2" t="str">
        <f aca="false">IF(ROUND(F1110,2)=F1110,"OK","FIX")</f>
        <v>OK</v>
      </c>
    </row>
    <row r="1111" customFormat="false" ht="15" hidden="false" customHeight="false" outlineLevel="0" collapsed="false">
      <c r="A1111" s="2" t="str">
        <f aca="false">TRIM(UPPER(Raw_Data!A1111))</f>
        <v>ORD201109</v>
      </c>
      <c r="B1111" s="3" t="n">
        <f aca="false">IF(ISNUMBER(Raw_Data!B1111),Raw_Data!B1111,DATEVALUE(Raw_Data!B1111))</f>
        <v>45390</v>
      </c>
      <c r="C1111" s="2" t="str">
        <f aca="false">TRIM(UPPER(Raw_Data!C1111))</f>
        <v>C62277</v>
      </c>
      <c r="D1111" s="2" t="str">
        <f aca="false">PROPER(TRIM(Raw_Data!D1111))</f>
        <v>Printer</v>
      </c>
      <c r="E1111" s="2" t="n">
        <f aca="false">Raw_Data!E1111</f>
        <v>4</v>
      </c>
      <c r="F1111" s="4" t="n">
        <f aca="false">ROUND(Raw_Data!F1111,2)</f>
        <v>77.47</v>
      </c>
      <c r="G1111" s="2" t="str">
        <f aca="false">PROPER(TRIM(Raw_Data!G1111))</f>
        <v>474 Main St</v>
      </c>
      <c r="H1111" s="2" t="str">
        <f aca="false">PROPER(TRIM(Raw_Data!H1111))</f>
        <v>Gift Card</v>
      </c>
      <c r="I1111" s="2" t="str">
        <f aca="false">PROPER(TRIM(Raw_Data!I1111))</f>
        <v>Returned</v>
      </c>
      <c r="J1111" s="2" t="str">
        <f aca="false">TRIM(UPPER(Raw_Data!J1111))</f>
        <v>TRK32026174</v>
      </c>
      <c r="K1111" s="2" t="n">
        <f aca="false">Raw_Data!K1111</f>
        <v>7</v>
      </c>
      <c r="L1111" s="2" t="str">
        <f aca="false">IF(TRIM(Raw_Data!L1111)="","No Coupon",TRIM(UPPER(Raw_Data!L1111)))</f>
        <v>SAVE10</v>
      </c>
      <c r="M1111" s="2" t="str">
        <f aca="false">PROPER(TRIM(Raw_Data!M1111))</f>
        <v>Instagram</v>
      </c>
      <c r="N1111" s="4" t="n">
        <f aca="false">ROUND(E1111*F1111,2)</f>
        <v>309.88</v>
      </c>
      <c r="O1111" s="2" t="str">
        <f aca="false">IF(COUNTIF($A$2:$A$1201,A1111)&gt;1,"DUPLICATE","Unique")</f>
        <v>Unique</v>
      </c>
      <c r="P1111" s="2" t="str">
        <f aca="false">IF(L1111="","MISSING","OK")</f>
        <v>OK</v>
      </c>
      <c r="Q1111" s="2" t="str">
        <f aca="false">IF(ISNUMBER(B1111),"OK","BAD DATE")</f>
        <v>OK</v>
      </c>
      <c r="R1111" s="2" t="str">
        <f aca="false">IF(ROUND(F1111,2)=F1111,"OK","FIX")</f>
        <v>OK</v>
      </c>
    </row>
    <row r="1112" customFormat="false" ht="15" hidden="false" customHeight="false" outlineLevel="0" collapsed="false">
      <c r="A1112" s="2" t="str">
        <f aca="false">TRIM(UPPER(Raw_Data!A1112))</f>
        <v>ORD201110</v>
      </c>
      <c r="B1112" s="3" t="n">
        <f aca="false">IF(ISNUMBER(Raw_Data!B1112),Raw_Data!B1112,DATEVALUE(Raw_Data!B1112))</f>
        <v>45347</v>
      </c>
      <c r="C1112" s="2" t="str">
        <f aca="false">TRIM(UPPER(Raw_Data!C1112))</f>
        <v>C12472</v>
      </c>
      <c r="D1112" s="2" t="str">
        <f aca="false">PROPER(TRIM(Raw_Data!D1112))</f>
        <v>Chair</v>
      </c>
      <c r="E1112" s="2" t="n">
        <f aca="false">Raw_Data!E1112</f>
        <v>3</v>
      </c>
      <c r="F1112" s="4" t="n">
        <f aca="false">ROUND(Raw_Data!F1112,2)</f>
        <v>84.31</v>
      </c>
      <c r="G1112" s="2" t="str">
        <f aca="false">PROPER(TRIM(Raw_Data!G1112))</f>
        <v>912 Main St</v>
      </c>
      <c r="H1112" s="2" t="str">
        <f aca="false">PROPER(TRIM(Raw_Data!H1112))</f>
        <v>Credit Card</v>
      </c>
      <c r="I1112" s="2" t="str">
        <f aca="false">PROPER(TRIM(Raw_Data!I1112))</f>
        <v>Shipped</v>
      </c>
      <c r="J1112" s="2" t="str">
        <f aca="false">TRIM(UPPER(Raw_Data!J1112))</f>
        <v>TRK36103184</v>
      </c>
      <c r="K1112" s="2" t="n">
        <f aca="false">Raw_Data!K1112</f>
        <v>3</v>
      </c>
      <c r="L1112" s="2" t="str">
        <f aca="false">IF(TRIM(Raw_Data!L1112)="","No Coupon",TRIM(UPPER(Raw_Data!L1112)))</f>
        <v>SAVE10</v>
      </c>
      <c r="M1112" s="2" t="str">
        <f aca="false">PROPER(TRIM(Raw_Data!M1112))</f>
        <v>Email</v>
      </c>
      <c r="N1112" s="4" t="n">
        <f aca="false">ROUND(E1112*F1112,2)</f>
        <v>252.93</v>
      </c>
      <c r="O1112" s="2" t="str">
        <f aca="false">IF(COUNTIF($A$2:$A$1201,A1112)&gt;1,"DUPLICATE","Unique")</f>
        <v>Unique</v>
      </c>
      <c r="P1112" s="2" t="str">
        <f aca="false">IF(L1112="","MISSING","OK")</f>
        <v>OK</v>
      </c>
      <c r="Q1112" s="2" t="str">
        <f aca="false">IF(ISNUMBER(B1112),"OK","BAD DATE")</f>
        <v>OK</v>
      </c>
      <c r="R1112" s="2" t="str">
        <f aca="false">IF(ROUND(F1112,2)=F1112,"OK","FIX")</f>
        <v>OK</v>
      </c>
    </row>
    <row r="1113" customFormat="false" ht="15" hidden="false" customHeight="false" outlineLevel="0" collapsed="false">
      <c r="A1113" s="2" t="str">
        <f aca="false">TRIM(UPPER(Raw_Data!A1113))</f>
        <v>ORD201111</v>
      </c>
      <c r="B1113" s="3" t="n">
        <f aca="false">IF(ISNUMBER(Raw_Data!B1113),Raw_Data!B1113,DATEVALUE(Raw_Data!B1113))</f>
        <v>45052</v>
      </c>
      <c r="C1113" s="2" t="str">
        <f aca="false">TRIM(UPPER(Raw_Data!C1113))</f>
        <v>C24047</v>
      </c>
      <c r="D1113" s="2" t="str">
        <f aca="false">PROPER(TRIM(Raw_Data!D1113))</f>
        <v>Monitor</v>
      </c>
      <c r="E1113" s="2" t="n">
        <f aca="false">Raw_Data!E1113</f>
        <v>4</v>
      </c>
      <c r="F1113" s="4" t="n">
        <f aca="false">ROUND(Raw_Data!F1113,2)</f>
        <v>234.45</v>
      </c>
      <c r="G1113" s="2" t="str">
        <f aca="false">PROPER(TRIM(Raw_Data!G1113))</f>
        <v>362 Main St</v>
      </c>
      <c r="H1113" s="2" t="str">
        <f aca="false">PROPER(TRIM(Raw_Data!H1113))</f>
        <v>Online</v>
      </c>
      <c r="I1113" s="2" t="str">
        <f aca="false">PROPER(TRIM(Raw_Data!I1113))</f>
        <v>Cancelled</v>
      </c>
      <c r="J1113" s="2" t="str">
        <f aca="false">TRIM(UPPER(Raw_Data!J1113))</f>
        <v>TRK91338580</v>
      </c>
      <c r="K1113" s="2" t="n">
        <f aca="false">Raw_Data!K1113</f>
        <v>9</v>
      </c>
      <c r="L1113" s="2" t="str">
        <f aca="false">IF(TRIM(Raw_Data!L1113)="","No Coupon",TRIM(UPPER(Raw_Data!L1113)))</f>
        <v>FREESHIP</v>
      </c>
      <c r="M1113" s="2" t="str">
        <f aca="false">PROPER(TRIM(Raw_Data!M1113))</f>
        <v>Instagram</v>
      </c>
      <c r="N1113" s="4" t="n">
        <f aca="false">ROUND(E1113*F1113,2)</f>
        <v>937.8</v>
      </c>
      <c r="O1113" s="2" t="str">
        <f aca="false">IF(COUNTIF($A$2:$A$1201,A1113)&gt;1,"DUPLICATE","Unique")</f>
        <v>Unique</v>
      </c>
      <c r="P1113" s="2" t="str">
        <f aca="false">IF(L1113="","MISSING","OK")</f>
        <v>OK</v>
      </c>
      <c r="Q1113" s="2" t="str">
        <f aca="false">IF(ISNUMBER(B1113),"OK","BAD DATE")</f>
        <v>OK</v>
      </c>
      <c r="R1113" s="2" t="str">
        <f aca="false">IF(ROUND(F1113,2)=F1113,"OK","FIX")</f>
        <v>OK</v>
      </c>
    </row>
    <row r="1114" customFormat="false" ht="15" hidden="false" customHeight="false" outlineLevel="0" collapsed="false">
      <c r="A1114" s="2" t="str">
        <f aca="false">TRIM(UPPER(Raw_Data!A1114))</f>
        <v>ORD201112</v>
      </c>
      <c r="B1114" s="3" t="n">
        <f aca="false">IF(ISNUMBER(Raw_Data!B1114),Raw_Data!B1114,DATEVALUE(Raw_Data!B1114))</f>
        <v>45212</v>
      </c>
      <c r="C1114" s="2" t="str">
        <f aca="false">TRIM(UPPER(Raw_Data!C1114))</f>
        <v>C76929</v>
      </c>
      <c r="D1114" s="2" t="str">
        <f aca="false">PROPER(TRIM(Raw_Data!D1114))</f>
        <v>Desk</v>
      </c>
      <c r="E1114" s="2" t="n">
        <f aca="false">Raw_Data!E1114</f>
        <v>1</v>
      </c>
      <c r="F1114" s="4" t="n">
        <f aca="false">ROUND(Raw_Data!F1114,2)</f>
        <v>356.81</v>
      </c>
      <c r="G1114" s="2" t="str">
        <f aca="false">PROPER(TRIM(Raw_Data!G1114))</f>
        <v>563 Main St</v>
      </c>
      <c r="H1114" s="2" t="str">
        <f aca="false">PROPER(TRIM(Raw_Data!H1114))</f>
        <v>Online</v>
      </c>
      <c r="I1114" s="2" t="str">
        <f aca="false">PROPER(TRIM(Raw_Data!I1114))</f>
        <v>Delivered</v>
      </c>
      <c r="J1114" s="2" t="str">
        <f aca="false">TRIM(UPPER(Raw_Data!J1114))</f>
        <v>TRK80694400</v>
      </c>
      <c r="K1114" s="2" t="n">
        <f aca="false">Raw_Data!K1114</f>
        <v>1</v>
      </c>
      <c r="L1114" s="2" t="str">
        <f aca="false">IF(TRIM(Raw_Data!L1114)="","No Coupon",TRIM(UPPER(Raw_Data!L1114)))</f>
        <v>WINTER15</v>
      </c>
      <c r="M1114" s="2" t="str">
        <f aca="false">PROPER(TRIM(Raw_Data!M1114))</f>
        <v>Instagram</v>
      </c>
      <c r="N1114" s="4" t="n">
        <f aca="false">ROUND(E1114*F1114,2)</f>
        <v>356.81</v>
      </c>
      <c r="O1114" s="2" t="str">
        <f aca="false">IF(COUNTIF($A$2:$A$1201,A1114)&gt;1,"DUPLICATE","Unique")</f>
        <v>Unique</v>
      </c>
      <c r="P1114" s="2" t="str">
        <f aca="false">IF(L1114="","MISSING","OK")</f>
        <v>OK</v>
      </c>
      <c r="Q1114" s="2" t="str">
        <f aca="false">IF(ISNUMBER(B1114),"OK","BAD DATE")</f>
        <v>OK</v>
      </c>
      <c r="R1114" s="2" t="str">
        <f aca="false">IF(ROUND(F1114,2)=F1114,"OK","FIX")</f>
        <v>OK</v>
      </c>
    </row>
    <row r="1115" customFormat="false" ht="15" hidden="false" customHeight="false" outlineLevel="0" collapsed="false">
      <c r="A1115" s="2" t="str">
        <f aca="false">TRIM(UPPER(Raw_Data!A1115))</f>
        <v>ORD201113</v>
      </c>
      <c r="B1115" s="3" t="n">
        <f aca="false">IF(ISNUMBER(Raw_Data!B1115),Raw_Data!B1115,DATEVALUE(Raw_Data!B1115))</f>
        <v>45004</v>
      </c>
      <c r="C1115" s="2" t="str">
        <f aca="false">TRIM(UPPER(Raw_Data!C1115))</f>
        <v>C52914</v>
      </c>
      <c r="D1115" s="2" t="str">
        <f aca="false">PROPER(TRIM(Raw_Data!D1115))</f>
        <v>Desk</v>
      </c>
      <c r="E1115" s="2" t="n">
        <f aca="false">Raw_Data!E1115</f>
        <v>4</v>
      </c>
      <c r="F1115" s="4" t="n">
        <f aca="false">ROUND(Raw_Data!F1115,2)</f>
        <v>209.99</v>
      </c>
      <c r="G1115" s="2" t="str">
        <f aca="false">PROPER(TRIM(Raw_Data!G1115))</f>
        <v>168 Main St</v>
      </c>
      <c r="H1115" s="2" t="str">
        <f aca="false">PROPER(TRIM(Raw_Data!H1115))</f>
        <v>Cash</v>
      </c>
      <c r="I1115" s="2" t="str">
        <f aca="false">PROPER(TRIM(Raw_Data!I1115))</f>
        <v>Delivered</v>
      </c>
      <c r="J1115" s="2" t="str">
        <f aca="false">TRIM(UPPER(Raw_Data!J1115))</f>
        <v>TRK80819053</v>
      </c>
      <c r="K1115" s="2" t="n">
        <f aca="false">Raw_Data!K1115</f>
        <v>8</v>
      </c>
      <c r="L1115" s="2" t="str">
        <f aca="false">IF(TRIM(Raw_Data!L1115)="","No Coupon",TRIM(UPPER(Raw_Data!L1115)))</f>
        <v>No Coupon</v>
      </c>
      <c r="M1115" s="2" t="str">
        <f aca="false">PROPER(TRIM(Raw_Data!M1115))</f>
        <v>Google</v>
      </c>
      <c r="N1115" s="4" t="n">
        <f aca="false">ROUND(E1115*F1115,2)</f>
        <v>839.96</v>
      </c>
      <c r="O1115" s="2" t="str">
        <f aca="false">IF(COUNTIF($A$2:$A$1201,A1115)&gt;1,"DUPLICATE","Unique")</f>
        <v>Unique</v>
      </c>
      <c r="P1115" s="2" t="str">
        <f aca="false">IF(L1115="","MISSING","OK")</f>
        <v>OK</v>
      </c>
      <c r="Q1115" s="2" t="str">
        <f aca="false">IF(ISNUMBER(B1115),"OK","BAD DATE")</f>
        <v>OK</v>
      </c>
      <c r="R1115" s="2" t="str">
        <f aca="false">IF(ROUND(F1115,2)=F1115,"OK","FIX")</f>
        <v>OK</v>
      </c>
    </row>
    <row r="1116" customFormat="false" ht="15" hidden="false" customHeight="false" outlineLevel="0" collapsed="false">
      <c r="A1116" s="2" t="str">
        <f aca="false">TRIM(UPPER(Raw_Data!A1116))</f>
        <v>ORD201114</v>
      </c>
      <c r="B1116" s="3" t="n">
        <f aca="false">IF(ISNUMBER(Raw_Data!B1116),Raw_Data!B1116,DATEVALUE(Raw_Data!B1116))</f>
        <v>45001</v>
      </c>
      <c r="C1116" s="2" t="str">
        <f aca="false">TRIM(UPPER(Raw_Data!C1116))</f>
        <v>C55164</v>
      </c>
      <c r="D1116" s="2" t="str">
        <f aca="false">PROPER(TRIM(Raw_Data!D1116))</f>
        <v>Tablet</v>
      </c>
      <c r="E1116" s="2" t="n">
        <f aca="false">Raw_Data!E1116</f>
        <v>3</v>
      </c>
      <c r="F1116" s="4" t="n">
        <f aca="false">ROUND(Raw_Data!F1116,2)</f>
        <v>659.88</v>
      </c>
      <c r="G1116" s="2" t="str">
        <f aca="false">PROPER(TRIM(Raw_Data!G1116))</f>
        <v>609 Main St</v>
      </c>
      <c r="H1116" s="2" t="str">
        <f aca="false">PROPER(TRIM(Raw_Data!H1116))</f>
        <v>Gift Card</v>
      </c>
      <c r="I1116" s="2" t="str">
        <f aca="false">PROPER(TRIM(Raw_Data!I1116))</f>
        <v>Cancelled</v>
      </c>
      <c r="J1116" s="2" t="str">
        <f aca="false">TRIM(UPPER(Raw_Data!J1116))</f>
        <v>TRK79610967</v>
      </c>
      <c r="K1116" s="2" t="n">
        <f aca="false">Raw_Data!K1116</f>
        <v>3</v>
      </c>
      <c r="L1116" s="2" t="str">
        <f aca="false">IF(TRIM(Raw_Data!L1116)="","No Coupon",TRIM(UPPER(Raw_Data!L1116)))</f>
        <v>No Coupon</v>
      </c>
      <c r="M1116" s="2" t="str">
        <f aca="false">PROPER(TRIM(Raw_Data!M1116))</f>
        <v>Google</v>
      </c>
      <c r="N1116" s="4" t="n">
        <f aca="false">ROUND(E1116*F1116,2)</f>
        <v>1979.64</v>
      </c>
      <c r="O1116" s="2" t="str">
        <f aca="false">IF(COUNTIF($A$2:$A$1201,A1116)&gt;1,"DUPLICATE","Unique")</f>
        <v>Unique</v>
      </c>
      <c r="P1116" s="2" t="str">
        <f aca="false">IF(L1116="","MISSING","OK")</f>
        <v>OK</v>
      </c>
      <c r="Q1116" s="2" t="str">
        <f aca="false">IF(ISNUMBER(B1116),"OK","BAD DATE")</f>
        <v>OK</v>
      </c>
      <c r="R1116" s="2" t="str">
        <f aca="false">IF(ROUND(F1116,2)=F1116,"OK","FIX")</f>
        <v>OK</v>
      </c>
    </row>
    <row r="1117" customFormat="false" ht="15" hidden="false" customHeight="false" outlineLevel="0" collapsed="false">
      <c r="A1117" s="2" t="str">
        <f aca="false">TRIM(UPPER(Raw_Data!A1117))</f>
        <v>ORD201115</v>
      </c>
      <c r="B1117" s="3" t="n">
        <f aca="false">IF(ISNUMBER(Raw_Data!B1117),Raw_Data!B1117,DATEVALUE(Raw_Data!B1117))</f>
        <v>45828</v>
      </c>
      <c r="C1117" s="2" t="str">
        <f aca="false">TRIM(UPPER(Raw_Data!C1117))</f>
        <v>C70426</v>
      </c>
      <c r="D1117" s="2" t="str">
        <f aca="false">PROPER(TRIM(Raw_Data!D1117))</f>
        <v>Laptop</v>
      </c>
      <c r="E1117" s="2" t="n">
        <f aca="false">Raw_Data!E1117</f>
        <v>2</v>
      </c>
      <c r="F1117" s="4" t="n">
        <f aca="false">ROUND(Raw_Data!F1117,2)</f>
        <v>336.32</v>
      </c>
      <c r="G1117" s="2" t="str">
        <f aca="false">PROPER(TRIM(Raw_Data!G1117))</f>
        <v>562 Main St</v>
      </c>
      <c r="H1117" s="2" t="str">
        <f aca="false">PROPER(TRIM(Raw_Data!H1117))</f>
        <v>Online</v>
      </c>
      <c r="I1117" s="2" t="str">
        <f aca="false">PROPER(TRIM(Raw_Data!I1117))</f>
        <v>Returned</v>
      </c>
      <c r="J1117" s="2" t="str">
        <f aca="false">TRIM(UPPER(Raw_Data!J1117))</f>
        <v>TRK89687816</v>
      </c>
      <c r="K1117" s="2" t="n">
        <f aca="false">Raw_Data!K1117</f>
        <v>3</v>
      </c>
      <c r="L1117" s="2" t="str">
        <f aca="false">IF(TRIM(Raw_Data!L1117)="","No Coupon",TRIM(UPPER(Raw_Data!L1117)))</f>
        <v>No Coupon</v>
      </c>
      <c r="M1117" s="2" t="str">
        <f aca="false">PROPER(TRIM(Raw_Data!M1117))</f>
        <v>Google</v>
      </c>
      <c r="N1117" s="4" t="n">
        <f aca="false">ROUND(E1117*F1117,2)</f>
        <v>672.64</v>
      </c>
      <c r="O1117" s="2" t="str">
        <f aca="false">IF(COUNTIF($A$2:$A$1201,A1117)&gt;1,"DUPLICATE","Unique")</f>
        <v>Unique</v>
      </c>
      <c r="P1117" s="2" t="str">
        <f aca="false">IF(L1117="","MISSING","OK")</f>
        <v>OK</v>
      </c>
      <c r="Q1117" s="2" t="str">
        <f aca="false">IF(ISNUMBER(B1117),"OK","BAD DATE")</f>
        <v>OK</v>
      </c>
      <c r="R1117" s="2" t="str">
        <f aca="false">IF(ROUND(F1117,2)=F1117,"OK","FIX")</f>
        <v>OK</v>
      </c>
    </row>
    <row r="1118" customFormat="false" ht="15" hidden="false" customHeight="false" outlineLevel="0" collapsed="false">
      <c r="A1118" s="2" t="str">
        <f aca="false">TRIM(UPPER(Raw_Data!A1118))</f>
        <v>ORD201116</v>
      </c>
      <c r="B1118" s="3" t="n">
        <f aca="false">IF(ISNUMBER(Raw_Data!B1118),Raw_Data!B1118,DATEVALUE(Raw_Data!B1118))</f>
        <v>45213</v>
      </c>
      <c r="C1118" s="2" t="str">
        <f aca="false">TRIM(UPPER(Raw_Data!C1118))</f>
        <v>C69149</v>
      </c>
      <c r="D1118" s="2" t="str">
        <f aca="false">PROPER(TRIM(Raw_Data!D1118))</f>
        <v>Printer</v>
      </c>
      <c r="E1118" s="2" t="n">
        <f aca="false">Raw_Data!E1118</f>
        <v>2</v>
      </c>
      <c r="F1118" s="4" t="n">
        <f aca="false">ROUND(Raw_Data!F1118,2)</f>
        <v>531.49</v>
      </c>
      <c r="G1118" s="2" t="str">
        <f aca="false">PROPER(TRIM(Raw_Data!G1118))</f>
        <v>562 Main St</v>
      </c>
      <c r="H1118" s="2" t="str">
        <f aca="false">PROPER(TRIM(Raw_Data!H1118))</f>
        <v>Credit Card</v>
      </c>
      <c r="I1118" s="2" t="str">
        <f aca="false">PROPER(TRIM(Raw_Data!I1118))</f>
        <v>Delivered</v>
      </c>
      <c r="J1118" s="2" t="str">
        <f aca="false">TRIM(UPPER(Raw_Data!J1118))</f>
        <v>TRK61265132</v>
      </c>
      <c r="K1118" s="2" t="n">
        <f aca="false">Raw_Data!K1118</f>
        <v>7</v>
      </c>
      <c r="L1118" s="2" t="str">
        <f aca="false">IF(TRIM(Raw_Data!L1118)="","No Coupon",TRIM(UPPER(Raw_Data!L1118)))</f>
        <v>WINTER15</v>
      </c>
      <c r="M1118" s="2" t="str">
        <f aca="false">PROPER(TRIM(Raw_Data!M1118))</f>
        <v>Facebook</v>
      </c>
      <c r="N1118" s="4" t="n">
        <f aca="false">ROUND(E1118*F1118,2)</f>
        <v>1062.98</v>
      </c>
      <c r="O1118" s="2" t="str">
        <f aca="false">IF(COUNTIF($A$2:$A$1201,A1118)&gt;1,"DUPLICATE","Unique")</f>
        <v>Unique</v>
      </c>
      <c r="P1118" s="2" t="str">
        <f aca="false">IF(L1118="","MISSING","OK")</f>
        <v>OK</v>
      </c>
      <c r="Q1118" s="2" t="str">
        <f aca="false">IF(ISNUMBER(B1118),"OK","BAD DATE")</f>
        <v>OK</v>
      </c>
      <c r="R1118" s="2" t="str">
        <f aca="false">IF(ROUND(F1118,2)=F1118,"OK","FIX")</f>
        <v>OK</v>
      </c>
    </row>
    <row r="1119" customFormat="false" ht="15" hidden="false" customHeight="false" outlineLevel="0" collapsed="false">
      <c r="A1119" s="2" t="str">
        <f aca="false">TRIM(UPPER(Raw_Data!A1119))</f>
        <v>ORD201117</v>
      </c>
      <c r="B1119" s="3" t="n">
        <f aca="false">IF(ISNUMBER(Raw_Data!B1119),Raw_Data!B1119,DATEVALUE(Raw_Data!B1119))</f>
        <v>45432</v>
      </c>
      <c r="C1119" s="2" t="str">
        <f aca="false">TRIM(UPPER(Raw_Data!C1119))</f>
        <v>C78684</v>
      </c>
      <c r="D1119" s="2" t="str">
        <f aca="false">PROPER(TRIM(Raw_Data!D1119))</f>
        <v>Chair</v>
      </c>
      <c r="E1119" s="2" t="n">
        <f aca="false">Raw_Data!E1119</f>
        <v>3</v>
      </c>
      <c r="F1119" s="4" t="n">
        <f aca="false">ROUND(Raw_Data!F1119,2)</f>
        <v>588.44</v>
      </c>
      <c r="G1119" s="2" t="str">
        <f aca="false">PROPER(TRIM(Raw_Data!G1119))</f>
        <v>858 Main St</v>
      </c>
      <c r="H1119" s="2" t="str">
        <f aca="false">PROPER(TRIM(Raw_Data!H1119))</f>
        <v>Gift Card</v>
      </c>
      <c r="I1119" s="2" t="str">
        <f aca="false">PROPER(TRIM(Raw_Data!I1119))</f>
        <v>Shipped</v>
      </c>
      <c r="J1119" s="2" t="str">
        <f aca="false">TRIM(UPPER(Raw_Data!J1119))</f>
        <v>TRK95779073</v>
      </c>
      <c r="K1119" s="2" t="n">
        <f aca="false">Raw_Data!K1119</f>
        <v>8</v>
      </c>
      <c r="L1119" s="2" t="str">
        <f aca="false">IF(TRIM(Raw_Data!L1119)="","No Coupon",TRIM(UPPER(Raw_Data!L1119)))</f>
        <v>WINTER15</v>
      </c>
      <c r="M1119" s="2" t="str">
        <f aca="false">PROPER(TRIM(Raw_Data!M1119))</f>
        <v>Google</v>
      </c>
      <c r="N1119" s="4" t="n">
        <f aca="false">ROUND(E1119*F1119,2)</f>
        <v>1765.32</v>
      </c>
      <c r="O1119" s="2" t="str">
        <f aca="false">IF(COUNTIF($A$2:$A$1201,A1119)&gt;1,"DUPLICATE","Unique")</f>
        <v>Unique</v>
      </c>
      <c r="P1119" s="2" t="str">
        <f aca="false">IF(L1119="","MISSING","OK")</f>
        <v>OK</v>
      </c>
      <c r="Q1119" s="2" t="str">
        <f aca="false">IF(ISNUMBER(B1119),"OK","BAD DATE")</f>
        <v>OK</v>
      </c>
      <c r="R1119" s="2" t="str">
        <f aca="false">IF(ROUND(F1119,2)=F1119,"OK","FIX")</f>
        <v>OK</v>
      </c>
    </row>
    <row r="1120" customFormat="false" ht="15" hidden="false" customHeight="false" outlineLevel="0" collapsed="false">
      <c r="A1120" s="2" t="str">
        <f aca="false">TRIM(UPPER(Raw_Data!A1120))</f>
        <v>ORD201118</v>
      </c>
      <c r="B1120" s="3" t="n">
        <f aca="false">IF(ISNUMBER(Raw_Data!B1120),Raw_Data!B1120,DATEVALUE(Raw_Data!B1120))</f>
        <v>45436</v>
      </c>
      <c r="C1120" s="2" t="str">
        <f aca="false">TRIM(UPPER(Raw_Data!C1120))</f>
        <v>C58168</v>
      </c>
      <c r="D1120" s="2" t="str">
        <f aca="false">PROPER(TRIM(Raw_Data!D1120))</f>
        <v>Phone</v>
      </c>
      <c r="E1120" s="2" t="n">
        <f aca="false">Raw_Data!E1120</f>
        <v>3</v>
      </c>
      <c r="F1120" s="4" t="n">
        <f aca="false">ROUND(Raw_Data!F1120,2)</f>
        <v>251.48</v>
      </c>
      <c r="G1120" s="2" t="str">
        <f aca="false">PROPER(TRIM(Raw_Data!G1120))</f>
        <v>359 Main St</v>
      </c>
      <c r="H1120" s="2" t="str">
        <f aca="false">PROPER(TRIM(Raw_Data!H1120))</f>
        <v>Credit Card</v>
      </c>
      <c r="I1120" s="2" t="str">
        <f aca="false">PROPER(TRIM(Raw_Data!I1120))</f>
        <v>Returned</v>
      </c>
      <c r="J1120" s="2" t="str">
        <f aca="false">TRIM(UPPER(Raw_Data!J1120))</f>
        <v>TRK99102265</v>
      </c>
      <c r="K1120" s="2" t="n">
        <f aca="false">Raw_Data!K1120</f>
        <v>4</v>
      </c>
      <c r="L1120" s="2" t="str">
        <f aca="false">IF(TRIM(Raw_Data!L1120)="","No Coupon",TRIM(UPPER(Raw_Data!L1120)))</f>
        <v>No Coupon</v>
      </c>
      <c r="M1120" s="2" t="str">
        <f aca="false">PROPER(TRIM(Raw_Data!M1120))</f>
        <v>Email</v>
      </c>
      <c r="N1120" s="4" t="n">
        <f aca="false">ROUND(E1120*F1120,2)</f>
        <v>754.44</v>
      </c>
      <c r="O1120" s="2" t="str">
        <f aca="false">IF(COUNTIF($A$2:$A$1201,A1120)&gt;1,"DUPLICATE","Unique")</f>
        <v>Unique</v>
      </c>
      <c r="P1120" s="2" t="str">
        <f aca="false">IF(L1120="","MISSING","OK")</f>
        <v>OK</v>
      </c>
      <c r="Q1120" s="2" t="str">
        <f aca="false">IF(ISNUMBER(B1120),"OK","BAD DATE")</f>
        <v>OK</v>
      </c>
      <c r="R1120" s="2" t="str">
        <f aca="false">IF(ROUND(F1120,2)=F1120,"OK","FIX")</f>
        <v>OK</v>
      </c>
    </row>
    <row r="1121" customFormat="false" ht="15" hidden="false" customHeight="false" outlineLevel="0" collapsed="false">
      <c r="A1121" s="2" t="str">
        <f aca="false">TRIM(UPPER(Raw_Data!A1121))</f>
        <v>ORD201119</v>
      </c>
      <c r="B1121" s="3" t="n">
        <f aca="false">IF(ISNUMBER(Raw_Data!B1121),Raw_Data!B1121,DATEVALUE(Raw_Data!B1121))</f>
        <v>45620</v>
      </c>
      <c r="C1121" s="2" t="str">
        <f aca="false">TRIM(UPPER(Raw_Data!C1121))</f>
        <v>C99024</v>
      </c>
      <c r="D1121" s="2" t="str">
        <f aca="false">PROPER(TRIM(Raw_Data!D1121))</f>
        <v>Laptop</v>
      </c>
      <c r="E1121" s="2" t="n">
        <f aca="false">Raw_Data!E1121</f>
        <v>1</v>
      </c>
      <c r="F1121" s="4" t="n">
        <f aca="false">ROUND(Raw_Data!F1121,2)</f>
        <v>684.65</v>
      </c>
      <c r="G1121" s="2" t="str">
        <f aca="false">PROPER(TRIM(Raw_Data!G1121))</f>
        <v>250 Main St</v>
      </c>
      <c r="H1121" s="2" t="str">
        <f aca="false">PROPER(TRIM(Raw_Data!H1121))</f>
        <v>Credit Card</v>
      </c>
      <c r="I1121" s="2" t="str">
        <f aca="false">PROPER(TRIM(Raw_Data!I1121))</f>
        <v>Delivered</v>
      </c>
      <c r="J1121" s="2" t="str">
        <f aca="false">TRIM(UPPER(Raw_Data!J1121))</f>
        <v>TRK24675988</v>
      </c>
      <c r="K1121" s="2" t="n">
        <f aca="false">Raw_Data!K1121</f>
        <v>1</v>
      </c>
      <c r="L1121" s="2" t="str">
        <f aca="false">IF(TRIM(Raw_Data!L1121)="","No Coupon",TRIM(UPPER(Raw_Data!L1121)))</f>
        <v>FREESHIP</v>
      </c>
      <c r="M1121" s="2" t="str">
        <f aca="false">PROPER(TRIM(Raw_Data!M1121))</f>
        <v>Email</v>
      </c>
      <c r="N1121" s="4" t="n">
        <f aca="false">ROUND(E1121*F1121,2)</f>
        <v>684.65</v>
      </c>
      <c r="O1121" s="2" t="str">
        <f aca="false">IF(COUNTIF($A$2:$A$1201,A1121)&gt;1,"DUPLICATE","Unique")</f>
        <v>Unique</v>
      </c>
      <c r="P1121" s="2" t="str">
        <f aca="false">IF(L1121="","MISSING","OK")</f>
        <v>OK</v>
      </c>
      <c r="Q1121" s="2" t="str">
        <f aca="false">IF(ISNUMBER(B1121),"OK","BAD DATE")</f>
        <v>OK</v>
      </c>
      <c r="R1121" s="2" t="str">
        <f aca="false">IF(ROUND(F1121,2)=F1121,"OK","FIX")</f>
        <v>OK</v>
      </c>
    </row>
    <row r="1122" customFormat="false" ht="15" hidden="false" customHeight="false" outlineLevel="0" collapsed="false">
      <c r="A1122" s="2" t="str">
        <f aca="false">TRIM(UPPER(Raw_Data!A1122))</f>
        <v>ORD201120</v>
      </c>
      <c r="B1122" s="3" t="n">
        <f aca="false">IF(ISNUMBER(Raw_Data!B1122),Raw_Data!B1122,DATEVALUE(Raw_Data!B1122))</f>
        <v>45787</v>
      </c>
      <c r="C1122" s="2" t="str">
        <f aca="false">TRIM(UPPER(Raw_Data!C1122))</f>
        <v>C22919</v>
      </c>
      <c r="D1122" s="2" t="str">
        <f aca="false">PROPER(TRIM(Raw_Data!D1122))</f>
        <v>Tablet</v>
      </c>
      <c r="E1122" s="2" t="n">
        <f aca="false">Raw_Data!E1122</f>
        <v>1</v>
      </c>
      <c r="F1122" s="4" t="n">
        <f aca="false">ROUND(Raw_Data!F1122,2)</f>
        <v>195.86</v>
      </c>
      <c r="G1122" s="2" t="str">
        <f aca="false">PROPER(TRIM(Raw_Data!G1122))</f>
        <v>267 Main St</v>
      </c>
      <c r="H1122" s="2" t="str">
        <f aca="false">PROPER(TRIM(Raw_Data!H1122))</f>
        <v>Online</v>
      </c>
      <c r="I1122" s="2" t="str">
        <f aca="false">PROPER(TRIM(Raw_Data!I1122))</f>
        <v>Pending</v>
      </c>
      <c r="J1122" s="2" t="str">
        <f aca="false">TRIM(UPPER(Raw_Data!J1122))</f>
        <v>TRK82416295</v>
      </c>
      <c r="K1122" s="2" t="n">
        <f aca="false">Raw_Data!K1122</f>
        <v>3</v>
      </c>
      <c r="L1122" s="2" t="str">
        <f aca="false">IF(TRIM(Raw_Data!L1122)="","No Coupon",TRIM(UPPER(Raw_Data!L1122)))</f>
        <v>No Coupon</v>
      </c>
      <c r="M1122" s="2" t="str">
        <f aca="false">PROPER(TRIM(Raw_Data!M1122))</f>
        <v>Facebook</v>
      </c>
      <c r="N1122" s="4" t="n">
        <f aca="false">ROUND(E1122*F1122,2)</f>
        <v>195.86</v>
      </c>
      <c r="O1122" s="2" t="str">
        <f aca="false">IF(COUNTIF($A$2:$A$1201,A1122)&gt;1,"DUPLICATE","Unique")</f>
        <v>Unique</v>
      </c>
      <c r="P1122" s="2" t="str">
        <f aca="false">IF(L1122="","MISSING","OK")</f>
        <v>OK</v>
      </c>
      <c r="Q1122" s="2" t="str">
        <f aca="false">IF(ISNUMBER(B1122),"OK","BAD DATE")</f>
        <v>OK</v>
      </c>
      <c r="R1122" s="2" t="str">
        <f aca="false">IF(ROUND(F1122,2)=F1122,"OK","FIX")</f>
        <v>OK</v>
      </c>
    </row>
    <row r="1123" customFormat="false" ht="15" hidden="false" customHeight="false" outlineLevel="0" collapsed="false">
      <c r="A1123" s="2" t="str">
        <f aca="false">TRIM(UPPER(Raw_Data!A1123))</f>
        <v>ORD201121</v>
      </c>
      <c r="B1123" s="3" t="n">
        <f aca="false">IF(ISNUMBER(Raw_Data!B1123),Raw_Data!B1123,DATEVALUE(Raw_Data!B1123))</f>
        <v>45074</v>
      </c>
      <c r="C1123" s="2" t="str">
        <f aca="false">TRIM(UPPER(Raw_Data!C1123))</f>
        <v>C98354</v>
      </c>
      <c r="D1123" s="2" t="str">
        <f aca="false">PROPER(TRIM(Raw_Data!D1123))</f>
        <v>Phone</v>
      </c>
      <c r="E1123" s="2" t="n">
        <f aca="false">Raw_Data!E1123</f>
        <v>3</v>
      </c>
      <c r="F1123" s="4" t="n">
        <f aca="false">ROUND(Raw_Data!F1123,2)</f>
        <v>50.34</v>
      </c>
      <c r="G1123" s="2" t="str">
        <f aca="false">PROPER(TRIM(Raw_Data!G1123))</f>
        <v>393 Main St</v>
      </c>
      <c r="H1123" s="2" t="str">
        <f aca="false">PROPER(TRIM(Raw_Data!H1123))</f>
        <v>Gift Card</v>
      </c>
      <c r="I1123" s="2" t="str">
        <f aca="false">PROPER(TRIM(Raw_Data!I1123))</f>
        <v>Returned</v>
      </c>
      <c r="J1123" s="2" t="str">
        <f aca="false">TRIM(UPPER(Raw_Data!J1123))</f>
        <v>TRK43070888</v>
      </c>
      <c r="K1123" s="2" t="n">
        <f aca="false">Raw_Data!K1123</f>
        <v>3</v>
      </c>
      <c r="L1123" s="2" t="str">
        <f aca="false">IF(TRIM(Raw_Data!L1123)="","No Coupon",TRIM(UPPER(Raw_Data!L1123)))</f>
        <v>FREESHIP</v>
      </c>
      <c r="M1123" s="2" t="str">
        <f aca="false">PROPER(TRIM(Raw_Data!M1123))</f>
        <v>Instagram</v>
      </c>
      <c r="N1123" s="4" t="n">
        <f aca="false">ROUND(E1123*F1123,2)</f>
        <v>151.02</v>
      </c>
      <c r="O1123" s="2" t="str">
        <f aca="false">IF(COUNTIF($A$2:$A$1201,A1123)&gt;1,"DUPLICATE","Unique")</f>
        <v>Unique</v>
      </c>
      <c r="P1123" s="2" t="str">
        <f aca="false">IF(L1123="","MISSING","OK")</f>
        <v>OK</v>
      </c>
      <c r="Q1123" s="2" t="str">
        <f aca="false">IF(ISNUMBER(B1123),"OK","BAD DATE")</f>
        <v>OK</v>
      </c>
      <c r="R1123" s="2" t="str">
        <f aca="false">IF(ROUND(F1123,2)=F1123,"OK","FIX")</f>
        <v>OK</v>
      </c>
    </row>
    <row r="1124" customFormat="false" ht="15" hidden="false" customHeight="false" outlineLevel="0" collapsed="false">
      <c r="A1124" s="2" t="str">
        <f aca="false">TRIM(UPPER(Raw_Data!A1124))</f>
        <v>ORD201122</v>
      </c>
      <c r="B1124" s="3" t="n">
        <f aca="false">IF(ISNUMBER(Raw_Data!B1124),Raw_Data!B1124,DATEVALUE(Raw_Data!B1124))</f>
        <v>45084</v>
      </c>
      <c r="C1124" s="2" t="str">
        <f aca="false">TRIM(UPPER(Raw_Data!C1124))</f>
        <v>C38840</v>
      </c>
      <c r="D1124" s="2" t="str">
        <f aca="false">PROPER(TRIM(Raw_Data!D1124))</f>
        <v>Monitor</v>
      </c>
      <c r="E1124" s="2" t="n">
        <f aca="false">Raw_Data!E1124</f>
        <v>5</v>
      </c>
      <c r="F1124" s="4" t="n">
        <f aca="false">ROUND(Raw_Data!F1124,2)</f>
        <v>678.19</v>
      </c>
      <c r="G1124" s="2" t="str">
        <f aca="false">PROPER(TRIM(Raw_Data!G1124))</f>
        <v>766 Main St</v>
      </c>
      <c r="H1124" s="2" t="str">
        <f aca="false">PROPER(TRIM(Raw_Data!H1124))</f>
        <v>Online</v>
      </c>
      <c r="I1124" s="2" t="str">
        <f aca="false">PROPER(TRIM(Raw_Data!I1124))</f>
        <v>Returned</v>
      </c>
      <c r="J1124" s="2" t="str">
        <f aca="false">TRIM(UPPER(Raw_Data!J1124))</f>
        <v>TRK32496970</v>
      </c>
      <c r="K1124" s="2" t="n">
        <f aca="false">Raw_Data!K1124</f>
        <v>8</v>
      </c>
      <c r="L1124" s="2" t="str">
        <f aca="false">IF(TRIM(Raw_Data!L1124)="","No Coupon",TRIM(UPPER(Raw_Data!L1124)))</f>
        <v>No Coupon</v>
      </c>
      <c r="M1124" s="2" t="str">
        <f aca="false">PROPER(TRIM(Raw_Data!M1124))</f>
        <v>Facebook</v>
      </c>
      <c r="N1124" s="4" t="n">
        <f aca="false">ROUND(E1124*F1124,2)</f>
        <v>3390.95</v>
      </c>
      <c r="O1124" s="2" t="str">
        <f aca="false">IF(COUNTIF($A$2:$A$1201,A1124)&gt;1,"DUPLICATE","Unique")</f>
        <v>Unique</v>
      </c>
      <c r="P1124" s="2" t="str">
        <f aca="false">IF(L1124="","MISSING","OK")</f>
        <v>OK</v>
      </c>
      <c r="Q1124" s="2" t="str">
        <f aca="false">IF(ISNUMBER(B1124),"OK","BAD DATE")</f>
        <v>OK</v>
      </c>
      <c r="R1124" s="2" t="str">
        <f aca="false">IF(ROUND(F1124,2)=F1124,"OK","FIX")</f>
        <v>OK</v>
      </c>
    </row>
    <row r="1125" customFormat="false" ht="15" hidden="false" customHeight="false" outlineLevel="0" collapsed="false">
      <c r="A1125" s="2" t="str">
        <f aca="false">TRIM(UPPER(Raw_Data!A1125))</f>
        <v>ORD201123</v>
      </c>
      <c r="B1125" s="3" t="n">
        <f aca="false">IF(ISNUMBER(Raw_Data!B1125),Raw_Data!B1125,DATEVALUE(Raw_Data!B1125))</f>
        <v>45030</v>
      </c>
      <c r="C1125" s="2" t="str">
        <f aca="false">TRIM(UPPER(Raw_Data!C1125))</f>
        <v>C68936</v>
      </c>
      <c r="D1125" s="2" t="str">
        <f aca="false">PROPER(TRIM(Raw_Data!D1125))</f>
        <v>Tablet</v>
      </c>
      <c r="E1125" s="2" t="n">
        <f aca="false">Raw_Data!E1125</f>
        <v>3</v>
      </c>
      <c r="F1125" s="4" t="n">
        <f aca="false">ROUND(Raw_Data!F1125,2)</f>
        <v>554.25</v>
      </c>
      <c r="G1125" s="2" t="str">
        <f aca="false">PROPER(TRIM(Raw_Data!G1125))</f>
        <v>843 Main St</v>
      </c>
      <c r="H1125" s="2" t="str">
        <f aca="false">PROPER(TRIM(Raw_Data!H1125))</f>
        <v>Debit Card</v>
      </c>
      <c r="I1125" s="2" t="str">
        <f aca="false">PROPER(TRIM(Raw_Data!I1125))</f>
        <v>Shipped</v>
      </c>
      <c r="J1125" s="2" t="str">
        <f aca="false">TRIM(UPPER(Raw_Data!J1125))</f>
        <v>TRK73163634</v>
      </c>
      <c r="K1125" s="2" t="n">
        <f aca="false">Raw_Data!K1125</f>
        <v>6</v>
      </c>
      <c r="L1125" s="2" t="str">
        <f aca="false">IF(TRIM(Raw_Data!L1125)="","No Coupon",TRIM(UPPER(Raw_Data!L1125)))</f>
        <v>WINTER15</v>
      </c>
      <c r="M1125" s="2" t="str">
        <f aca="false">PROPER(TRIM(Raw_Data!M1125))</f>
        <v>Referral</v>
      </c>
      <c r="N1125" s="4" t="n">
        <f aca="false">ROUND(E1125*F1125,2)</f>
        <v>1662.75</v>
      </c>
      <c r="O1125" s="2" t="str">
        <f aca="false">IF(COUNTIF($A$2:$A$1201,A1125)&gt;1,"DUPLICATE","Unique")</f>
        <v>Unique</v>
      </c>
      <c r="P1125" s="2" t="str">
        <f aca="false">IF(L1125="","MISSING","OK")</f>
        <v>OK</v>
      </c>
      <c r="Q1125" s="2" t="str">
        <f aca="false">IF(ISNUMBER(B1125),"OK","BAD DATE")</f>
        <v>OK</v>
      </c>
      <c r="R1125" s="2" t="str">
        <f aca="false">IF(ROUND(F1125,2)=F1125,"OK","FIX")</f>
        <v>OK</v>
      </c>
    </row>
    <row r="1126" customFormat="false" ht="15" hidden="false" customHeight="false" outlineLevel="0" collapsed="false">
      <c r="A1126" s="2" t="str">
        <f aca="false">TRIM(UPPER(Raw_Data!A1126))</f>
        <v>ORD201124</v>
      </c>
      <c r="B1126" s="3" t="n">
        <f aca="false">IF(ISNUMBER(Raw_Data!B1126),Raw_Data!B1126,DATEVALUE(Raw_Data!B1126))</f>
        <v>45055</v>
      </c>
      <c r="C1126" s="2" t="str">
        <f aca="false">TRIM(UPPER(Raw_Data!C1126))</f>
        <v>C33744</v>
      </c>
      <c r="D1126" s="2" t="str">
        <f aca="false">PROPER(TRIM(Raw_Data!D1126))</f>
        <v>Chair</v>
      </c>
      <c r="E1126" s="2" t="n">
        <f aca="false">Raw_Data!E1126</f>
        <v>4</v>
      </c>
      <c r="F1126" s="4" t="n">
        <f aca="false">ROUND(Raw_Data!F1126,2)</f>
        <v>576.87</v>
      </c>
      <c r="G1126" s="2" t="str">
        <f aca="false">PROPER(TRIM(Raw_Data!G1126))</f>
        <v>888 Main St</v>
      </c>
      <c r="H1126" s="2" t="str">
        <f aca="false">PROPER(TRIM(Raw_Data!H1126))</f>
        <v>Gift Card</v>
      </c>
      <c r="I1126" s="2" t="str">
        <f aca="false">PROPER(TRIM(Raw_Data!I1126))</f>
        <v>Returned</v>
      </c>
      <c r="J1126" s="2" t="str">
        <f aca="false">TRIM(UPPER(Raw_Data!J1126))</f>
        <v>TRK40245983</v>
      </c>
      <c r="K1126" s="2" t="n">
        <f aca="false">Raw_Data!K1126</f>
        <v>5</v>
      </c>
      <c r="L1126" s="2" t="str">
        <f aca="false">IF(TRIM(Raw_Data!L1126)="","No Coupon",TRIM(UPPER(Raw_Data!L1126)))</f>
        <v>No Coupon</v>
      </c>
      <c r="M1126" s="2" t="str">
        <f aca="false">PROPER(TRIM(Raw_Data!M1126))</f>
        <v>Instagram</v>
      </c>
      <c r="N1126" s="4" t="n">
        <f aca="false">ROUND(E1126*F1126,2)</f>
        <v>2307.48</v>
      </c>
      <c r="O1126" s="2" t="str">
        <f aca="false">IF(COUNTIF($A$2:$A$1201,A1126)&gt;1,"DUPLICATE","Unique")</f>
        <v>Unique</v>
      </c>
      <c r="P1126" s="2" t="str">
        <f aca="false">IF(L1126="","MISSING","OK")</f>
        <v>OK</v>
      </c>
      <c r="Q1126" s="2" t="str">
        <f aca="false">IF(ISNUMBER(B1126),"OK","BAD DATE")</f>
        <v>OK</v>
      </c>
      <c r="R1126" s="2" t="str">
        <f aca="false">IF(ROUND(F1126,2)=F1126,"OK","FIX")</f>
        <v>OK</v>
      </c>
    </row>
    <row r="1127" customFormat="false" ht="15" hidden="false" customHeight="false" outlineLevel="0" collapsed="false">
      <c r="A1127" s="2" t="str">
        <f aca="false">TRIM(UPPER(Raw_Data!A1127))</f>
        <v>ORD201125</v>
      </c>
      <c r="B1127" s="3" t="n">
        <f aca="false">IF(ISNUMBER(Raw_Data!B1127),Raw_Data!B1127,DATEVALUE(Raw_Data!B1127))</f>
        <v>45215</v>
      </c>
      <c r="C1127" s="2" t="str">
        <f aca="false">TRIM(UPPER(Raw_Data!C1127))</f>
        <v>C23555</v>
      </c>
      <c r="D1127" s="2" t="str">
        <f aca="false">PROPER(TRIM(Raw_Data!D1127))</f>
        <v>Desk</v>
      </c>
      <c r="E1127" s="2" t="n">
        <f aca="false">Raw_Data!E1127</f>
        <v>4</v>
      </c>
      <c r="F1127" s="4" t="n">
        <f aca="false">ROUND(Raw_Data!F1127,2)</f>
        <v>408.36</v>
      </c>
      <c r="G1127" s="2" t="str">
        <f aca="false">PROPER(TRIM(Raw_Data!G1127))</f>
        <v>156 Main St</v>
      </c>
      <c r="H1127" s="2" t="str">
        <f aca="false">PROPER(TRIM(Raw_Data!H1127))</f>
        <v>Gift Card</v>
      </c>
      <c r="I1127" s="2" t="str">
        <f aca="false">PROPER(TRIM(Raw_Data!I1127))</f>
        <v>Cancelled</v>
      </c>
      <c r="J1127" s="2" t="str">
        <f aca="false">TRIM(UPPER(Raw_Data!J1127))</f>
        <v>TRK67210247</v>
      </c>
      <c r="K1127" s="2" t="n">
        <f aca="false">Raw_Data!K1127</f>
        <v>4</v>
      </c>
      <c r="L1127" s="2" t="str">
        <f aca="false">IF(TRIM(Raw_Data!L1127)="","No Coupon",TRIM(UPPER(Raw_Data!L1127)))</f>
        <v>FREESHIP</v>
      </c>
      <c r="M1127" s="2" t="str">
        <f aca="false">PROPER(TRIM(Raw_Data!M1127))</f>
        <v>Referral</v>
      </c>
      <c r="N1127" s="4" t="n">
        <f aca="false">ROUND(E1127*F1127,2)</f>
        <v>1633.44</v>
      </c>
      <c r="O1127" s="2" t="str">
        <f aca="false">IF(COUNTIF($A$2:$A$1201,A1127)&gt;1,"DUPLICATE","Unique")</f>
        <v>Unique</v>
      </c>
      <c r="P1127" s="2" t="str">
        <f aca="false">IF(L1127="","MISSING","OK")</f>
        <v>OK</v>
      </c>
      <c r="Q1127" s="2" t="str">
        <f aca="false">IF(ISNUMBER(B1127),"OK","BAD DATE")</f>
        <v>OK</v>
      </c>
      <c r="R1127" s="2" t="str">
        <f aca="false">IF(ROUND(F1127,2)=F1127,"OK","FIX")</f>
        <v>OK</v>
      </c>
    </row>
    <row r="1128" customFormat="false" ht="15" hidden="false" customHeight="false" outlineLevel="0" collapsed="false">
      <c r="A1128" s="2" t="str">
        <f aca="false">TRIM(UPPER(Raw_Data!A1128))</f>
        <v>ORD201126</v>
      </c>
      <c r="B1128" s="3" t="n">
        <f aca="false">IF(ISNUMBER(Raw_Data!B1128),Raw_Data!B1128,DATEVALUE(Raw_Data!B1128))</f>
        <v>45495</v>
      </c>
      <c r="C1128" s="2" t="str">
        <f aca="false">TRIM(UPPER(Raw_Data!C1128))</f>
        <v>C34337</v>
      </c>
      <c r="D1128" s="2" t="str">
        <f aca="false">PROPER(TRIM(Raw_Data!D1128))</f>
        <v>Phone</v>
      </c>
      <c r="E1128" s="2" t="n">
        <f aca="false">Raw_Data!E1128</f>
        <v>5</v>
      </c>
      <c r="F1128" s="4" t="n">
        <f aca="false">ROUND(Raw_Data!F1128,2)</f>
        <v>190.11</v>
      </c>
      <c r="G1128" s="2" t="str">
        <f aca="false">PROPER(TRIM(Raw_Data!G1128))</f>
        <v>325 Main St</v>
      </c>
      <c r="H1128" s="2" t="str">
        <f aca="false">PROPER(TRIM(Raw_Data!H1128))</f>
        <v>Cash</v>
      </c>
      <c r="I1128" s="2" t="str">
        <f aca="false">PROPER(TRIM(Raw_Data!I1128))</f>
        <v>Delivered</v>
      </c>
      <c r="J1128" s="2" t="str">
        <f aca="false">TRIM(UPPER(Raw_Data!J1128))</f>
        <v>TRK36195559</v>
      </c>
      <c r="K1128" s="2" t="n">
        <f aca="false">Raw_Data!K1128</f>
        <v>7</v>
      </c>
      <c r="L1128" s="2" t="str">
        <f aca="false">IF(TRIM(Raw_Data!L1128)="","No Coupon",TRIM(UPPER(Raw_Data!L1128)))</f>
        <v>SAVE10</v>
      </c>
      <c r="M1128" s="2" t="str">
        <f aca="false">PROPER(TRIM(Raw_Data!M1128))</f>
        <v>Google</v>
      </c>
      <c r="N1128" s="4" t="n">
        <f aca="false">ROUND(E1128*F1128,2)</f>
        <v>950.55</v>
      </c>
      <c r="O1128" s="2" t="str">
        <f aca="false">IF(COUNTIF($A$2:$A$1201,A1128)&gt;1,"DUPLICATE","Unique")</f>
        <v>Unique</v>
      </c>
      <c r="P1128" s="2" t="str">
        <f aca="false">IF(L1128="","MISSING","OK")</f>
        <v>OK</v>
      </c>
      <c r="Q1128" s="2" t="str">
        <f aca="false">IF(ISNUMBER(B1128),"OK","BAD DATE")</f>
        <v>OK</v>
      </c>
      <c r="R1128" s="2" t="str">
        <f aca="false">IF(ROUND(F1128,2)=F1128,"OK","FIX")</f>
        <v>OK</v>
      </c>
    </row>
    <row r="1129" customFormat="false" ht="15" hidden="false" customHeight="false" outlineLevel="0" collapsed="false">
      <c r="A1129" s="2" t="str">
        <f aca="false">TRIM(UPPER(Raw_Data!A1129))</f>
        <v>ORD201127</v>
      </c>
      <c r="B1129" s="3" t="n">
        <f aca="false">IF(ISNUMBER(Raw_Data!B1129),Raw_Data!B1129,DATEVALUE(Raw_Data!B1129))</f>
        <v>45731</v>
      </c>
      <c r="C1129" s="2" t="str">
        <f aca="false">TRIM(UPPER(Raw_Data!C1129))</f>
        <v>C69396</v>
      </c>
      <c r="D1129" s="2" t="str">
        <f aca="false">PROPER(TRIM(Raw_Data!D1129))</f>
        <v>Printer</v>
      </c>
      <c r="E1129" s="2" t="n">
        <f aca="false">Raw_Data!E1129</f>
        <v>3</v>
      </c>
      <c r="F1129" s="4" t="n">
        <f aca="false">ROUND(Raw_Data!F1129,2)</f>
        <v>602.75</v>
      </c>
      <c r="G1129" s="2" t="str">
        <f aca="false">PROPER(TRIM(Raw_Data!G1129))</f>
        <v>920 Main St</v>
      </c>
      <c r="H1129" s="2" t="str">
        <f aca="false">PROPER(TRIM(Raw_Data!H1129))</f>
        <v>Credit Card</v>
      </c>
      <c r="I1129" s="2" t="str">
        <f aca="false">PROPER(TRIM(Raw_Data!I1129))</f>
        <v>Shipped</v>
      </c>
      <c r="J1129" s="2" t="str">
        <f aca="false">TRIM(UPPER(Raw_Data!J1129))</f>
        <v>TRK33155049</v>
      </c>
      <c r="K1129" s="2" t="n">
        <f aca="false">Raw_Data!K1129</f>
        <v>6</v>
      </c>
      <c r="L1129" s="2" t="str">
        <f aca="false">IF(TRIM(Raw_Data!L1129)="","No Coupon",TRIM(UPPER(Raw_Data!L1129)))</f>
        <v>SAVE10</v>
      </c>
      <c r="M1129" s="2" t="str">
        <f aca="false">PROPER(TRIM(Raw_Data!M1129))</f>
        <v>Email</v>
      </c>
      <c r="N1129" s="4" t="n">
        <f aca="false">ROUND(E1129*F1129,2)</f>
        <v>1808.25</v>
      </c>
      <c r="O1129" s="2" t="str">
        <f aca="false">IF(COUNTIF($A$2:$A$1201,A1129)&gt;1,"DUPLICATE","Unique")</f>
        <v>Unique</v>
      </c>
      <c r="P1129" s="2" t="str">
        <f aca="false">IF(L1129="","MISSING","OK")</f>
        <v>OK</v>
      </c>
      <c r="Q1129" s="2" t="str">
        <f aca="false">IF(ISNUMBER(B1129),"OK","BAD DATE")</f>
        <v>OK</v>
      </c>
      <c r="R1129" s="2" t="str">
        <f aca="false">IF(ROUND(F1129,2)=F1129,"OK","FIX")</f>
        <v>OK</v>
      </c>
    </row>
    <row r="1130" customFormat="false" ht="15" hidden="false" customHeight="false" outlineLevel="0" collapsed="false">
      <c r="A1130" s="2" t="str">
        <f aca="false">TRIM(UPPER(Raw_Data!A1130))</f>
        <v>ORD201128</v>
      </c>
      <c r="B1130" s="3" t="n">
        <f aca="false">IF(ISNUMBER(Raw_Data!B1130),Raw_Data!B1130,DATEVALUE(Raw_Data!B1130))</f>
        <v>45155</v>
      </c>
      <c r="C1130" s="2" t="str">
        <f aca="false">TRIM(UPPER(Raw_Data!C1130))</f>
        <v>C49198</v>
      </c>
      <c r="D1130" s="2" t="str">
        <f aca="false">PROPER(TRIM(Raw_Data!D1130))</f>
        <v>Monitor</v>
      </c>
      <c r="E1130" s="2" t="n">
        <f aca="false">Raw_Data!E1130</f>
        <v>3</v>
      </c>
      <c r="F1130" s="4" t="n">
        <f aca="false">ROUND(Raw_Data!F1130,2)</f>
        <v>646.79</v>
      </c>
      <c r="G1130" s="2" t="str">
        <f aca="false">PROPER(TRIM(Raw_Data!G1130))</f>
        <v>447 Main St</v>
      </c>
      <c r="H1130" s="2" t="str">
        <f aca="false">PROPER(TRIM(Raw_Data!H1130))</f>
        <v>Cash</v>
      </c>
      <c r="I1130" s="2" t="str">
        <f aca="false">PROPER(TRIM(Raw_Data!I1130))</f>
        <v>Cancelled</v>
      </c>
      <c r="J1130" s="2" t="str">
        <f aca="false">TRIM(UPPER(Raw_Data!J1130))</f>
        <v>TRK10883354</v>
      </c>
      <c r="K1130" s="2" t="n">
        <f aca="false">Raw_Data!K1130</f>
        <v>5</v>
      </c>
      <c r="L1130" s="2" t="str">
        <f aca="false">IF(TRIM(Raw_Data!L1130)="","No Coupon",TRIM(UPPER(Raw_Data!L1130)))</f>
        <v>WINTER15</v>
      </c>
      <c r="M1130" s="2" t="str">
        <f aca="false">PROPER(TRIM(Raw_Data!M1130))</f>
        <v>Google</v>
      </c>
      <c r="N1130" s="4" t="n">
        <f aca="false">ROUND(E1130*F1130,2)</f>
        <v>1940.37</v>
      </c>
      <c r="O1130" s="2" t="str">
        <f aca="false">IF(COUNTIF($A$2:$A$1201,A1130)&gt;1,"DUPLICATE","Unique")</f>
        <v>Unique</v>
      </c>
      <c r="P1130" s="2" t="str">
        <f aca="false">IF(L1130="","MISSING","OK")</f>
        <v>OK</v>
      </c>
      <c r="Q1130" s="2" t="str">
        <f aca="false">IF(ISNUMBER(B1130),"OK","BAD DATE")</f>
        <v>OK</v>
      </c>
      <c r="R1130" s="2" t="str">
        <f aca="false">IF(ROUND(F1130,2)=F1130,"OK","FIX")</f>
        <v>OK</v>
      </c>
    </row>
    <row r="1131" customFormat="false" ht="15" hidden="false" customHeight="false" outlineLevel="0" collapsed="false">
      <c r="A1131" s="2" t="str">
        <f aca="false">TRIM(UPPER(Raw_Data!A1131))</f>
        <v>ORD201129</v>
      </c>
      <c r="B1131" s="3" t="n">
        <f aca="false">IF(ISNUMBER(Raw_Data!B1131),Raw_Data!B1131,DATEVALUE(Raw_Data!B1131))</f>
        <v>45088</v>
      </c>
      <c r="C1131" s="2" t="str">
        <f aca="false">TRIM(UPPER(Raw_Data!C1131))</f>
        <v>C43911</v>
      </c>
      <c r="D1131" s="2" t="str">
        <f aca="false">PROPER(TRIM(Raw_Data!D1131))</f>
        <v>Chair</v>
      </c>
      <c r="E1131" s="2" t="n">
        <f aca="false">Raw_Data!E1131</f>
        <v>4</v>
      </c>
      <c r="F1131" s="4" t="n">
        <f aca="false">ROUND(Raw_Data!F1131,2)</f>
        <v>418.71</v>
      </c>
      <c r="G1131" s="2" t="str">
        <f aca="false">PROPER(TRIM(Raw_Data!G1131))</f>
        <v>239 Main St</v>
      </c>
      <c r="H1131" s="2" t="str">
        <f aca="false">PROPER(TRIM(Raw_Data!H1131))</f>
        <v>Cash</v>
      </c>
      <c r="I1131" s="2" t="str">
        <f aca="false">PROPER(TRIM(Raw_Data!I1131))</f>
        <v>Pending</v>
      </c>
      <c r="J1131" s="2" t="str">
        <f aca="false">TRIM(UPPER(Raw_Data!J1131))</f>
        <v>TRK37495481</v>
      </c>
      <c r="K1131" s="2" t="n">
        <f aca="false">Raw_Data!K1131</f>
        <v>8</v>
      </c>
      <c r="L1131" s="2" t="str">
        <f aca="false">IF(TRIM(Raw_Data!L1131)="","No Coupon",TRIM(UPPER(Raw_Data!L1131)))</f>
        <v>FREESHIP</v>
      </c>
      <c r="M1131" s="2" t="str">
        <f aca="false">PROPER(TRIM(Raw_Data!M1131))</f>
        <v>Instagram</v>
      </c>
      <c r="N1131" s="4" t="n">
        <f aca="false">ROUND(E1131*F1131,2)</f>
        <v>1674.84</v>
      </c>
      <c r="O1131" s="2" t="str">
        <f aca="false">IF(COUNTIF($A$2:$A$1201,A1131)&gt;1,"DUPLICATE","Unique")</f>
        <v>Unique</v>
      </c>
      <c r="P1131" s="2" t="str">
        <f aca="false">IF(L1131="","MISSING","OK")</f>
        <v>OK</v>
      </c>
      <c r="Q1131" s="2" t="str">
        <f aca="false">IF(ISNUMBER(B1131),"OK","BAD DATE")</f>
        <v>OK</v>
      </c>
      <c r="R1131" s="2" t="str">
        <f aca="false">IF(ROUND(F1131,2)=F1131,"OK","FIX")</f>
        <v>OK</v>
      </c>
    </row>
    <row r="1132" customFormat="false" ht="15" hidden="false" customHeight="false" outlineLevel="0" collapsed="false">
      <c r="A1132" s="2" t="str">
        <f aca="false">TRIM(UPPER(Raw_Data!A1132))</f>
        <v>ORD201130</v>
      </c>
      <c r="B1132" s="3" t="n">
        <f aca="false">IF(ISNUMBER(Raw_Data!B1132),Raw_Data!B1132,DATEVALUE(Raw_Data!B1132))</f>
        <v>45704</v>
      </c>
      <c r="C1132" s="2" t="str">
        <f aca="false">TRIM(UPPER(Raw_Data!C1132))</f>
        <v>C24347</v>
      </c>
      <c r="D1132" s="2" t="str">
        <f aca="false">PROPER(TRIM(Raw_Data!D1132))</f>
        <v>Laptop</v>
      </c>
      <c r="E1132" s="2" t="n">
        <f aca="false">Raw_Data!E1132</f>
        <v>2</v>
      </c>
      <c r="F1132" s="4" t="n">
        <f aca="false">ROUND(Raw_Data!F1132,2)</f>
        <v>323.45</v>
      </c>
      <c r="G1132" s="2" t="str">
        <f aca="false">PROPER(TRIM(Raw_Data!G1132))</f>
        <v>533 Main St</v>
      </c>
      <c r="H1132" s="2" t="str">
        <f aca="false">PROPER(TRIM(Raw_Data!H1132))</f>
        <v>Credit Card</v>
      </c>
      <c r="I1132" s="2" t="str">
        <f aca="false">PROPER(TRIM(Raw_Data!I1132))</f>
        <v>Returned</v>
      </c>
      <c r="J1132" s="2" t="str">
        <f aca="false">TRIM(UPPER(Raw_Data!J1132))</f>
        <v>TRK27233265</v>
      </c>
      <c r="K1132" s="2" t="n">
        <f aca="false">Raw_Data!K1132</f>
        <v>5</v>
      </c>
      <c r="L1132" s="2" t="str">
        <f aca="false">IF(TRIM(Raw_Data!L1132)="","No Coupon",TRIM(UPPER(Raw_Data!L1132)))</f>
        <v>FREESHIP</v>
      </c>
      <c r="M1132" s="2" t="str">
        <f aca="false">PROPER(TRIM(Raw_Data!M1132))</f>
        <v>Instagram</v>
      </c>
      <c r="N1132" s="4" t="n">
        <f aca="false">ROUND(E1132*F1132,2)</f>
        <v>646.9</v>
      </c>
      <c r="O1132" s="2" t="str">
        <f aca="false">IF(COUNTIF($A$2:$A$1201,A1132)&gt;1,"DUPLICATE","Unique")</f>
        <v>Unique</v>
      </c>
      <c r="P1132" s="2" t="str">
        <f aca="false">IF(L1132="","MISSING","OK")</f>
        <v>OK</v>
      </c>
      <c r="Q1132" s="2" t="str">
        <f aca="false">IF(ISNUMBER(B1132),"OK","BAD DATE")</f>
        <v>OK</v>
      </c>
      <c r="R1132" s="2" t="str">
        <f aca="false">IF(ROUND(F1132,2)=F1132,"OK","FIX")</f>
        <v>OK</v>
      </c>
    </row>
    <row r="1133" customFormat="false" ht="15" hidden="false" customHeight="false" outlineLevel="0" collapsed="false">
      <c r="A1133" s="2" t="str">
        <f aca="false">TRIM(UPPER(Raw_Data!A1133))</f>
        <v>ORD201131</v>
      </c>
      <c r="B1133" s="3" t="n">
        <f aca="false">IF(ISNUMBER(Raw_Data!B1133),Raw_Data!B1133,DATEVALUE(Raw_Data!B1133))</f>
        <v>45491</v>
      </c>
      <c r="C1133" s="2" t="str">
        <f aca="false">TRIM(UPPER(Raw_Data!C1133))</f>
        <v>C21043</v>
      </c>
      <c r="D1133" s="2" t="str">
        <f aca="false">PROPER(TRIM(Raw_Data!D1133))</f>
        <v>Phone</v>
      </c>
      <c r="E1133" s="2" t="n">
        <f aca="false">Raw_Data!E1133</f>
        <v>1</v>
      </c>
      <c r="F1133" s="4" t="n">
        <f aca="false">ROUND(Raw_Data!F1133,2)</f>
        <v>694.5</v>
      </c>
      <c r="G1133" s="2" t="str">
        <f aca="false">PROPER(TRIM(Raw_Data!G1133))</f>
        <v>195 Main St</v>
      </c>
      <c r="H1133" s="2" t="str">
        <f aca="false">PROPER(TRIM(Raw_Data!H1133))</f>
        <v>Credit Card</v>
      </c>
      <c r="I1133" s="2" t="str">
        <f aca="false">PROPER(TRIM(Raw_Data!I1133))</f>
        <v>Pending</v>
      </c>
      <c r="J1133" s="2" t="str">
        <f aca="false">TRIM(UPPER(Raw_Data!J1133))</f>
        <v>TRK41691086</v>
      </c>
      <c r="K1133" s="2" t="n">
        <f aca="false">Raw_Data!K1133</f>
        <v>3</v>
      </c>
      <c r="L1133" s="2" t="str">
        <f aca="false">IF(TRIM(Raw_Data!L1133)="","No Coupon",TRIM(UPPER(Raw_Data!L1133)))</f>
        <v>WINTER15</v>
      </c>
      <c r="M1133" s="2" t="str">
        <f aca="false">PROPER(TRIM(Raw_Data!M1133))</f>
        <v>Facebook</v>
      </c>
      <c r="N1133" s="4" t="n">
        <f aca="false">ROUND(E1133*F1133,2)</f>
        <v>694.5</v>
      </c>
      <c r="O1133" s="2" t="str">
        <f aca="false">IF(COUNTIF($A$2:$A$1201,A1133)&gt;1,"DUPLICATE","Unique")</f>
        <v>Unique</v>
      </c>
      <c r="P1133" s="2" t="str">
        <f aca="false">IF(L1133="","MISSING","OK")</f>
        <v>OK</v>
      </c>
      <c r="Q1133" s="2" t="str">
        <f aca="false">IF(ISNUMBER(B1133),"OK","BAD DATE")</f>
        <v>OK</v>
      </c>
      <c r="R1133" s="2" t="str">
        <f aca="false">IF(ROUND(F1133,2)=F1133,"OK","FIX")</f>
        <v>OK</v>
      </c>
    </row>
    <row r="1134" customFormat="false" ht="15" hidden="false" customHeight="false" outlineLevel="0" collapsed="false">
      <c r="A1134" s="2" t="str">
        <f aca="false">TRIM(UPPER(Raw_Data!A1134))</f>
        <v>ORD201132</v>
      </c>
      <c r="B1134" s="3" t="n">
        <f aca="false">IF(ISNUMBER(Raw_Data!B1134),Raw_Data!B1134,DATEVALUE(Raw_Data!B1134))</f>
        <v>45628</v>
      </c>
      <c r="C1134" s="2" t="str">
        <f aca="false">TRIM(UPPER(Raw_Data!C1134))</f>
        <v>C58858</v>
      </c>
      <c r="D1134" s="2" t="str">
        <f aca="false">PROPER(TRIM(Raw_Data!D1134))</f>
        <v>Chair</v>
      </c>
      <c r="E1134" s="2" t="n">
        <f aca="false">Raw_Data!E1134</f>
        <v>2</v>
      </c>
      <c r="F1134" s="4" t="n">
        <f aca="false">ROUND(Raw_Data!F1134,2)</f>
        <v>337.32</v>
      </c>
      <c r="G1134" s="2" t="str">
        <f aca="false">PROPER(TRIM(Raw_Data!G1134))</f>
        <v>948 Main St</v>
      </c>
      <c r="H1134" s="2" t="str">
        <f aca="false">PROPER(TRIM(Raw_Data!H1134))</f>
        <v>Credit Card</v>
      </c>
      <c r="I1134" s="2" t="str">
        <f aca="false">PROPER(TRIM(Raw_Data!I1134))</f>
        <v>Cancelled</v>
      </c>
      <c r="J1134" s="2" t="str">
        <f aca="false">TRIM(UPPER(Raw_Data!J1134))</f>
        <v>TRK30406357</v>
      </c>
      <c r="K1134" s="2" t="n">
        <f aca="false">Raw_Data!K1134</f>
        <v>4</v>
      </c>
      <c r="L1134" s="2" t="str">
        <f aca="false">IF(TRIM(Raw_Data!L1134)="","No Coupon",TRIM(UPPER(Raw_Data!L1134)))</f>
        <v>SAVE10</v>
      </c>
      <c r="M1134" s="2" t="str">
        <f aca="false">PROPER(TRIM(Raw_Data!M1134))</f>
        <v>Email</v>
      </c>
      <c r="N1134" s="4" t="n">
        <f aca="false">ROUND(E1134*F1134,2)</f>
        <v>674.64</v>
      </c>
      <c r="O1134" s="2" t="str">
        <f aca="false">IF(COUNTIF($A$2:$A$1201,A1134)&gt;1,"DUPLICATE","Unique")</f>
        <v>Unique</v>
      </c>
      <c r="P1134" s="2" t="str">
        <f aca="false">IF(L1134="","MISSING","OK")</f>
        <v>OK</v>
      </c>
      <c r="Q1134" s="2" t="str">
        <f aca="false">IF(ISNUMBER(B1134),"OK","BAD DATE")</f>
        <v>OK</v>
      </c>
      <c r="R1134" s="2" t="str">
        <f aca="false">IF(ROUND(F1134,2)=F1134,"OK","FIX")</f>
        <v>OK</v>
      </c>
    </row>
    <row r="1135" customFormat="false" ht="15" hidden="false" customHeight="false" outlineLevel="0" collapsed="false">
      <c r="A1135" s="2" t="str">
        <f aca="false">TRIM(UPPER(Raw_Data!A1135))</f>
        <v>ORD201133</v>
      </c>
      <c r="B1135" s="3" t="n">
        <f aca="false">IF(ISNUMBER(Raw_Data!B1135),Raw_Data!B1135,DATEVALUE(Raw_Data!B1135))</f>
        <v>45391</v>
      </c>
      <c r="C1135" s="2" t="str">
        <f aca="false">TRIM(UPPER(Raw_Data!C1135))</f>
        <v>C20670</v>
      </c>
      <c r="D1135" s="2" t="str">
        <f aca="false">PROPER(TRIM(Raw_Data!D1135))</f>
        <v>Printer</v>
      </c>
      <c r="E1135" s="2" t="n">
        <f aca="false">Raw_Data!E1135</f>
        <v>2</v>
      </c>
      <c r="F1135" s="4" t="n">
        <f aca="false">ROUND(Raw_Data!F1135,2)</f>
        <v>467.91</v>
      </c>
      <c r="G1135" s="2" t="str">
        <f aca="false">PROPER(TRIM(Raw_Data!G1135))</f>
        <v>432 Main St</v>
      </c>
      <c r="H1135" s="2" t="str">
        <f aca="false">PROPER(TRIM(Raw_Data!H1135))</f>
        <v>Gift Card</v>
      </c>
      <c r="I1135" s="2" t="str">
        <f aca="false">PROPER(TRIM(Raw_Data!I1135))</f>
        <v>Returned</v>
      </c>
      <c r="J1135" s="2" t="str">
        <f aca="false">TRIM(UPPER(Raw_Data!J1135))</f>
        <v>TRK76731303</v>
      </c>
      <c r="K1135" s="2" t="n">
        <f aca="false">Raw_Data!K1135</f>
        <v>5</v>
      </c>
      <c r="L1135" s="2" t="str">
        <f aca="false">IF(TRIM(Raw_Data!L1135)="","No Coupon",TRIM(UPPER(Raw_Data!L1135)))</f>
        <v>WINTER15</v>
      </c>
      <c r="M1135" s="2" t="str">
        <f aca="false">PROPER(TRIM(Raw_Data!M1135))</f>
        <v>Facebook</v>
      </c>
      <c r="N1135" s="4" t="n">
        <f aca="false">ROUND(E1135*F1135,2)</f>
        <v>935.82</v>
      </c>
      <c r="O1135" s="2" t="str">
        <f aca="false">IF(COUNTIF($A$2:$A$1201,A1135)&gt;1,"DUPLICATE","Unique")</f>
        <v>Unique</v>
      </c>
      <c r="P1135" s="2" t="str">
        <f aca="false">IF(L1135="","MISSING","OK")</f>
        <v>OK</v>
      </c>
      <c r="Q1135" s="2" t="str">
        <f aca="false">IF(ISNUMBER(B1135),"OK","BAD DATE")</f>
        <v>OK</v>
      </c>
      <c r="R1135" s="2" t="str">
        <f aca="false">IF(ROUND(F1135,2)=F1135,"OK","FIX")</f>
        <v>OK</v>
      </c>
    </row>
    <row r="1136" customFormat="false" ht="15" hidden="false" customHeight="false" outlineLevel="0" collapsed="false">
      <c r="A1136" s="2" t="str">
        <f aca="false">TRIM(UPPER(Raw_Data!A1136))</f>
        <v>ORD201134</v>
      </c>
      <c r="B1136" s="3" t="n">
        <f aca="false">IF(ISNUMBER(Raw_Data!B1136),Raw_Data!B1136,DATEVALUE(Raw_Data!B1136))</f>
        <v>45451</v>
      </c>
      <c r="C1136" s="2" t="str">
        <f aca="false">TRIM(UPPER(Raw_Data!C1136))</f>
        <v>C90993</v>
      </c>
      <c r="D1136" s="2" t="str">
        <f aca="false">PROPER(TRIM(Raw_Data!D1136))</f>
        <v>Desk</v>
      </c>
      <c r="E1136" s="2" t="n">
        <f aca="false">Raw_Data!E1136</f>
        <v>4</v>
      </c>
      <c r="F1136" s="4" t="n">
        <f aca="false">ROUND(Raw_Data!F1136,2)</f>
        <v>38.28</v>
      </c>
      <c r="G1136" s="2" t="str">
        <f aca="false">PROPER(TRIM(Raw_Data!G1136))</f>
        <v>950 Main St</v>
      </c>
      <c r="H1136" s="2" t="str">
        <f aca="false">PROPER(TRIM(Raw_Data!H1136))</f>
        <v>Debit Card</v>
      </c>
      <c r="I1136" s="2" t="str">
        <f aca="false">PROPER(TRIM(Raw_Data!I1136))</f>
        <v>Cancelled</v>
      </c>
      <c r="J1136" s="2" t="str">
        <f aca="false">TRIM(UPPER(Raw_Data!J1136))</f>
        <v>TRK53964711</v>
      </c>
      <c r="K1136" s="2" t="n">
        <f aca="false">Raw_Data!K1136</f>
        <v>4</v>
      </c>
      <c r="L1136" s="2" t="str">
        <f aca="false">IF(TRIM(Raw_Data!L1136)="","No Coupon",TRIM(UPPER(Raw_Data!L1136)))</f>
        <v>WINTER15</v>
      </c>
      <c r="M1136" s="2" t="str">
        <f aca="false">PROPER(TRIM(Raw_Data!M1136))</f>
        <v>Facebook</v>
      </c>
      <c r="N1136" s="4" t="n">
        <f aca="false">ROUND(E1136*F1136,2)</f>
        <v>153.12</v>
      </c>
      <c r="O1136" s="2" t="str">
        <f aca="false">IF(COUNTIF($A$2:$A$1201,A1136)&gt;1,"DUPLICATE","Unique")</f>
        <v>Unique</v>
      </c>
      <c r="P1136" s="2" t="str">
        <f aca="false">IF(L1136="","MISSING","OK")</f>
        <v>OK</v>
      </c>
      <c r="Q1136" s="2" t="str">
        <f aca="false">IF(ISNUMBER(B1136),"OK","BAD DATE")</f>
        <v>OK</v>
      </c>
      <c r="R1136" s="2" t="str">
        <f aca="false">IF(ROUND(F1136,2)=F1136,"OK","FIX")</f>
        <v>OK</v>
      </c>
    </row>
    <row r="1137" customFormat="false" ht="15" hidden="false" customHeight="false" outlineLevel="0" collapsed="false">
      <c r="A1137" s="2" t="str">
        <f aca="false">TRIM(UPPER(Raw_Data!A1137))</f>
        <v>ORD201135</v>
      </c>
      <c r="B1137" s="3" t="n">
        <f aca="false">IF(ISNUMBER(Raw_Data!B1137),Raw_Data!B1137,DATEVALUE(Raw_Data!B1137))</f>
        <v>45288</v>
      </c>
      <c r="C1137" s="2" t="str">
        <f aca="false">TRIM(UPPER(Raw_Data!C1137))</f>
        <v>C11473</v>
      </c>
      <c r="D1137" s="2" t="str">
        <f aca="false">PROPER(TRIM(Raw_Data!D1137))</f>
        <v>Printer</v>
      </c>
      <c r="E1137" s="2" t="n">
        <f aca="false">Raw_Data!E1137</f>
        <v>2</v>
      </c>
      <c r="F1137" s="4" t="n">
        <f aca="false">ROUND(Raw_Data!F1137,2)</f>
        <v>73.41</v>
      </c>
      <c r="G1137" s="2" t="str">
        <f aca="false">PROPER(TRIM(Raw_Data!G1137))</f>
        <v>562 Main St</v>
      </c>
      <c r="H1137" s="2" t="str">
        <f aca="false">PROPER(TRIM(Raw_Data!H1137))</f>
        <v>Online</v>
      </c>
      <c r="I1137" s="2" t="str">
        <f aca="false">PROPER(TRIM(Raw_Data!I1137))</f>
        <v>Shipped</v>
      </c>
      <c r="J1137" s="2" t="str">
        <f aca="false">TRIM(UPPER(Raw_Data!J1137))</f>
        <v>TRK97793275</v>
      </c>
      <c r="K1137" s="2" t="n">
        <f aca="false">Raw_Data!K1137</f>
        <v>2</v>
      </c>
      <c r="L1137" s="2" t="str">
        <f aca="false">IF(TRIM(Raw_Data!L1137)="","No Coupon",TRIM(UPPER(Raw_Data!L1137)))</f>
        <v>SAVE10</v>
      </c>
      <c r="M1137" s="2" t="str">
        <f aca="false">PROPER(TRIM(Raw_Data!M1137))</f>
        <v>Google</v>
      </c>
      <c r="N1137" s="4" t="n">
        <f aca="false">ROUND(E1137*F1137,2)</f>
        <v>146.82</v>
      </c>
      <c r="O1137" s="2" t="str">
        <f aca="false">IF(COUNTIF($A$2:$A$1201,A1137)&gt;1,"DUPLICATE","Unique")</f>
        <v>Unique</v>
      </c>
      <c r="P1137" s="2" t="str">
        <f aca="false">IF(L1137="","MISSING","OK")</f>
        <v>OK</v>
      </c>
      <c r="Q1137" s="2" t="str">
        <f aca="false">IF(ISNUMBER(B1137),"OK","BAD DATE")</f>
        <v>OK</v>
      </c>
      <c r="R1137" s="2" t="str">
        <f aca="false">IF(ROUND(F1137,2)=F1137,"OK","FIX")</f>
        <v>OK</v>
      </c>
    </row>
    <row r="1138" customFormat="false" ht="15" hidden="false" customHeight="false" outlineLevel="0" collapsed="false">
      <c r="A1138" s="2" t="str">
        <f aca="false">TRIM(UPPER(Raw_Data!A1138))</f>
        <v>ORD201136</v>
      </c>
      <c r="B1138" s="3" t="n">
        <f aca="false">IF(ISNUMBER(Raw_Data!B1138),Raw_Data!B1138,DATEVALUE(Raw_Data!B1138))</f>
        <v>45193</v>
      </c>
      <c r="C1138" s="2" t="str">
        <f aca="false">TRIM(UPPER(Raw_Data!C1138))</f>
        <v>C71899</v>
      </c>
      <c r="D1138" s="2" t="str">
        <f aca="false">PROPER(TRIM(Raw_Data!D1138))</f>
        <v>Tablet</v>
      </c>
      <c r="E1138" s="2" t="n">
        <f aca="false">Raw_Data!E1138</f>
        <v>3</v>
      </c>
      <c r="F1138" s="4" t="n">
        <f aca="false">ROUND(Raw_Data!F1138,2)</f>
        <v>668.33</v>
      </c>
      <c r="G1138" s="2" t="str">
        <f aca="false">PROPER(TRIM(Raw_Data!G1138))</f>
        <v>799 Main St</v>
      </c>
      <c r="H1138" s="2" t="str">
        <f aca="false">PROPER(TRIM(Raw_Data!H1138))</f>
        <v>Gift Card</v>
      </c>
      <c r="I1138" s="2" t="str">
        <f aca="false">PROPER(TRIM(Raw_Data!I1138))</f>
        <v>Pending</v>
      </c>
      <c r="J1138" s="2" t="str">
        <f aca="false">TRIM(UPPER(Raw_Data!J1138))</f>
        <v>TRK34856025</v>
      </c>
      <c r="K1138" s="2" t="n">
        <f aca="false">Raw_Data!K1138</f>
        <v>4</v>
      </c>
      <c r="L1138" s="2" t="str">
        <f aca="false">IF(TRIM(Raw_Data!L1138)="","No Coupon",TRIM(UPPER(Raw_Data!L1138)))</f>
        <v>WINTER15</v>
      </c>
      <c r="M1138" s="2" t="str">
        <f aca="false">PROPER(TRIM(Raw_Data!M1138))</f>
        <v>Facebook</v>
      </c>
      <c r="N1138" s="4" t="n">
        <f aca="false">ROUND(E1138*F1138,2)</f>
        <v>2004.99</v>
      </c>
      <c r="O1138" s="2" t="str">
        <f aca="false">IF(COUNTIF($A$2:$A$1201,A1138)&gt;1,"DUPLICATE","Unique")</f>
        <v>Unique</v>
      </c>
      <c r="P1138" s="2" t="str">
        <f aca="false">IF(L1138="","MISSING","OK")</f>
        <v>OK</v>
      </c>
      <c r="Q1138" s="2" t="str">
        <f aca="false">IF(ISNUMBER(B1138),"OK","BAD DATE")</f>
        <v>OK</v>
      </c>
      <c r="R1138" s="2" t="str">
        <f aca="false">IF(ROUND(F1138,2)=F1138,"OK","FIX")</f>
        <v>OK</v>
      </c>
    </row>
    <row r="1139" customFormat="false" ht="15" hidden="false" customHeight="false" outlineLevel="0" collapsed="false">
      <c r="A1139" s="2" t="str">
        <f aca="false">TRIM(UPPER(Raw_Data!A1139))</f>
        <v>ORD201137</v>
      </c>
      <c r="B1139" s="3" t="n">
        <f aca="false">IF(ISNUMBER(Raw_Data!B1139),Raw_Data!B1139,DATEVALUE(Raw_Data!B1139))</f>
        <v>45502</v>
      </c>
      <c r="C1139" s="2" t="str">
        <f aca="false">TRIM(UPPER(Raw_Data!C1139))</f>
        <v>C48577</v>
      </c>
      <c r="D1139" s="2" t="str">
        <f aca="false">PROPER(TRIM(Raw_Data!D1139))</f>
        <v>Printer</v>
      </c>
      <c r="E1139" s="2" t="n">
        <f aca="false">Raw_Data!E1139</f>
        <v>4</v>
      </c>
      <c r="F1139" s="4" t="n">
        <f aca="false">ROUND(Raw_Data!F1139,2)</f>
        <v>410.21</v>
      </c>
      <c r="G1139" s="2" t="str">
        <f aca="false">PROPER(TRIM(Raw_Data!G1139))</f>
        <v>841 Main St</v>
      </c>
      <c r="H1139" s="2" t="str">
        <f aca="false">PROPER(TRIM(Raw_Data!H1139))</f>
        <v>Cash</v>
      </c>
      <c r="I1139" s="2" t="str">
        <f aca="false">PROPER(TRIM(Raw_Data!I1139))</f>
        <v>Pending</v>
      </c>
      <c r="J1139" s="2" t="str">
        <f aca="false">TRIM(UPPER(Raw_Data!J1139))</f>
        <v>TRK59911645</v>
      </c>
      <c r="K1139" s="2" t="n">
        <f aca="false">Raw_Data!K1139</f>
        <v>5</v>
      </c>
      <c r="L1139" s="2" t="str">
        <f aca="false">IF(TRIM(Raw_Data!L1139)="","No Coupon",TRIM(UPPER(Raw_Data!L1139)))</f>
        <v>WINTER15</v>
      </c>
      <c r="M1139" s="2" t="str">
        <f aca="false">PROPER(TRIM(Raw_Data!M1139))</f>
        <v>Instagram</v>
      </c>
      <c r="N1139" s="4" t="n">
        <f aca="false">ROUND(E1139*F1139,2)</f>
        <v>1640.84</v>
      </c>
      <c r="O1139" s="2" t="str">
        <f aca="false">IF(COUNTIF($A$2:$A$1201,A1139)&gt;1,"DUPLICATE","Unique")</f>
        <v>Unique</v>
      </c>
      <c r="P1139" s="2" t="str">
        <f aca="false">IF(L1139="","MISSING","OK")</f>
        <v>OK</v>
      </c>
      <c r="Q1139" s="2" t="str">
        <f aca="false">IF(ISNUMBER(B1139),"OK","BAD DATE")</f>
        <v>OK</v>
      </c>
      <c r="R1139" s="2" t="str">
        <f aca="false">IF(ROUND(F1139,2)=F1139,"OK","FIX")</f>
        <v>OK</v>
      </c>
    </row>
    <row r="1140" customFormat="false" ht="15" hidden="false" customHeight="false" outlineLevel="0" collapsed="false">
      <c r="A1140" s="2" t="str">
        <f aca="false">TRIM(UPPER(Raw_Data!A1140))</f>
        <v>ORD201138</v>
      </c>
      <c r="B1140" s="3" t="n">
        <f aca="false">IF(ISNUMBER(Raw_Data!B1140),Raw_Data!B1140,DATEVALUE(Raw_Data!B1140))</f>
        <v>45278</v>
      </c>
      <c r="C1140" s="2" t="str">
        <f aca="false">TRIM(UPPER(Raw_Data!C1140))</f>
        <v>C13100</v>
      </c>
      <c r="D1140" s="2" t="str">
        <f aca="false">PROPER(TRIM(Raw_Data!D1140))</f>
        <v>Desk</v>
      </c>
      <c r="E1140" s="2" t="n">
        <f aca="false">Raw_Data!E1140</f>
        <v>4</v>
      </c>
      <c r="F1140" s="4" t="n">
        <f aca="false">ROUND(Raw_Data!F1140,2)</f>
        <v>294.41</v>
      </c>
      <c r="G1140" s="2" t="str">
        <f aca="false">PROPER(TRIM(Raw_Data!G1140))</f>
        <v>188 Main St</v>
      </c>
      <c r="H1140" s="2" t="str">
        <f aca="false">PROPER(TRIM(Raw_Data!H1140))</f>
        <v>Debit Card</v>
      </c>
      <c r="I1140" s="2" t="str">
        <f aca="false">PROPER(TRIM(Raw_Data!I1140))</f>
        <v>Pending</v>
      </c>
      <c r="J1140" s="2" t="str">
        <f aca="false">TRIM(UPPER(Raw_Data!J1140))</f>
        <v>TRK55565668</v>
      </c>
      <c r="K1140" s="2" t="n">
        <f aca="false">Raw_Data!K1140</f>
        <v>4</v>
      </c>
      <c r="L1140" s="2" t="str">
        <f aca="false">IF(TRIM(Raw_Data!L1140)="","No Coupon",TRIM(UPPER(Raw_Data!L1140)))</f>
        <v>No Coupon</v>
      </c>
      <c r="M1140" s="2" t="str">
        <f aca="false">PROPER(TRIM(Raw_Data!M1140))</f>
        <v>Instagram</v>
      </c>
      <c r="N1140" s="4" t="n">
        <f aca="false">ROUND(E1140*F1140,2)</f>
        <v>1177.64</v>
      </c>
      <c r="O1140" s="2" t="str">
        <f aca="false">IF(COUNTIF($A$2:$A$1201,A1140)&gt;1,"DUPLICATE","Unique")</f>
        <v>Unique</v>
      </c>
      <c r="P1140" s="2" t="str">
        <f aca="false">IF(L1140="","MISSING","OK")</f>
        <v>OK</v>
      </c>
      <c r="Q1140" s="2" t="str">
        <f aca="false">IF(ISNUMBER(B1140),"OK","BAD DATE")</f>
        <v>OK</v>
      </c>
      <c r="R1140" s="2" t="str">
        <f aca="false">IF(ROUND(F1140,2)=F1140,"OK","FIX")</f>
        <v>OK</v>
      </c>
    </row>
    <row r="1141" customFormat="false" ht="15" hidden="false" customHeight="false" outlineLevel="0" collapsed="false">
      <c r="A1141" s="2" t="str">
        <f aca="false">TRIM(UPPER(Raw_Data!A1141))</f>
        <v>ORD201139</v>
      </c>
      <c r="B1141" s="3" t="n">
        <f aca="false">IF(ISNUMBER(Raw_Data!B1141),Raw_Data!B1141,DATEVALUE(Raw_Data!B1141))</f>
        <v>45717</v>
      </c>
      <c r="C1141" s="2" t="str">
        <f aca="false">TRIM(UPPER(Raw_Data!C1141))</f>
        <v>C70659</v>
      </c>
      <c r="D1141" s="2" t="str">
        <f aca="false">PROPER(TRIM(Raw_Data!D1141))</f>
        <v>Chair</v>
      </c>
      <c r="E1141" s="2" t="n">
        <f aca="false">Raw_Data!E1141</f>
        <v>3</v>
      </c>
      <c r="F1141" s="4" t="n">
        <f aca="false">ROUND(Raw_Data!F1141,2)</f>
        <v>501.82</v>
      </c>
      <c r="G1141" s="2" t="str">
        <f aca="false">PROPER(TRIM(Raw_Data!G1141))</f>
        <v>568 Main St</v>
      </c>
      <c r="H1141" s="2" t="str">
        <f aca="false">PROPER(TRIM(Raw_Data!H1141))</f>
        <v>Gift Card</v>
      </c>
      <c r="I1141" s="2" t="str">
        <f aca="false">PROPER(TRIM(Raw_Data!I1141))</f>
        <v>Cancelled</v>
      </c>
      <c r="J1141" s="2" t="str">
        <f aca="false">TRIM(UPPER(Raw_Data!J1141))</f>
        <v>TRK28290825</v>
      </c>
      <c r="K1141" s="2" t="n">
        <f aca="false">Raw_Data!K1141</f>
        <v>4</v>
      </c>
      <c r="L1141" s="2" t="str">
        <f aca="false">IF(TRIM(Raw_Data!L1141)="","No Coupon",TRIM(UPPER(Raw_Data!L1141)))</f>
        <v>FREESHIP</v>
      </c>
      <c r="M1141" s="2" t="str">
        <f aca="false">PROPER(TRIM(Raw_Data!M1141))</f>
        <v>Email</v>
      </c>
      <c r="N1141" s="4" t="n">
        <f aca="false">ROUND(E1141*F1141,2)</f>
        <v>1505.46</v>
      </c>
      <c r="O1141" s="2" t="str">
        <f aca="false">IF(COUNTIF($A$2:$A$1201,A1141)&gt;1,"DUPLICATE","Unique")</f>
        <v>Unique</v>
      </c>
      <c r="P1141" s="2" t="str">
        <f aca="false">IF(L1141="","MISSING","OK")</f>
        <v>OK</v>
      </c>
      <c r="Q1141" s="2" t="str">
        <f aca="false">IF(ISNUMBER(B1141),"OK","BAD DATE")</f>
        <v>OK</v>
      </c>
      <c r="R1141" s="2" t="str">
        <f aca="false">IF(ROUND(F1141,2)=F1141,"OK","FIX")</f>
        <v>OK</v>
      </c>
    </row>
    <row r="1142" customFormat="false" ht="15" hidden="false" customHeight="false" outlineLevel="0" collapsed="false">
      <c r="A1142" s="2" t="str">
        <f aca="false">TRIM(UPPER(Raw_Data!A1142))</f>
        <v>ORD201140</v>
      </c>
      <c r="B1142" s="3" t="n">
        <f aca="false">IF(ISNUMBER(Raw_Data!B1142),Raw_Data!B1142,DATEVALUE(Raw_Data!B1142))</f>
        <v>45467</v>
      </c>
      <c r="C1142" s="2" t="str">
        <f aca="false">TRIM(UPPER(Raw_Data!C1142))</f>
        <v>C49838</v>
      </c>
      <c r="D1142" s="2" t="str">
        <f aca="false">PROPER(TRIM(Raw_Data!D1142))</f>
        <v>Printer</v>
      </c>
      <c r="E1142" s="2" t="n">
        <f aca="false">Raw_Data!E1142</f>
        <v>2</v>
      </c>
      <c r="F1142" s="4" t="n">
        <f aca="false">ROUND(Raw_Data!F1142,2)</f>
        <v>552.83</v>
      </c>
      <c r="G1142" s="2" t="str">
        <f aca="false">PROPER(TRIM(Raw_Data!G1142))</f>
        <v>904 Main St</v>
      </c>
      <c r="H1142" s="2" t="str">
        <f aca="false">PROPER(TRIM(Raw_Data!H1142))</f>
        <v>Credit Card</v>
      </c>
      <c r="I1142" s="2" t="str">
        <f aca="false">PROPER(TRIM(Raw_Data!I1142))</f>
        <v>Cancelled</v>
      </c>
      <c r="J1142" s="2" t="str">
        <f aca="false">TRIM(UPPER(Raw_Data!J1142))</f>
        <v>TRK38297718</v>
      </c>
      <c r="K1142" s="2" t="n">
        <f aca="false">Raw_Data!K1142</f>
        <v>3</v>
      </c>
      <c r="L1142" s="2" t="str">
        <f aca="false">IF(TRIM(Raw_Data!L1142)="","No Coupon",TRIM(UPPER(Raw_Data!L1142)))</f>
        <v>No Coupon</v>
      </c>
      <c r="M1142" s="2" t="str">
        <f aca="false">PROPER(TRIM(Raw_Data!M1142))</f>
        <v>Referral</v>
      </c>
      <c r="N1142" s="4" t="n">
        <f aca="false">ROUND(E1142*F1142,2)</f>
        <v>1105.66</v>
      </c>
      <c r="O1142" s="2" t="str">
        <f aca="false">IF(COUNTIF($A$2:$A$1201,A1142)&gt;1,"DUPLICATE","Unique")</f>
        <v>Unique</v>
      </c>
      <c r="P1142" s="2" t="str">
        <f aca="false">IF(L1142="","MISSING","OK")</f>
        <v>OK</v>
      </c>
      <c r="Q1142" s="2" t="str">
        <f aca="false">IF(ISNUMBER(B1142),"OK","BAD DATE")</f>
        <v>OK</v>
      </c>
      <c r="R1142" s="2" t="str">
        <f aca="false">IF(ROUND(F1142,2)=F1142,"OK","FIX")</f>
        <v>OK</v>
      </c>
    </row>
    <row r="1143" customFormat="false" ht="15" hidden="false" customHeight="false" outlineLevel="0" collapsed="false">
      <c r="A1143" s="2" t="str">
        <f aca="false">TRIM(UPPER(Raw_Data!A1143))</f>
        <v>ORD201141</v>
      </c>
      <c r="B1143" s="3" t="n">
        <f aca="false">IF(ISNUMBER(Raw_Data!B1143),Raw_Data!B1143,DATEVALUE(Raw_Data!B1143))</f>
        <v>45704</v>
      </c>
      <c r="C1143" s="2" t="str">
        <f aca="false">TRIM(UPPER(Raw_Data!C1143))</f>
        <v>C11998</v>
      </c>
      <c r="D1143" s="2" t="str">
        <f aca="false">PROPER(TRIM(Raw_Data!D1143))</f>
        <v>Chair</v>
      </c>
      <c r="E1143" s="2" t="n">
        <f aca="false">Raw_Data!E1143</f>
        <v>3</v>
      </c>
      <c r="F1143" s="4" t="n">
        <f aca="false">ROUND(Raw_Data!F1143,2)</f>
        <v>498.66</v>
      </c>
      <c r="G1143" s="2" t="str">
        <f aca="false">PROPER(TRIM(Raw_Data!G1143))</f>
        <v>382 Main St</v>
      </c>
      <c r="H1143" s="2" t="str">
        <f aca="false">PROPER(TRIM(Raw_Data!H1143))</f>
        <v>Cash</v>
      </c>
      <c r="I1143" s="2" t="str">
        <f aca="false">PROPER(TRIM(Raw_Data!I1143))</f>
        <v>Cancelled</v>
      </c>
      <c r="J1143" s="2" t="str">
        <f aca="false">TRIM(UPPER(Raw_Data!J1143))</f>
        <v>TRK26707221</v>
      </c>
      <c r="K1143" s="2" t="n">
        <f aca="false">Raw_Data!K1143</f>
        <v>6</v>
      </c>
      <c r="L1143" s="2" t="str">
        <f aca="false">IF(TRIM(Raw_Data!L1143)="","No Coupon",TRIM(UPPER(Raw_Data!L1143)))</f>
        <v>No Coupon</v>
      </c>
      <c r="M1143" s="2" t="str">
        <f aca="false">PROPER(TRIM(Raw_Data!M1143))</f>
        <v>Email</v>
      </c>
      <c r="N1143" s="4" t="n">
        <f aca="false">ROUND(E1143*F1143,2)</f>
        <v>1495.98</v>
      </c>
      <c r="O1143" s="2" t="str">
        <f aca="false">IF(COUNTIF($A$2:$A$1201,A1143)&gt;1,"DUPLICATE","Unique")</f>
        <v>Unique</v>
      </c>
      <c r="P1143" s="2" t="str">
        <f aca="false">IF(L1143="","MISSING","OK")</f>
        <v>OK</v>
      </c>
      <c r="Q1143" s="2" t="str">
        <f aca="false">IF(ISNUMBER(B1143),"OK","BAD DATE")</f>
        <v>OK</v>
      </c>
      <c r="R1143" s="2" t="str">
        <f aca="false">IF(ROUND(F1143,2)=F1143,"OK","FIX")</f>
        <v>OK</v>
      </c>
    </row>
    <row r="1144" customFormat="false" ht="15" hidden="false" customHeight="false" outlineLevel="0" collapsed="false">
      <c r="A1144" s="2" t="str">
        <f aca="false">TRIM(UPPER(Raw_Data!A1144))</f>
        <v>ORD201142</v>
      </c>
      <c r="B1144" s="3" t="n">
        <f aca="false">IF(ISNUMBER(Raw_Data!B1144),Raw_Data!B1144,DATEVALUE(Raw_Data!B1144))</f>
        <v>45527</v>
      </c>
      <c r="C1144" s="2" t="str">
        <f aca="false">TRIM(UPPER(Raw_Data!C1144))</f>
        <v>C23405</v>
      </c>
      <c r="D1144" s="2" t="str">
        <f aca="false">PROPER(TRIM(Raw_Data!D1144))</f>
        <v>Phone</v>
      </c>
      <c r="E1144" s="2" t="n">
        <f aca="false">Raw_Data!E1144</f>
        <v>4</v>
      </c>
      <c r="F1144" s="4" t="n">
        <f aca="false">ROUND(Raw_Data!F1144,2)</f>
        <v>695.1</v>
      </c>
      <c r="G1144" s="2" t="str">
        <f aca="false">PROPER(TRIM(Raw_Data!G1144))</f>
        <v>484 Main St</v>
      </c>
      <c r="H1144" s="2" t="str">
        <f aca="false">PROPER(TRIM(Raw_Data!H1144))</f>
        <v>Debit Card</v>
      </c>
      <c r="I1144" s="2" t="str">
        <f aca="false">PROPER(TRIM(Raw_Data!I1144))</f>
        <v>Returned</v>
      </c>
      <c r="J1144" s="2" t="str">
        <f aca="false">TRIM(UPPER(Raw_Data!J1144))</f>
        <v>TRK83678708</v>
      </c>
      <c r="K1144" s="2" t="n">
        <f aca="false">Raw_Data!K1144</f>
        <v>8</v>
      </c>
      <c r="L1144" s="2" t="str">
        <f aca="false">IF(TRIM(Raw_Data!L1144)="","No Coupon",TRIM(UPPER(Raw_Data!L1144)))</f>
        <v>No Coupon</v>
      </c>
      <c r="M1144" s="2" t="str">
        <f aca="false">PROPER(TRIM(Raw_Data!M1144))</f>
        <v>Email</v>
      </c>
      <c r="N1144" s="4" t="n">
        <f aca="false">ROUND(E1144*F1144,2)</f>
        <v>2780.4</v>
      </c>
      <c r="O1144" s="2" t="str">
        <f aca="false">IF(COUNTIF($A$2:$A$1201,A1144)&gt;1,"DUPLICATE","Unique")</f>
        <v>Unique</v>
      </c>
      <c r="P1144" s="2" t="str">
        <f aca="false">IF(L1144="","MISSING","OK")</f>
        <v>OK</v>
      </c>
      <c r="Q1144" s="2" t="str">
        <f aca="false">IF(ISNUMBER(B1144),"OK","BAD DATE")</f>
        <v>OK</v>
      </c>
      <c r="R1144" s="2" t="str">
        <f aca="false">IF(ROUND(F1144,2)=F1144,"OK","FIX")</f>
        <v>OK</v>
      </c>
    </row>
    <row r="1145" customFormat="false" ht="15" hidden="false" customHeight="false" outlineLevel="0" collapsed="false">
      <c r="A1145" s="2" t="str">
        <f aca="false">TRIM(UPPER(Raw_Data!A1145))</f>
        <v>ORD201143</v>
      </c>
      <c r="B1145" s="3" t="n">
        <f aca="false">IF(ISNUMBER(Raw_Data!B1145),Raw_Data!B1145,DATEVALUE(Raw_Data!B1145))</f>
        <v>45019</v>
      </c>
      <c r="C1145" s="2" t="str">
        <f aca="false">TRIM(UPPER(Raw_Data!C1145))</f>
        <v>C41132</v>
      </c>
      <c r="D1145" s="2" t="str">
        <f aca="false">PROPER(TRIM(Raw_Data!D1145))</f>
        <v>Chair</v>
      </c>
      <c r="E1145" s="2" t="n">
        <f aca="false">Raw_Data!E1145</f>
        <v>1</v>
      </c>
      <c r="F1145" s="4" t="n">
        <f aca="false">ROUND(Raw_Data!F1145,2)</f>
        <v>381.61</v>
      </c>
      <c r="G1145" s="2" t="str">
        <f aca="false">PROPER(TRIM(Raw_Data!G1145))</f>
        <v>114 Main St</v>
      </c>
      <c r="H1145" s="2" t="str">
        <f aca="false">PROPER(TRIM(Raw_Data!H1145))</f>
        <v>Debit Card</v>
      </c>
      <c r="I1145" s="2" t="str">
        <f aca="false">PROPER(TRIM(Raw_Data!I1145))</f>
        <v>Pending</v>
      </c>
      <c r="J1145" s="2" t="str">
        <f aca="false">TRIM(UPPER(Raw_Data!J1145))</f>
        <v>TRK51040137</v>
      </c>
      <c r="K1145" s="2" t="n">
        <f aca="false">Raw_Data!K1145</f>
        <v>5</v>
      </c>
      <c r="L1145" s="2" t="str">
        <f aca="false">IF(TRIM(Raw_Data!L1145)="","No Coupon",TRIM(UPPER(Raw_Data!L1145)))</f>
        <v>No Coupon</v>
      </c>
      <c r="M1145" s="2" t="str">
        <f aca="false">PROPER(TRIM(Raw_Data!M1145))</f>
        <v>Email</v>
      </c>
      <c r="N1145" s="4" t="n">
        <f aca="false">ROUND(E1145*F1145,2)</f>
        <v>381.61</v>
      </c>
      <c r="O1145" s="2" t="str">
        <f aca="false">IF(COUNTIF($A$2:$A$1201,A1145)&gt;1,"DUPLICATE","Unique")</f>
        <v>Unique</v>
      </c>
      <c r="P1145" s="2" t="str">
        <f aca="false">IF(L1145="","MISSING","OK")</f>
        <v>OK</v>
      </c>
      <c r="Q1145" s="2" t="str">
        <f aca="false">IF(ISNUMBER(B1145),"OK","BAD DATE")</f>
        <v>OK</v>
      </c>
      <c r="R1145" s="2" t="str">
        <f aca="false">IF(ROUND(F1145,2)=F1145,"OK","FIX")</f>
        <v>OK</v>
      </c>
    </row>
    <row r="1146" customFormat="false" ht="15" hidden="false" customHeight="false" outlineLevel="0" collapsed="false">
      <c r="A1146" s="2" t="str">
        <f aca="false">TRIM(UPPER(Raw_Data!A1146))</f>
        <v>ORD201144</v>
      </c>
      <c r="B1146" s="3" t="n">
        <f aca="false">IF(ISNUMBER(Raw_Data!B1146),Raw_Data!B1146,DATEVALUE(Raw_Data!B1146))</f>
        <v>44973</v>
      </c>
      <c r="C1146" s="2" t="str">
        <f aca="false">TRIM(UPPER(Raw_Data!C1146))</f>
        <v>C88463</v>
      </c>
      <c r="D1146" s="2" t="str">
        <f aca="false">PROPER(TRIM(Raw_Data!D1146))</f>
        <v>Desk</v>
      </c>
      <c r="E1146" s="2" t="n">
        <f aca="false">Raw_Data!E1146</f>
        <v>5</v>
      </c>
      <c r="F1146" s="4" t="n">
        <f aca="false">ROUND(Raw_Data!F1146,2)</f>
        <v>507.94</v>
      </c>
      <c r="G1146" s="2" t="str">
        <f aca="false">PROPER(TRIM(Raw_Data!G1146))</f>
        <v>292 Main St</v>
      </c>
      <c r="H1146" s="2" t="str">
        <f aca="false">PROPER(TRIM(Raw_Data!H1146))</f>
        <v>Online</v>
      </c>
      <c r="I1146" s="2" t="str">
        <f aca="false">PROPER(TRIM(Raw_Data!I1146))</f>
        <v>Cancelled</v>
      </c>
      <c r="J1146" s="2" t="str">
        <f aca="false">TRIM(UPPER(Raw_Data!J1146))</f>
        <v>TRK88749996</v>
      </c>
      <c r="K1146" s="2" t="n">
        <f aca="false">Raw_Data!K1146</f>
        <v>9</v>
      </c>
      <c r="L1146" s="2" t="str">
        <f aca="false">IF(TRIM(Raw_Data!L1146)="","No Coupon",TRIM(UPPER(Raw_Data!L1146)))</f>
        <v>No Coupon</v>
      </c>
      <c r="M1146" s="2" t="str">
        <f aca="false">PROPER(TRIM(Raw_Data!M1146))</f>
        <v>Facebook</v>
      </c>
      <c r="N1146" s="4" t="n">
        <f aca="false">ROUND(E1146*F1146,2)</f>
        <v>2539.7</v>
      </c>
      <c r="O1146" s="2" t="str">
        <f aca="false">IF(COUNTIF($A$2:$A$1201,A1146)&gt;1,"DUPLICATE","Unique")</f>
        <v>Unique</v>
      </c>
      <c r="P1146" s="2" t="str">
        <f aca="false">IF(L1146="","MISSING","OK")</f>
        <v>OK</v>
      </c>
      <c r="Q1146" s="2" t="str">
        <f aca="false">IF(ISNUMBER(B1146),"OK","BAD DATE")</f>
        <v>OK</v>
      </c>
      <c r="R1146" s="2" t="str">
        <f aca="false">IF(ROUND(F1146,2)=F1146,"OK","FIX")</f>
        <v>OK</v>
      </c>
    </row>
    <row r="1147" customFormat="false" ht="15" hidden="false" customHeight="false" outlineLevel="0" collapsed="false">
      <c r="A1147" s="2" t="str">
        <f aca="false">TRIM(UPPER(Raw_Data!A1147))</f>
        <v>ORD201145</v>
      </c>
      <c r="B1147" s="3" t="n">
        <f aca="false">IF(ISNUMBER(Raw_Data!B1147),Raw_Data!B1147,DATEVALUE(Raw_Data!B1147))</f>
        <v>45789</v>
      </c>
      <c r="C1147" s="2" t="str">
        <f aca="false">TRIM(UPPER(Raw_Data!C1147))</f>
        <v>C28152</v>
      </c>
      <c r="D1147" s="2" t="str">
        <f aca="false">PROPER(TRIM(Raw_Data!D1147))</f>
        <v>Desk</v>
      </c>
      <c r="E1147" s="2" t="n">
        <f aca="false">Raw_Data!E1147</f>
        <v>3</v>
      </c>
      <c r="F1147" s="4" t="n">
        <f aca="false">ROUND(Raw_Data!F1147,2)</f>
        <v>571.53</v>
      </c>
      <c r="G1147" s="2" t="str">
        <f aca="false">PROPER(TRIM(Raw_Data!G1147))</f>
        <v>821 Main St</v>
      </c>
      <c r="H1147" s="2" t="str">
        <f aca="false">PROPER(TRIM(Raw_Data!H1147))</f>
        <v>Debit Card</v>
      </c>
      <c r="I1147" s="2" t="str">
        <f aca="false">PROPER(TRIM(Raw_Data!I1147))</f>
        <v>Delivered</v>
      </c>
      <c r="J1147" s="2" t="str">
        <f aca="false">TRIM(UPPER(Raw_Data!J1147))</f>
        <v>TRK59642814</v>
      </c>
      <c r="K1147" s="2" t="n">
        <f aca="false">Raw_Data!K1147</f>
        <v>6</v>
      </c>
      <c r="L1147" s="2" t="str">
        <f aca="false">IF(TRIM(Raw_Data!L1147)="","No Coupon",TRIM(UPPER(Raw_Data!L1147)))</f>
        <v>FREESHIP</v>
      </c>
      <c r="M1147" s="2" t="str">
        <f aca="false">PROPER(TRIM(Raw_Data!M1147))</f>
        <v>Facebook</v>
      </c>
      <c r="N1147" s="4" t="n">
        <f aca="false">ROUND(E1147*F1147,2)</f>
        <v>1714.59</v>
      </c>
      <c r="O1147" s="2" t="str">
        <f aca="false">IF(COUNTIF($A$2:$A$1201,A1147)&gt;1,"DUPLICATE","Unique")</f>
        <v>Unique</v>
      </c>
      <c r="P1147" s="2" t="str">
        <f aca="false">IF(L1147="","MISSING","OK")</f>
        <v>OK</v>
      </c>
      <c r="Q1147" s="2" t="str">
        <f aca="false">IF(ISNUMBER(B1147),"OK","BAD DATE")</f>
        <v>OK</v>
      </c>
      <c r="R1147" s="2" t="str">
        <f aca="false">IF(ROUND(F1147,2)=F1147,"OK","FIX")</f>
        <v>OK</v>
      </c>
    </row>
    <row r="1148" customFormat="false" ht="15" hidden="false" customHeight="false" outlineLevel="0" collapsed="false">
      <c r="A1148" s="2" t="str">
        <f aca="false">TRIM(UPPER(Raw_Data!A1148))</f>
        <v>ORD201146</v>
      </c>
      <c r="B1148" s="3" t="n">
        <f aca="false">IF(ISNUMBER(Raw_Data!B1148),Raw_Data!B1148,DATEVALUE(Raw_Data!B1148))</f>
        <v>45568</v>
      </c>
      <c r="C1148" s="2" t="str">
        <f aca="false">TRIM(UPPER(Raw_Data!C1148))</f>
        <v>C36383</v>
      </c>
      <c r="D1148" s="2" t="str">
        <f aca="false">PROPER(TRIM(Raw_Data!D1148))</f>
        <v>Monitor</v>
      </c>
      <c r="E1148" s="2" t="n">
        <f aca="false">Raw_Data!E1148</f>
        <v>5</v>
      </c>
      <c r="F1148" s="4" t="n">
        <f aca="false">ROUND(Raw_Data!F1148,2)</f>
        <v>421.44</v>
      </c>
      <c r="G1148" s="2" t="str">
        <f aca="false">PROPER(TRIM(Raw_Data!G1148))</f>
        <v>286 Main St</v>
      </c>
      <c r="H1148" s="2" t="str">
        <f aca="false">PROPER(TRIM(Raw_Data!H1148))</f>
        <v>Cash</v>
      </c>
      <c r="I1148" s="2" t="str">
        <f aca="false">PROPER(TRIM(Raw_Data!I1148))</f>
        <v>Pending</v>
      </c>
      <c r="J1148" s="2" t="str">
        <f aca="false">TRIM(UPPER(Raw_Data!J1148))</f>
        <v>TRK93336357</v>
      </c>
      <c r="K1148" s="2" t="n">
        <f aca="false">Raw_Data!K1148</f>
        <v>5</v>
      </c>
      <c r="L1148" s="2" t="str">
        <f aca="false">IF(TRIM(Raw_Data!L1148)="","No Coupon",TRIM(UPPER(Raw_Data!L1148)))</f>
        <v>SAVE10</v>
      </c>
      <c r="M1148" s="2" t="str">
        <f aca="false">PROPER(TRIM(Raw_Data!M1148))</f>
        <v>Instagram</v>
      </c>
      <c r="N1148" s="4" t="n">
        <f aca="false">ROUND(E1148*F1148,2)</f>
        <v>2107.2</v>
      </c>
      <c r="O1148" s="2" t="str">
        <f aca="false">IF(COUNTIF($A$2:$A$1201,A1148)&gt;1,"DUPLICATE","Unique")</f>
        <v>Unique</v>
      </c>
      <c r="P1148" s="2" t="str">
        <f aca="false">IF(L1148="","MISSING","OK")</f>
        <v>OK</v>
      </c>
      <c r="Q1148" s="2" t="str">
        <f aca="false">IF(ISNUMBER(B1148),"OK","BAD DATE")</f>
        <v>OK</v>
      </c>
      <c r="R1148" s="2" t="str">
        <f aca="false">IF(ROUND(F1148,2)=F1148,"OK","FIX")</f>
        <v>OK</v>
      </c>
    </row>
    <row r="1149" customFormat="false" ht="15" hidden="false" customHeight="false" outlineLevel="0" collapsed="false">
      <c r="A1149" s="2" t="str">
        <f aca="false">TRIM(UPPER(Raw_Data!A1149))</f>
        <v>ORD201147</v>
      </c>
      <c r="B1149" s="3" t="n">
        <f aca="false">IF(ISNUMBER(Raw_Data!B1149),Raw_Data!B1149,DATEVALUE(Raw_Data!B1149))</f>
        <v>45659</v>
      </c>
      <c r="C1149" s="2" t="str">
        <f aca="false">TRIM(UPPER(Raw_Data!C1149))</f>
        <v>C19759</v>
      </c>
      <c r="D1149" s="2" t="str">
        <f aca="false">PROPER(TRIM(Raw_Data!D1149))</f>
        <v>Chair</v>
      </c>
      <c r="E1149" s="2" t="n">
        <f aca="false">Raw_Data!E1149</f>
        <v>2</v>
      </c>
      <c r="F1149" s="4" t="n">
        <f aca="false">ROUND(Raw_Data!F1149,2)</f>
        <v>588.3</v>
      </c>
      <c r="G1149" s="2" t="str">
        <f aca="false">PROPER(TRIM(Raw_Data!G1149))</f>
        <v>234 Main St</v>
      </c>
      <c r="H1149" s="2" t="str">
        <f aca="false">PROPER(TRIM(Raw_Data!H1149))</f>
        <v>Online</v>
      </c>
      <c r="I1149" s="2" t="str">
        <f aca="false">PROPER(TRIM(Raw_Data!I1149))</f>
        <v>Pending</v>
      </c>
      <c r="J1149" s="2" t="str">
        <f aca="false">TRIM(UPPER(Raw_Data!J1149))</f>
        <v>TRK22515454</v>
      </c>
      <c r="K1149" s="2" t="n">
        <f aca="false">Raw_Data!K1149</f>
        <v>2</v>
      </c>
      <c r="L1149" s="2" t="str">
        <f aca="false">IF(TRIM(Raw_Data!L1149)="","No Coupon",TRIM(UPPER(Raw_Data!L1149)))</f>
        <v>FREESHIP</v>
      </c>
      <c r="M1149" s="2" t="str">
        <f aca="false">PROPER(TRIM(Raw_Data!M1149))</f>
        <v>Email</v>
      </c>
      <c r="N1149" s="4" t="n">
        <f aca="false">ROUND(E1149*F1149,2)</f>
        <v>1176.6</v>
      </c>
      <c r="O1149" s="2" t="str">
        <f aca="false">IF(COUNTIF($A$2:$A$1201,A1149)&gt;1,"DUPLICATE","Unique")</f>
        <v>Unique</v>
      </c>
      <c r="P1149" s="2" t="str">
        <f aca="false">IF(L1149="","MISSING","OK")</f>
        <v>OK</v>
      </c>
      <c r="Q1149" s="2" t="str">
        <f aca="false">IF(ISNUMBER(B1149),"OK","BAD DATE")</f>
        <v>OK</v>
      </c>
      <c r="R1149" s="2" t="str">
        <f aca="false">IF(ROUND(F1149,2)=F1149,"OK","FIX")</f>
        <v>OK</v>
      </c>
    </row>
    <row r="1150" customFormat="false" ht="15" hidden="false" customHeight="false" outlineLevel="0" collapsed="false">
      <c r="A1150" s="2" t="str">
        <f aca="false">TRIM(UPPER(Raw_Data!A1150))</f>
        <v>ORD201148</v>
      </c>
      <c r="B1150" s="3" t="n">
        <f aca="false">IF(ISNUMBER(Raw_Data!B1150),Raw_Data!B1150,DATEVALUE(Raw_Data!B1150))</f>
        <v>45468</v>
      </c>
      <c r="C1150" s="2" t="str">
        <f aca="false">TRIM(UPPER(Raw_Data!C1150))</f>
        <v>C54886</v>
      </c>
      <c r="D1150" s="2" t="str">
        <f aca="false">PROPER(TRIM(Raw_Data!D1150))</f>
        <v>Phone</v>
      </c>
      <c r="E1150" s="2" t="n">
        <f aca="false">Raw_Data!E1150</f>
        <v>1</v>
      </c>
      <c r="F1150" s="4" t="n">
        <f aca="false">ROUND(Raw_Data!F1150,2)</f>
        <v>355.15</v>
      </c>
      <c r="G1150" s="2" t="str">
        <f aca="false">PROPER(TRIM(Raw_Data!G1150))</f>
        <v>442 Main St</v>
      </c>
      <c r="H1150" s="2" t="str">
        <f aca="false">PROPER(TRIM(Raw_Data!H1150))</f>
        <v>Cash</v>
      </c>
      <c r="I1150" s="2" t="str">
        <f aca="false">PROPER(TRIM(Raw_Data!I1150))</f>
        <v>Returned</v>
      </c>
      <c r="J1150" s="2" t="str">
        <f aca="false">TRIM(UPPER(Raw_Data!J1150))</f>
        <v>TRK66241930</v>
      </c>
      <c r="K1150" s="2" t="n">
        <f aca="false">Raw_Data!K1150</f>
        <v>2</v>
      </c>
      <c r="L1150" s="2" t="str">
        <f aca="false">IF(TRIM(Raw_Data!L1150)="","No Coupon",TRIM(UPPER(Raw_Data!L1150)))</f>
        <v>SAVE10</v>
      </c>
      <c r="M1150" s="2" t="str">
        <f aca="false">PROPER(TRIM(Raw_Data!M1150))</f>
        <v>Email</v>
      </c>
      <c r="N1150" s="4" t="n">
        <f aca="false">ROUND(E1150*F1150,2)</f>
        <v>355.15</v>
      </c>
      <c r="O1150" s="2" t="str">
        <f aca="false">IF(COUNTIF($A$2:$A$1201,A1150)&gt;1,"DUPLICATE","Unique")</f>
        <v>Unique</v>
      </c>
      <c r="P1150" s="2" t="str">
        <f aca="false">IF(L1150="","MISSING","OK")</f>
        <v>OK</v>
      </c>
      <c r="Q1150" s="2" t="str">
        <f aca="false">IF(ISNUMBER(B1150),"OK","BAD DATE")</f>
        <v>OK</v>
      </c>
      <c r="R1150" s="2" t="str">
        <f aca="false">IF(ROUND(F1150,2)=F1150,"OK","FIX")</f>
        <v>OK</v>
      </c>
    </row>
    <row r="1151" customFormat="false" ht="15" hidden="false" customHeight="false" outlineLevel="0" collapsed="false">
      <c r="A1151" s="2" t="str">
        <f aca="false">TRIM(UPPER(Raw_Data!A1151))</f>
        <v>ORD201149</v>
      </c>
      <c r="B1151" s="3" t="n">
        <f aca="false">IF(ISNUMBER(Raw_Data!B1151),Raw_Data!B1151,DATEVALUE(Raw_Data!B1151))</f>
        <v>45498</v>
      </c>
      <c r="C1151" s="2" t="str">
        <f aca="false">TRIM(UPPER(Raw_Data!C1151))</f>
        <v>C27305</v>
      </c>
      <c r="D1151" s="2" t="str">
        <f aca="false">PROPER(TRIM(Raw_Data!D1151))</f>
        <v>Chair</v>
      </c>
      <c r="E1151" s="2" t="n">
        <f aca="false">Raw_Data!E1151</f>
        <v>2</v>
      </c>
      <c r="F1151" s="4" t="n">
        <f aca="false">ROUND(Raw_Data!F1151,2)</f>
        <v>695.29</v>
      </c>
      <c r="G1151" s="2" t="str">
        <f aca="false">PROPER(TRIM(Raw_Data!G1151))</f>
        <v>957 Main St</v>
      </c>
      <c r="H1151" s="2" t="str">
        <f aca="false">PROPER(TRIM(Raw_Data!H1151))</f>
        <v>Credit Card</v>
      </c>
      <c r="I1151" s="2" t="str">
        <f aca="false">PROPER(TRIM(Raw_Data!I1151))</f>
        <v>Pending</v>
      </c>
      <c r="J1151" s="2" t="str">
        <f aca="false">TRIM(UPPER(Raw_Data!J1151))</f>
        <v>TRK28789916</v>
      </c>
      <c r="K1151" s="2" t="n">
        <f aca="false">Raw_Data!K1151</f>
        <v>6</v>
      </c>
      <c r="L1151" s="2" t="str">
        <f aca="false">IF(TRIM(Raw_Data!L1151)="","No Coupon",TRIM(UPPER(Raw_Data!L1151)))</f>
        <v>FREESHIP</v>
      </c>
      <c r="M1151" s="2" t="str">
        <f aca="false">PROPER(TRIM(Raw_Data!M1151))</f>
        <v>Instagram</v>
      </c>
      <c r="N1151" s="4" t="n">
        <f aca="false">ROUND(E1151*F1151,2)</f>
        <v>1390.58</v>
      </c>
      <c r="O1151" s="2" t="str">
        <f aca="false">IF(COUNTIF($A$2:$A$1201,A1151)&gt;1,"DUPLICATE","Unique")</f>
        <v>Unique</v>
      </c>
      <c r="P1151" s="2" t="str">
        <f aca="false">IF(L1151="","MISSING","OK")</f>
        <v>OK</v>
      </c>
      <c r="Q1151" s="2" t="str">
        <f aca="false">IF(ISNUMBER(B1151),"OK","BAD DATE")</f>
        <v>OK</v>
      </c>
      <c r="R1151" s="2" t="str">
        <f aca="false">IF(ROUND(F1151,2)=F1151,"OK","FIX")</f>
        <v>OK</v>
      </c>
    </row>
    <row r="1152" customFormat="false" ht="15" hidden="false" customHeight="false" outlineLevel="0" collapsed="false">
      <c r="A1152" s="2" t="str">
        <f aca="false">TRIM(UPPER(Raw_Data!A1152))</f>
        <v>ORD201150</v>
      </c>
      <c r="B1152" s="3" t="n">
        <f aca="false">IF(ISNUMBER(Raw_Data!B1152),Raw_Data!B1152,DATEVALUE(Raw_Data!B1152))</f>
        <v>44977</v>
      </c>
      <c r="C1152" s="2" t="str">
        <f aca="false">TRIM(UPPER(Raw_Data!C1152))</f>
        <v>C17921</v>
      </c>
      <c r="D1152" s="2" t="str">
        <f aca="false">PROPER(TRIM(Raw_Data!D1152))</f>
        <v>Desk</v>
      </c>
      <c r="E1152" s="2" t="n">
        <f aca="false">Raw_Data!E1152</f>
        <v>4</v>
      </c>
      <c r="F1152" s="4" t="n">
        <f aca="false">ROUND(Raw_Data!F1152,2)</f>
        <v>302.65</v>
      </c>
      <c r="G1152" s="2" t="str">
        <f aca="false">PROPER(TRIM(Raw_Data!G1152))</f>
        <v>119 Main St</v>
      </c>
      <c r="H1152" s="2" t="str">
        <f aca="false">PROPER(TRIM(Raw_Data!H1152))</f>
        <v>Credit Card</v>
      </c>
      <c r="I1152" s="2" t="str">
        <f aca="false">PROPER(TRIM(Raw_Data!I1152))</f>
        <v>Cancelled</v>
      </c>
      <c r="J1152" s="2" t="str">
        <f aca="false">TRIM(UPPER(Raw_Data!J1152))</f>
        <v>TRK79291524</v>
      </c>
      <c r="K1152" s="2" t="n">
        <f aca="false">Raw_Data!K1152</f>
        <v>8</v>
      </c>
      <c r="L1152" s="2" t="str">
        <f aca="false">IF(TRIM(Raw_Data!L1152)="","No Coupon",TRIM(UPPER(Raw_Data!L1152)))</f>
        <v>SAVE10</v>
      </c>
      <c r="M1152" s="2" t="str">
        <f aca="false">PROPER(TRIM(Raw_Data!M1152))</f>
        <v>Referral</v>
      </c>
      <c r="N1152" s="4" t="n">
        <f aca="false">ROUND(E1152*F1152,2)</f>
        <v>1210.6</v>
      </c>
      <c r="O1152" s="2" t="str">
        <f aca="false">IF(COUNTIF($A$2:$A$1201,A1152)&gt;1,"DUPLICATE","Unique")</f>
        <v>Unique</v>
      </c>
      <c r="P1152" s="2" t="str">
        <f aca="false">IF(L1152="","MISSING","OK")</f>
        <v>OK</v>
      </c>
      <c r="Q1152" s="2" t="str">
        <f aca="false">IF(ISNUMBER(B1152),"OK","BAD DATE")</f>
        <v>OK</v>
      </c>
      <c r="R1152" s="2" t="str">
        <f aca="false">IF(ROUND(F1152,2)=F1152,"OK","FIX")</f>
        <v>OK</v>
      </c>
    </row>
    <row r="1153" customFormat="false" ht="15" hidden="false" customHeight="false" outlineLevel="0" collapsed="false">
      <c r="A1153" s="2" t="str">
        <f aca="false">TRIM(UPPER(Raw_Data!A1153))</f>
        <v>ORD201151</v>
      </c>
      <c r="B1153" s="3" t="n">
        <f aca="false">IF(ISNUMBER(Raw_Data!B1153),Raw_Data!B1153,DATEVALUE(Raw_Data!B1153))</f>
        <v>44955</v>
      </c>
      <c r="C1153" s="2" t="str">
        <f aca="false">TRIM(UPPER(Raw_Data!C1153))</f>
        <v>C94381</v>
      </c>
      <c r="D1153" s="2" t="str">
        <f aca="false">PROPER(TRIM(Raw_Data!D1153))</f>
        <v>Chair</v>
      </c>
      <c r="E1153" s="2" t="n">
        <f aca="false">Raw_Data!E1153</f>
        <v>2</v>
      </c>
      <c r="F1153" s="4" t="n">
        <f aca="false">ROUND(Raw_Data!F1153,2)</f>
        <v>608.04</v>
      </c>
      <c r="G1153" s="2" t="str">
        <f aca="false">PROPER(TRIM(Raw_Data!G1153))</f>
        <v>962 Main St</v>
      </c>
      <c r="H1153" s="2" t="str">
        <f aca="false">PROPER(TRIM(Raw_Data!H1153))</f>
        <v>Cash</v>
      </c>
      <c r="I1153" s="2" t="str">
        <f aca="false">PROPER(TRIM(Raw_Data!I1153))</f>
        <v>Cancelled</v>
      </c>
      <c r="J1153" s="2" t="str">
        <f aca="false">TRIM(UPPER(Raw_Data!J1153))</f>
        <v>TRK69804304</v>
      </c>
      <c r="K1153" s="2" t="n">
        <f aca="false">Raw_Data!K1153</f>
        <v>4</v>
      </c>
      <c r="L1153" s="2" t="str">
        <f aca="false">IF(TRIM(Raw_Data!L1153)="","No Coupon",TRIM(UPPER(Raw_Data!L1153)))</f>
        <v>No Coupon</v>
      </c>
      <c r="M1153" s="2" t="str">
        <f aca="false">PROPER(TRIM(Raw_Data!M1153))</f>
        <v>Google</v>
      </c>
      <c r="N1153" s="4" t="n">
        <f aca="false">ROUND(E1153*F1153,2)</f>
        <v>1216.08</v>
      </c>
      <c r="O1153" s="2" t="str">
        <f aca="false">IF(COUNTIF($A$2:$A$1201,A1153)&gt;1,"DUPLICATE","Unique")</f>
        <v>Unique</v>
      </c>
      <c r="P1153" s="2" t="str">
        <f aca="false">IF(L1153="","MISSING","OK")</f>
        <v>OK</v>
      </c>
      <c r="Q1153" s="2" t="str">
        <f aca="false">IF(ISNUMBER(B1153),"OK","BAD DATE")</f>
        <v>OK</v>
      </c>
      <c r="R1153" s="2" t="str">
        <f aca="false">IF(ROUND(F1153,2)=F1153,"OK","FIX")</f>
        <v>OK</v>
      </c>
    </row>
    <row r="1154" customFormat="false" ht="15" hidden="false" customHeight="false" outlineLevel="0" collapsed="false">
      <c r="A1154" s="2" t="str">
        <f aca="false">TRIM(UPPER(Raw_Data!A1154))</f>
        <v>ORD201152</v>
      </c>
      <c r="B1154" s="3" t="n">
        <f aca="false">IF(ISNUMBER(Raw_Data!B1154),Raw_Data!B1154,DATEVALUE(Raw_Data!B1154))</f>
        <v>45239</v>
      </c>
      <c r="C1154" s="2" t="str">
        <f aca="false">TRIM(UPPER(Raw_Data!C1154))</f>
        <v>C25162</v>
      </c>
      <c r="D1154" s="2" t="str">
        <f aca="false">PROPER(TRIM(Raw_Data!D1154))</f>
        <v>Tablet</v>
      </c>
      <c r="E1154" s="2" t="n">
        <f aca="false">Raw_Data!E1154</f>
        <v>2</v>
      </c>
      <c r="F1154" s="4" t="n">
        <f aca="false">ROUND(Raw_Data!F1154,2)</f>
        <v>344.18</v>
      </c>
      <c r="G1154" s="2" t="str">
        <f aca="false">PROPER(TRIM(Raw_Data!G1154))</f>
        <v>533 Main St</v>
      </c>
      <c r="H1154" s="2" t="str">
        <f aca="false">PROPER(TRIM(Raw_Data!H1154))</f>
        <v>Credit Card</v>
      </c>
      <c r="I1154" s="2" t="str">
        <f aca="false">PROPER(TRIM(Raw_Data!I1154))</f>
        <v>Shipped</v>
      </c>
      <c r="J1154" s="2" t="str">
        <f aca="false">TRIM(UPPER(Raw_Data!J1154))</f>
        <v>TRK42183078</v>
      </c>
      <c r="K1154" s="2" t="n">
        <f aca="false">Raw_Data!K1154</f>
        <v>7</v>
      </c>
      <c r="L1154" s="2" t="str">
        <f aca="false">IF(TRIM(Raw_Data!L1154)="","No Coupon",TRIM(UPPER(Raw_Data!L1154)))</f>
        <v>No Coupon</v>
      </c>
      <c r="M1154" s="2" t="str">
        <f aca="false">PROPER(TRIM(Raw_Data!M1154))</f>
        <v>Referral</v>
      </c>
      <c r="N1154" s="4" t="n">
        <f aca="false">ROUND(E1154*F1154,2)</f>
        <v>688.36</v>
      </c>
      <c r="O1154" s="2" t="str">
        <f aca="false">IF(COUNTIF($A$2:$A$1201,A1154)&gt;1,"DUPLICATE","Unique")</f>
        <v>Unique</v>
      </c>
      <c r="P1154" s="2" t="str">
        <f aca="false">IF(L1154="","MISSING","OK")</f>
        <v>OK</v>
      </c>
      <c r="Q1154" s="2" t="str">
        <f aca="false">IF(ISNUMBER(B1154),"OK","BAD DATE")</f>
        <v>OK</v>
      </c>
      <c r="R1154" s="2" t="str">
        <f aca="false">IF(ROUND(F1154,2)=F1154,"OK","FIX")</f>
        <v>OK</v>
      </c>
    </row>
    <row r="1155" customFormat="false" ht="15" hidden="false" customHeight="false" outlineLevel="0" collapsed="false">
      <c r="A1155" s="2" t="str">
        <f aca="false">TRIM(UPPER(Raw_Data!A1155))</f>
        <v>ORD201153</v>
      </c>
      <c r="B1155" s="3" t="n">
        <f aca="false">IF(ISNUMBER(Raw_Data!B1155),Raw_Data!B1155,DATEVALUE(Raw_Data!B1155))</f>
        <v>45642</v>
      </c>
      <c r="C1155" s="2" t="str">
        <f aca="false">TRIM(UPPER(Raw_Data!C1155))</f>
        <v>C98317</v>
      </c>
      <c r="D1155" s="2" t="str">
        <f aca="false">PROPER(TRIM(Raw_Data!D1155))</f>
        <v>Monitor</v>
      </c>
      <c r="E1155" s="2" t="n">
        <f aca="false">Raw_Data!E1155</f>
        <v>4</v>
      </c>
      <c r="F1155" s="4" t="n">
        <f aca="false">ROUND(Raw_Data!F1155,2)</f>
        <v>696.71</v>
      </c>
      <c r="G1155" s="2" t="str">
        <f aca="false">PROPER(TRIM(Raw_Data!G1155))</f>
        <v>276 Main St</v>
      </c>
      <c r="H1155" s="2" t="str">
        <f aca="false">PROPER(TRIM(Raw_Data!H1155))</f>
        <v>Debit Card</v>
      </c>
      <c r="I1155" s="2" t="str">
        <f aca="false">PROPER(TRIM(Raw_Data!I1155))</f>
        <v>Shipped</v>
      </c>
      <c r="J1155" s="2" t="str">
        <f aca="false">TRIM(UPPER(Raw_Data!J1155))</f>
        <v>TRK37172138</v>
      </c>
      <c r="K1155" s="2" t="n">
        <f aca="false">Raw_Data!K1155</f>
        <v>4</v>
      </c>
      <c r="L1155" s="2" t="str">
        <f aca="false">IF(TRIM(Raw_Data!L1155)="","No Coupon",TRIM(UPPER(Raw_Data!L1155)))</f>
        <v>No Coupon</v>
      </c>
      <c r="M1155" s="2" t="str">
        <f aca="false">PROPER(TRIM(Raw_Data!M1155))</f>
        <v>Instagram</v>
      </c>
      <c r="N1155" s="4" t="n">
        <f aca="false">ROUND(E1155*F1155,2)</f>
        <v>2786.84</v>
      </c>
      <c r="O1155" s="2" t="str">
        <f aca="false">IF(COUNTIF($A$2:$A$1201,A1155)&gt;1,"DUPLICATE","Unique")</f>
        <v>Unique</v>
      </c>
      <c r="P1155" s="2" t="str">
        <f aca="false">IF(L1155="","MISSING","OK")</f>
        <v>OK</v>
      </c>
      <c r="Q1155" s="2" t="str">
        <f aca="false">IF(ISNUMBER(B1155),"OK","BAD DATE")</f>
        <v>OK</v>
      </c>
      <c r="R1155" s="2" t="str">
        <f aca="false">IF(ROUND(F1155,2)=F1155,"OK","FIX")</f>
        <v>OK</v>
      </c>
    </row>
    <row r="1156" customFormat="false" ht="15" hidden="false" customHeight="false" outlineLevel="0" collapsed="false">
      <c r="A1156" s="2" t="str">
        <f aca="false">TRIM(UPPER(Raw_Data!A1156))</f>
        <v>ORD201154</v>
      </c>
      <c r="B1156" s="3" t="n">
        <f aca="false">IF(ISNUMBER(Raw_Data!B1156),Raw_Data!B1156,DATEVALUE(Raw_Data!B1156))</f>
        <v>45819</v>
      </c>
      <c r="C1156" s="2" t="str">
        <f aca="false">TRIM(UPPER(Raw_Data!C1156))</f>
        <v>C53631</v>
      </c>
      <c r="D1156" s="2" t="str">
        <f aca="false">PROPER(TRIM(Raw_Data!D1156))</f>
        <v>Monitor</v>
      </c>
      <c r="E1156" s="2" t="n">
        <f aca="false">Raw_Data!E1156</f>
        <v>3</v>
      </c>
      <c r="F1156" s="4" t="n">
        <f aca="false">ROUND(Raw_Data!F1156,2)</f>
        <v>198.63</v>
      </c>
      <c r="G1156" s="2" t="str">
        <f aca="false">PROPER(TRIM(Raw_Data!G1156))</f>
        <v>593 Main St</v>
      </c>
      <c r="H1156" s="2" t="str">
        <f aca="false">PROPER(TRIM(Raw_Data!H1156))</f>
        <v>Cash</v>
      </c>
      <c r="I1156" s="2" t="str">
        <f aca="false">PROPER(TRIM(Raw_Data!I1156))</f>
        <v>Pending</v>
      </c>
      <c r="J1156" s="2" t="str">
        <f aca="false">TRIM(UPPER(Raw_Data!J1156))</f>
        <v>TRK67589167</v>
      </c>
      <c r="K1156" s="2" t="n">
        <f aca="false">Raw_Data!K1156</f>
        <v>8</v>
      </c>
      <c r="L1156" s="2" t="str">
        <f aca="false">IF(TRIM(Raw_Data!L1156)="","No Coupon",TRIM(UPPER(Raw_Data!L1156)))</f>
        <v>SAVE10</v>
      </c>
      <c r="M1156" s="2" t="str">
        <f aca="false">PROPER(TRIM(Raw_Data!M1156))</f>
        <v>Instagram</v>
      </c>
      <c r="N1156" s="4" t="n">
        <f aca="false">ROUND(E1156*F1156,2)</f>
        <v>595.89</v>
      </c>
      <c r="O1156" s="2" t="str">
        <f aca="false">IF(COUNTIF($A$2:$A$1201,A1156)&gt;1,"DUPLICATE","Unique")</f>
        <v>Unique</v>
      </c>
      <c r="P1156" s="2" t="str">
        <f aca="false">IF(L1156="","MISSING","OK")</f>
        <v>OK</v>
      </c>
      <c r="Q1156" s="2" t="str">
        <f aca="false">IF(ISNUMBER(B1156),"OK","BAD DATE")</f>
        <v>OK</v>
      </c>
      <c r="R1156" s="2" t="str">
        <f aca="false">IF(ROUND(F1156,2)=F1156,"OK","FIX")</f>
        <v>OK</v>
      </c>
    </row>
    <row r="1157" customFormat="false" ht="15" hidden="false" customHeight="false" outlineLevel="0" collapsed="false">
      <c r="A1157" s="2" t="str">
        <f aca="false">TRIM(UPPER(Raw_Data!A1157))</f>
        <v>ORD201155</v>
      </c>
      <c r="B1157" s="3" t="n">
        <f aca="false">IF(ISNUMBER(Raw_Data!B1157),Raw_Data!B1157,DATEVALUE(Raw_Data!B1157))</f>
        <v>45151</v>
      </c>
      <c r="C1157" s="2" t="str">
        <f aca="false">TRIM(UPPER(Raw_Data!C1157))</f>
        <v>C41478</v>
      </c>
      <c r="D1157" s="2" t="str">
        <f aca="false">PROPER(TRIM(Raw_Data!D1157))</f>
        <v>Printer</v>
      </c>
      <c r="E1157" s="2" t="n">
        <f aca="false">Raw_Data!E1157</f>
        <v>4</v>
      </c>
      <c r="F1157" s="4" t="n">
        <f aca="false">ROUND(Raw_Data!F1157,2)</f>
        <v>534.57</v>
      </c>
      <c r="G1157" s="2" t="str">
        <f aca="false">PROPER(TRIM(Raw_Data!G1157))</f>
        <v>667 Main St</v>
      </c>
      <c r="H1157" s="2" t="str">
        <f aca="false">PROPER(TRIM(Raw_Data!H1157))</f>
        <v>Credit Card</v>
      </c>
      <c r="I1157" s="2" t="str">
        <f aca="false">PROPER(TRIM(Raw_Data!I1157))</f>
        <v>Delivered</v>
      </c>
      <c r="J1157" s="2" t="str">
        <f aca="false">TRIM(UPPER(Raw_Data!J1157))</f>
        <v>TRK62068126</v>
      </c>
      <c r="K1157" s="2" t="n">
        <f aca="false">Raw_Data!K1157</f>
        <v>6</v>
      </c>
      <c r="L1157" s="2" t="str">
        <f aca="false">IF(TRIM(Raw_Data!L1157)="","No Coupon",TRIM(UPPER(Raw_Data!L1157)))</f>
        <v>FREESHIP</v>
      </c>
      <c r="M1157" s="2" t="str">
        <f aca="false">PROPER(TRIM(Raw_Data!M1157))</f>
        <v>Facebook</v>
      </c>
      <c r="N1157" s="4" t="n">
        <f aca="false">ROUND(E1157*F1157,2)</f>
        <v>2138.28</v>
      </c>
      <c r="O1157" s="2" t="str">
        <f aca="false">IF(COUNTIF($A$2:$A$1201,A1157)&gt;1,"DUPLICATE","Unique")</f>
        <v>Unique</v>
      </c>
      <c r="P1157" s="2" t="str">
        <f aca="false">IF(L1157="","MISSING","OK")</f>
        <v>OK</v>
      </c>
      <c r="Q1157" s="2" t="str">
        <f aca="false">IF(ISNUMBER(B1157),"OK","BAD DATE")</f>
        <v>OK</v>
      </c>
      <c r="R1157" s="2" t="str">
        <f aca="false">IF(ROUND(F1157,2)=F1157,"OK","FIX")</f>
        <v>OK</v>
      </c>
    </row>
    <row r="1158" customFormat="false" ht="15" hidden="false" customHeight="false" outlineLevel="0" collapsed="false">
      <c r="A1158" s="2" t="str">
        <f aca="false">TRIM(UPPER(Raw_Data!A1158))</f>
        <v>ORD201156</v>
      </c>
      <c r="B1158" s="3" t="n">
        <f aca="false">IF(ISNUMBER(Raw_Data!B1158),Raw_Data!B1158,DATEVALUE(Raw_Data!B1158))</f>
        <v>45126</v>
      </c>
      <c r="C1158" s="2" t="str">
        <f aca="false">TRIM(UPPER(Raw_Data!C1158))</f>
        <v>C20512</v>
      </c>
      <c r="D1158" s="2" t="str">
        <f aca="false">PROPER(TRIM(Raw_Data!D1158))</f>
        <v>Laptop</v>
      </c>
      <c r="E1158" s="2" t="n">
        <f aca="false">Raw_Data!E1158</f>
        <v>4</v>
      </c>
      <c r="F1158" s="4" t="n">
        <f aca="false">ROUND(Raw_Data!F1158,2)</f>
        <v>690.78</v>
      </c>
      <c r="G1158" s="2" t="str">
        <f aca="false">PROPER(TRIM(Raw_Data!G1158))</f>
        <v>980 Main St</v>
      </c>
      <c r="H1158" s="2" t="str">
        <f aca="false">PROPER(TRIM(Raw_Data!H1158))</f>
        <v>Credit Card</v>
      </c>
      <c r="I1158" s="2" t="str">
        <f aca="false">PROPER(TRIM(Raw_Data!I1158))</f>
        <v>Shipped</v>
      </c>
      <c r="J1158" s="2" t="str">
        <f aca="false">TRIM(UPPER(Raw_Data!J1158))</f>
        <v>TRK98234737</v>
      </c>
      <c r="K1158" s="2" t="n">
        <f aca="false">Raw_Data!K1158</f>
        <v>9</v>
      </c>
      <c r="L1158" s="2" t="str">
        <f aca="false">IF(TRIM(Raw_Data!L1158)="","No Coupon",TRIM(UPPER(Raw_Data!L1158)))</f>
        <v>No Coupon</v>
      </c>
      <c r="M1158" s="2" t="str">
        <f aca="false">PROPER(TRIM(Raw_Data!M1158))</f>
        <v>Referral</v>
      </c>
      <c r="N1158" s="4" t="n">
        <f aca="false">ROUND(E1158*F1158,2)</f>
        <v>2763.12</v>
      </c>
      <c r="O1158" s="2" t="str">
        <f aca="false">IF(COUNTIF($A$2:$A$1201,A1158)&gt;1,"DUPLICATE","Unique")</f>
        <v>Unique</v>
      </c>
      <c r="P1158" s="2" t="str">
        <f aca="false">IF(L1158="","MISSING","OK")</f>
        <v>OK</v>
      </c>
      <c r="Q1158" s="2" t="str">
        <f aca="false">IF(ISNUMBER(B1158),"OK","BAD DATE")</f>
        <v>OK</v>
      </c>
      <c r="R1158" s="2" t="str">
        <f aca="false">IF(ROUND(F1158,2)=F1158,"OK","FIX")</f>
        <v>OK</v>
      </c>
    </row>
    <row r="1159" customFormat="false" ht="15" hidden="false" customHeight="false" outlineLevel="0" collapsed="false">
      <c r="A1159" s="2" t="str">
        <f aca="false">TRIM(UPPER(Raw_Data!A1159))</f>
        <v>ORD201157</v>
      </c>
      <c r="B1159" s="3" t="n">
        <f aca="false">IF(ISNUMBER(Raw_Data!B1159),Raw_Data!B1159,DATEVALUE(Raw_Data!B1159))</f>
        <v>45441</v>
      </c>
      <c r="C1159" s="2" t="str">
        <f aca="false">TRIM(UPPER(Raw_Data!C1159))</f>
        <v>C25841</v>
      </c>
      <c r="D1159" s="2" t="str">
        <f aca="false">PROPER(TRIM(Raw_Data!D1159))</f>
        <v>Monitor</v>
      </c>
      <c r="E1159" s="2" t="n">
        <f aca="false">Raw_Data!E1159</f>
        <v>3</v>
      </c>
      <c r="F1159" s="4" t="n">
        <f aca="false">ROUND(Raw_Data!F1159,2)</f>
        <v>301.55</v>
      </c>
      <c r="G1159" s="2" t="str">
        <f aca="false">PROPER(TRIM(Raw_Data!G1159))</f>
        <v>242 Main St</v>
      </c>
      <c r="H1159" s="2" t="str">
        <f aca="false">PROPER(TRIM(Raw_Data!H1159))</f>
        <v>Debit Card</v>
      </c>
      <c r="I1159" s="2" t="str">
        <f aca="false">PROPER(TRIM(Raw_Data!I1159))</f>
        <v>Delivered</v>
      </c>
      <c r="J1159" s="2" t="str">
        <f aca="false">TRIM(UPPER(Raw_Data!J1159))</f>
        <v>TRK21451375</v>
      </c>
      <c r="K1159" s="2" t="n">
        <f aca="false">Raw_Data!K1159</f>
        <v>5</v>
      </c>
      <c r="L1159" s="2" t="str">
        <f aca="false">IF(TRIM(Raw_Data!L1159)="","No Coupon",TRIM(UPPER(Raw_Data!L1159)))</f>
        <v>FREESHIP</v>
      </c>
      <c r="M1159" s="2" t="str">
        <f aca="false">PROPER(TRIM(Raw_Data!M1159))</f>
        <v>Google</v>
      </c>
      <c r="N1159" s="4" t="n">
        <f aca="false">ROUND(E1159*F1159,2)</f>
        <v>904.65</v>
      </c>
      <c r="O1159" s="2" t="str">
        <f aca="false">IF(COUNTIF($A$2:$A$1201,A1159)&gt;1,"DUPLICATE","Unique")</f>
        <v>Unique</v>
      </c>
      <c r="P1159" s="2" t="str">
        <f aca="false">IF(L1159="","MISSING","OK")</f>
        <v>OK</v>
      </c>
      <c r="Q1159" s="2" t="str">
        <f aca="false">IF(ISNUMBER(B1159),"OK","BAD DATE")</f>
        <v>OK</v>
      </c>
      <c r="R1159" s="2" t="str">
        <f aca="false">IF(ROUND(F1159,2)=F1159,"OK","FIX")</f>
        <v>OK</v>
      </c>
    </row>
    <row r="1160" customFormat="false" ht="15" hidden="false" customHeight="false" outlineLevel="0" collapsed="false">
      <c r="A1160" s="2" t="str">
        <f aca="false">TRIM(UPPER(Raw_Data!A1160))</f>
        <v>ORD201158</v>
      </c>
      <c r="B1160" s="3" t="n">
        <f aca="false">IF(ISNUMBER(Raw_Data!B1160),Raw_Data!B1160,DATEVALUE(Raw_Data!B1160))</f>
        <v>45036</v>
      </c>
      <c r="C1160" s="2" t="str">
        <f aca="false">TRIM(UPPER(Raw_Data!C1160))</f>
        <v>C82781</v>
      </c>
      <c r="D1160" s="2" t="str">
        <f aca="false">PROPER(TRIM(Raw_Data!D1160))</f>
        <v>Monitor</v>
      </c>
      <c r="E1160" s="2" t="n">
        <f aca="false">Raw_Data!E1160</f>
        <v>4</v>
      </c>
      <c r="F1160" s="4" t="n">
        <f aca="false">ROUND(Raw_Data!F1160,2)</f>
        <v>27.42</v>
      </c>
      <c r="G1160" s="2" t="str">
        <f aca="false">PROPER(TRIM(Raw_Data!G1160))</f>
        <v>661 Main St</v>
      </c>
      <c r="H1160" s="2" t="str">
        <f aca="false">PROPER(TRIM(Raw_Data!H1160))</f>
        <v>Debit Card</v>
      </c>
      <c r="I1160" s="2" t="str">
        <f aca="false">PROPER(TRIM(Raw_Data!I1160))</f>
        <v>Pending</v>
      </c>
      <c r="J1160" s="2" t="str">
        <f aca="false">TRIM(UPPER(Raw_Data!J1160))</f>
        <v>TRK20605418</v>
      </c>
      <c r="K1160" s="2" t="n">
        <f aca="false">Raw_Data!K1160</f>
        <v>4</v>
      </c>
      <c r="L1160" s="2" t="str">
        <f aca="false">IF(TRIM(Raw_Data!L1160)="","No Coupon",TRIM(UPPER(Raw_Data!L1160)))</f>
        <v>SAVE10</v>
      </c>
      <c r="M1160" s="2" t="str">
        <f aca="false">PROPER(TRIM(Raw_Data!M1160))</f>
        <v>Referral</v>
      </c>
      <c r="N1160" s="4" t="n">
        <f aca="false">ROUND(E1160*F1160,2)</f>
        <v>109.68</v>
      </c>
      <c r="O1160" s="2" t="str">
        <f aca="false">IF(COUNTIF($A$2:$A$1201,A1160)&gt;1,"DUPLICATE","Unique")</f>
        <v>Unique</v>
      </c>
      <c r="P1160" s="2" t="str">
        <f aca="false">IF(L1160="","MISSING","OK")</f>
        <v>OK</v>
      </c>
      <c r="Q1160" s="2" t="str">
        <f aca="false">IF(ISNUMBER(B1160),"OK","BAD DATE")</f>
        <v>OK</v>
      </c>
      <c r="R1160" s="2" t="str">
        <f aca="false">IF(ROUND(F1160,2)=F1160,"OK","FIX")</f>
        <v>OK</v>
      </c>
    </row>
    <row r="1161" customFormat="false" ht="15" hidden="false" customHeight="false" outlineLevel="0" collapsed="false">
      <c r="A1161" s="2" t="str">
        <f aca="false">TRIM(UPPER(Raw_Data!A1161))</f>
        <v>ORD201159</v>
      </c>
      <c r="B1161" s="3" t="n">
        <f aca="false">IF(ISNUMBER(Raw_Data!B1161),Raw_Data!B1161,DATEVALUE(Raw_Data!B1161))</f>
        <v>45345</v>
      </c>
      <c r="C1161" s="2" t="str">
        <f aca="false">TRIM(UPPER(Raw_Data!C1161))</f>
        <v>C66112</v>
      </c>
      <c r="D1161" s="2" t="str">
        <f aca="false">PROPER(TRIM(Raw_Data!D1161))</f>
        <v>Desk</v>
      </c>
      <c r="E1161" s="2" t="n">
        <f aca="false">Raw_Data!E1161</f>
        <v>4</v>
      </c>
      <c r="F1161" s="4" t="n">
        <f aca="false">ROUND(Raw_Data!F1161,2)</f>
        <v>466.7</v>
      </c>
      <c r="G1161" s="2" t="str">
        <f aca="false">PROPER(TRIM(Raw_Data!G1161))</f>
        <v>874 Main St</v>
      </c>
      <c r="H1161" s="2" t="str">
        <f aca="false">PROPER(TRIM(Raw_Data!H1161))</f>
        <v>Debit Card</v>
      </c>
      <c r="I1161" s="2" t="str">
        <f aca="false">PROPER(TRIM(Raw_Data!I1161))</f>
        <v>Returned</v>
      </c>
      <c r="J1161" s="2" t="str">
        <f aca="false">TRIM(UPPER(Raw_Data!J1161))</f>
        <v>TRK60955607</v>
      </c>
      <c r="K1161" s="2" t="n">
        <f aca="false">Raw_Data!K1161</f>
        <v>8</v>
      </c>
      <c r="L1161" s="2" t="str">
        <f aca="false">IF(TRIM(Raw_Data!L1161)="","No Coupon",TRIM(UPPER(Raw_Data!L1161)))</f>
        <v>No Coupon</v>
      </c>
      <c r="M1161" s="2" t="str">
        <f aca="false">PROPER(TRIM(Raw_Data!M1161))</f>
        <v>Instagram</v>
      </c>
      <c r="N1161" s="4" t="n">
        <f aca="false">ROUND(E1161*F1161,2)</f>
        <v>1866.8</v>
      </c>
      <c r="O1161" s="2" t="str">
        <f aca="false">IF(COUNTIF($A$2:$A$1201,A1161)&gt;1,"DUPLICATE","Unique")</f>
        <v>Unique</v>
      </c>
      <c r="P1161" s="2" t="str">
        <f aca="false">IF(L1161="","MISSING","OK")</f>
        <v>OK</v>
      </c>
      <c r="Q1161" s="2" t="str">
        <f aca="false">IF(ISNUMBER(B1161),"OK","BAD DATE")</f>
        <v>OK</v>
      </c>
      <c r="R1161" s="2" t="str">
        <f aca="false">IF(ROUND(F1161,2)=F1161,"OK","FIX")</f>
        <v>OK</v>
      </c>
    </row>
    <row r="1162" customFormat="false" ht="15" hidden="false" customHeight="false" outlineLevel="0" collapsed="false">
      <c r="A1162" s="2" t="str">
        <f aca="false">TRIM(UPPER(Raw_Data!A1162))</f>
        <v>ORD201160</v>
      </c>
      <c r="B1162" s="3" t="n">
        <f aca="false">IF(ISNUMBER(Raw_Data!B1162),Raw_Data!B1162,DATEVALUE(Raw_Data!B1162))</f>
        <v>45539</v>
      </c>
      <c r="C1162" s="2" t="str">
        <f aca="false">TRIM(UPPER(Raw_Data!C1162))</f>
        <v>C40466</v>
      </c>
      <c r="D1162" s="2" t="str">
        <f aca="false">PROPER(TRIM(Raw_Data!D1162))</f>
        <v>Desk</v>
      </c>
      <c r="E1162" s="2" t="n">
        <f aca="false">Raw_Data!E1162</f>
        <v>1</v>
      </c>
      <c r="F1162" s="4" t="n">
        <f aca="false">ROUND(Raw_Data!F1162,2)</f>
        <v>541.64</v>
      </c>
      <c r="G1162" s="2" t="str">
        <f aca="false">PROPER(TRIM(Raw_Data!G1162))</f>
        <v>449 Main St</v>
      </c>
      <c r="H1162" s="2" t="str">
        <f aca="false">PROPER(TRIM(Raw_Data!H1162))</f>
        <v>Debit Card</v>
      </c>
      <c r="I1162" s="2" t="str">
        <f aca="false">PROPER(TRIM(Raw_Data!I1162))</f>
        <v>Shipped</v>
      </c>
      <c r="J1162" s="2" t="str">
        <f aca="false">TRIM(UPPER(Raw_Data!J1162))</f>
        <v>TRK70255168</v>
      </c>
      <c r="K1162" s="2" t="n">
        <f aca="false">Raw_Data!K1162</f>
        <v>5</v>
      </c>
      <c r="L1162" s="2" t="str">
        <f aca="false">IF(TRIM(Raw_Data!L1162)="","No Coupon",TRIM(UPPER(Raw_Data!L1162)))</f>
        <v>SAVE10</v>
      </c>
      <c r="M1162" s="2" t="str">
        <f aca="false">PROPER(TRIM(Raw_Data!M1162))</f>
        <v>Email</v>
      </c>
      <c r="N1162" s="4" t="n">
        <f aca="false">ROUND(E1162*F1162,2)</f>
        <v>541.64</v>
      </c>
      <c r="O1162" s="2" t="str">
        <f aca="false">IF(COUNTIF($A$2:$A$1201,A1162)&gt;1,"DUPLICATE","Unique")</f>
        <v>Unique</v>
      </c>
      <c r="P1162" s="2" t="str">
        <f aca="false">IF(L1162="","MISSING","OK")</f>
        <v>OK</v>
      </c>
      <c r="Q1162" s="2" t="str">
        <f aca="false">IF(ISNUMBER(B1162),"OK","BAD DATE")</f>
        <v>OK</v>
      </c>
      <c r="R1162" s="2" t="str">
        <f aca="false">IF(ROUND(F1162,2)=F1162,"OK","FIX")</f>
        <v>OK</v>
      </c>
    </row>
    <row r="1163" customFormat="false" ht="15" hidden="false" customHeight="false" outlineLevel="0" collapsed="false">
      <c r="A1163" s="2" t="str">
        <f aca="false">TRIM(UPPER(Raw_Data!A1163))</f>
        <v>ORD201161</v>
      </c>
      <c r="B1163" s="3" t="n">
        <f aca="false">IF(ISNUMBER(Raw_Data!B1163),Raw_Data!B1163,DATEVALUE(Raw_Data!B1163))</f>
        <v>45215</v>
      </c>
      <c r="C1163" s="2" t="str">
        <f aca="false">TRIM(UPPER(Raw_Data!C1163))</f>
        <v>C32570</v>
      </c>
      <c r="D1163" s="2" t="str">
        <f aca="false">PROPER(TRIM(Raw_Data!D1163))</f>
        <v>Phone</v>
      </c>
      <c r="E1163" s="2" t="n">
        <f aca="false">Raw_Data!E1163</f>
        <v>1</v>
      </c>
      <c r="F1163" s="4" t="n">
        <f aca="false">ROUND(Raw_Data!F1163,2)</f>
        <v>11.39</v>
      </c>
      <c r="G1163" s="2" t="str">
        <f aca="false">PROPER(TRIM(Raw_Data!G1163))</f>
        <v>826 Main St</v>
      </c>
      <c r="H1163" s="2" t="str">
        <f aca="false">PROPER(TRIM(Raw_Data!H1163))</f>
        <v>Cash</v>
      </c>
      <c r="I1163" s="2" t="str">
        <f aca="false">PROPER(TRIM(Raw_Data!I1163))</f>
        <v>Cancelled</v>
      </c>
      <c r="J1163" s="2" t="str">
        <f aca="false">TRIM(UPPER(Raw_Data!J1163))</f>
        <v>TRK35969968</v>
      </c>
      <c r="K1163" s="2" t="n">
        <f aca="false">Raw_Data!K1163</f>
        <v>6</v>
      </c>
      <c r="L1163" s="2" t="str">
        <f aca="false">IF(TRIM(Raw_Data!L1163)="","No Coupon",TRIM(UPPER(Raw_Data!L1163)))</f>
        <v>WINTER15</v>
      </c>
      <c r="M1163" s="2" t="str">
        <f aca="false">PROPER(TRIM(Raw_Data!M1163))</f>
        <v>Email</v>
      </c>
      <c r="N1163" s="4" t="n">
        <f aca="false">ROUND(E1163*F1163,2)</f>
        <v>11.39</v>
      </c>
      <c r="O1163" s="2" t="str">
        <f aca="false">IF(COUNTIF($A$2:$A$1201,A1163)&gt;1,"DUPLICATE","Unique")</f>
        <v>Unique</v>
      </c>
      <c r="P1163" s="2" t="str">
        <f aca="false">IF(L1163="","MISSING","OK")</f>
        <v>OK</v>
      </c>
      <c r="Q1163" s="2" t="str">
        <f aca="false">IF(ISNUMBER(B1163),"OK","BAD DATE")</f>
        <v>OK</v>
      </c>
      <c r="R1163" s="2" t="str">
        <f aca="false">IF(ROUND(F1163,2)=F1163,"OK","FIX")</f>
        <v>OK</v>
      </c>
    </row>
    <row r="1164" customFormat="false" ht="15" hidden="false" customHeight="false" outlineLevel="0" collapsed="false">
      <c r="A1164" s="2" t="str">
        <f aca="false">TRIM(UPPER(Raw_Data!A1164))</f>
        <v>ORD201162</v>
      </c>
      <c r="B1164" s="3" t="n">
        <f aca="false">IF(ISNUMBER(Raw_Data!B1164),Raw_Data!B1164,DATEVALUE(Raw_Data!B1164))</f>
        <v>45727</v>
      </c>
      <c r="C1164" s="2" t="str">
        <f aca="false">TRIM(UPPER(Raw_Data!C1164))</f>
        <v>C29405</v>
      </c>
      <c r="D1164" s="2" t="str">
        <f aca="false">PROPER(TRIM(Raw_Data!D1164))</f>
        <v>Phone</v>
      </c>
      <c r="E1164" s="2" t="n">
        <f aca="false">Raw_Data!E1164</f>
        <v>2</v>
      </c>
      <c r="F1164" s="4" t="n">
        <f aca="false">ROUND(Raw_Data!F1164,2)</f>
        <v>224.37</v>
      </c>
      <c r="G1164" s="2" t="str">
        <f aca="false">PROPER(TRIM(Raw_Data!G1164))</f>
        <v>251 Main St</v>
      </c>
      <c r="H1164" s="2" t="str">
        <f aca="false">PROPER(TRIM(Raw_Data!H1164))</f>
        <v>Debit Card</v>
      </c>
      <c r="I1164" s="2" t="str">
        <f aca="false">PROPER(TRIM(Raw_Data!I1164))</f>
        <v>Delivered</v>
      </c>
      <c r="J1164" s="2" t="str">
        <f aca="false">TRIM(UPPER(Raw_Data!J1164))</f>
        <v>TRK33125798</v>
      </c>
      <c r="K1164" s="2" t="n">
        <f aca="false">Raw_Data!K1164</f>
        <v>3</v>
      </c>
      <c r="L1164" s="2" t="str">
        <f aca="false">IF(TRIM(Raw_Data!L1164)="","No Coupon",TRIM(UPPER(Raw_Data!L1164)))</f>
        <v>WINTER15</v>
      </c>
      <c r="M1164" s="2" t="str">
        <f aca="false">PROPER(TRIM(Raw_Data!M1164))</f>
        <v>Referral</v>
      </c>
      <c r="N1164" s="4" t="n">
        <f aca="false">ROUND(E1164*F1164,2)</f>
        <v>448.74</v>
      </c>
      <c r="O1164" s="2" t="str">
        <f aca="false">IF(COUNTIF($A$2:$A$1201,A1164)&gt;1,"DUPLICATE","Unique")</f>
        <v>Unique</v>
      </c>
      <c r="P1164" s="2" t="str">
        <f aca="false">IF(L1164="","MISSING","OK")</f>
        <v>OK</v>
      </c>
      <c r="Q1164" s="2" t="str">
        <f aca="false">IF(ISNUMBER(B1164),"OK","BAD DATE")</f>
        <v>OK</v>
      </c>
      <c r="R1164" s="2" t="str">
        <f aca="false">IF(ROUND(F1164,2)=F1164,"OK","FIX")</f>
        <v>OK</v>
      </c>
    </row>
    <row r="1165" customFormat="false" ht="15" hidden="false" customHeight="false" outlineLevel="0" collapsed="false">
      <c r="A1165" s="2" t="str">
        <f aca="false">TRIM(UPPER(Raw_Data!A1165))</f>
        <v>ORD201163</v>
      </c>
      <c r="B1165" s="3" t="n">
        <f aca="false">IF(ISNUMBER(Raw_Data!B1165),Raw_Data!B1165,DATEVALUE(Raw_Data!B1165))</f>
        <v>45454</v>
      </c>
      <c r="C1165" s="2" t="str">
        <f aca="false">TRIM(UPPER(Raw_Data!C1165))</f>
        <v>C30643</v>
      </c>
      <c r="D1165" s="2" t="str">
        <f aca="false">PROPER(TRIM(Raw_Data!D1165))</f>
        <v>Laptop</v>
      </c>
      <c r="E1165" s="2" t="n">
        <f aca="false">Raw_Data!E1165</f>
        <v>3</v>
      </c>
      <c r="F1165" s="4" t="n">
        <f aca="false">ROUND(Raw_Data!F1165,2)</f>
        <v>306.29</v>
      </c>
      <c r="G1165" s="2" t="str">
        <f aca="false">PROPER(TRIM(Raw_Data!G1165))</f>
        <v>966 Main St</v>
      </c>
      <c r="H1165" s="2" t="str">
        <f aca="false">PROPER(TRIM(Raw_Data!H1165))</f>
        <v>Credit Card</v>
      </c>
      <c r="I1165" s="2" t="str">
        <f aca="false">PROPER(TRIM(Raw_Data!I1165))</f>
        <v>Returned</v>
      </c>
      <c r="J1165" s="2" t="str">
        <f aca="false">TRIM(UPPER(Raw_Data!J1165))</f>
        <v>TRK19477485</v>
      </c>
      <c r="K1165" s="2" t="n">
        <f aca="false">Raw_Data!K1165</f>
        <v>7</v>
      </c>
      <c r="L1165" s="2" t="str">
        <f aca="false">IF(TRIM(Raw_Data!L1165)="","No Coupon",TRIM(UPPER(Raw_Data!L1165)))</f>
        <v>WINTER15</v>
      </c>
      <c r="M1165" s="2" t="str">
        <f aca="false">PROPER(TRIM(Raw_Data!M1165))</f>
        <v>Instagram</v>
      </c>
      <c r="N1165" s="4" t="n">
        <f aca="false">ROUND(E1165*F1165,2)</f>
        <v>918.87</v>
      </c>
      <c r="O1165" s="2" t="str">
        <f aca="false">IF(COUNTIF($A$2:$A$1201,A1165)&gt;1,"DUPLICATE","Unique")</f>
        <v>Unique</v>
      </c>
      <c r="P1165" s="2" t="str">
        <f aca="false">IF(L1165="","MISSING","OK")</f>
        <v>OK</v>
      </c>
      <c r="Q1165" s="2" t="str">
        <f aca="false">IF(ISNUMBER(B1165),"OK","BAD DATE")</f>
        <v>OK</v>
      </c>
      <c r="R1165" s="2" t="str">
        <f aca="false">IF(ROUND(F1165,2)=F1165,"OK","FIX")</f>
        <v>OK</v>
      </c>
    </row>
    <row r="1166" customFormat="false" ht="15" hidden="false" customHeight="false" outlineLevel="0" collapsed="false">
      <c r="A1166" s="2" t="str">
        <f aca="false">TRIM(UPPER(Raw_Data!A1166))</f>
        <v>ORD201164</v>
      </c>
      <c r="B1166" s="3" t="n">
        <f aca="false">IF(ISNUMBER(Raw_Data!B1166),Raw_Data!B1166,DATEVALUE(Raw_Data!B1166))</f>
        <v>45299</v>
      </c>
      <c r="C1166" s="2" t="str">
        <f aca="false">TRIM(UPPER(Raw_Data!C1166))</f>
        <v>C65890</v>
      </c>
      <c r="D1166" s="2" t="str">
        <f aca="false">PROPER(TRIM(Raw_Data!D1166))</f>
        <v>Tablet</v>
      </c>
      <c r="E1166" s="2" t="n">
        <f aca="false">Raw_Data!E1166</f>
        <v>5</v>
      </c>
      <c r="F1166" s="4" t="n">
        <f aca="false">ROUND(Raw_Data!F1166,2)</f>
        <v>315.57</v>
      </c>
      <c r="G1166" s="2" t="str">
        <f aca="false">PROPER(TRIM(Raw_Data!G1166))</f>
        <v>340 Main St</v>
      </c>
      <c r="H1166" s="2" t="str">
        <f aca="false">PROPER(TRIM(Raw_Data!H1166))</f>
        <v>Debit Card</v>
      </c>
      <c r="I1166" s="2" t="str">
        <f aca="false">PROPER(TRIM(Raw_Data!I1166))</f>
        <v>Delivered</v>
      </c>
      <c r="J1166" s="2" t="str">
        <f aca="false">TRIM(UPPER(Raw_Data!J1166))</f>
        <v>TRK64530489</v>
      </c>
      <c r="K1166" s="2" t="n">
        <f aca="false">Raw_Data!K1166</f>
        <v>6</v>
      </c>
      <c r="L1166" s="2" t="str">
        <f aca="false">IF(TRIM(Raw_Data!L1166)="","No Coupon",TRIM(UPPER(Raw_Data!L1166)))</f>
        <v>WINTER15</v>
      </c>
      <c r="M1166" s="2" t="str">
        <f aca="false">PROPER(TRIM(Raw_Data!M1166))</f>
        <v>Email</v>
      </c>
      <c r="N1166" s="4" t="n">
        <f aca="false">ROUND(E1166*F1166,2)</f>
        <v>1577.85</v>
      </c>
      <c r="O1166" s="2" t="str">
        <f aca="false">IF(COUNTIF($A$2:$A$1201,A1166)&gt;1,"DUPLICATE","Unique")</f>
        <v>Unique</v>
      </c>
      <c r="P1166" s="2" t="str">
        <f aca="false">IF(L1166="","MISSING","OK")</f>
        <v>OK</v>
      </c>
      <c r="Q1166" s="2" t="str">
        <f aca="false">IF(ISNUMBER(B1166),"OK","BAD DATE")</f>
        <v>OK</v>
      </c>
      <c r="R1166" s="2" t="str">
        <f aca="false">IF(ROUND(F1166,2)=F1166,"OK","FIX")</f>
        <v>OK</v>
      </c>
    </row>
    <row r="1167" customFormat="false" ht="15" hidden="false" customHeight="false" outlineLevel="0" collapsed="false">
      <c r="A1167" s="2" t="str">
        <f aca="false">TRIM(UPPER(Raw_Data!A1167))</f>
        <v>ORD201165</v>
      </c>
      <c r="B1167" s="3" t="n">
        <f aca="false">IF(ISNUMBER(Raw_Data!B1167),Raw_Data!B1167,DATEVALUE(Raw_Data!B1167))</f>
        <v>45121</v>
      </c>
      <c r="C1167" s="2" t="str">
        <f aca="false">TRIM(UPPER(Raw_Data!C1167))</f>
        <v>C36992</v>
      </c>
      <c r="D1167" s="2" t="str">
        <f aca="false">PROPER(TRIM(Raw_Data!D1167))</f>
        <v>Chair</v>
      </c>
      <c r="E1167" s="2" t="n">
        <f aca="false">Raw_Data!E1167</f>
        <v>3</v>
      </c>
      <c r="F1167" s="4" t="n">
        <f aca="false">ROUND(Raw_Data!F1167,2)</f>
        <v>223.79</v>
      </c>
      <c r="G1167" s="2" t="str">
        <f aca="false">PROPER(TRIM(Raw_Data!G1167))</f>
        <v>617 Main St</v>
      </c>
      <c r="H1167" s="2" t="str">
        <f aca="false">PROPER(TRIM(Raw_Data!H1167))</f>
        <v>Debit Card</v>
      </c>
      <c r="I1167" s="2" t="str">
        <f aca="false">PROPER(TRIM(Raw_Data!I1167))</f>
        <v>Pending</v>
      </c>
      <c r="J1167" s="2" t="str">
        <f aca="false">TRIM(UPPER(Raw_Data!J1167))</f>
        <v>TRK63460217</v>
      </c>
      <c r="K1167" s="2" t="n">
        <f aca="false">Raw_Data!K1167</f>
        <v>3</v>
      </c>
      <c r="L1167" s="2" t="str">
        <f aca="false">IF(TRIM(Raw_Data!L1167)="","No Coupon",TRIM(UPPER(Raw_Data!L1167)))</f>
        <v>No Coupon</v>
      </c>
      <c r="M1167" s="2" t="str">
        <f aca="false">PROPER(TRIM(Raw_Data!M1167))</f>
        <v>Google</v>
      </c>
      <c r="N1167" s="4" t="n">
        <f aca="false">ROUND(E1167*F1167,2)</f>
        <v>671.37</v>
      </c>
      <c r="O1167" s="2" t="str">
        <f aca="false">IF(COUNTIF($A$2:$A$1201,A1167)&gt;1,"DUPLICATE","Unique")</f>
        <v>Unique</v>
      </c>
      <c r="P1167" s="2" t="str">
        <f aca="false">IF(L1167="","MISSING","OK")</f>
        <v>OK</v>
      </c>
      <c r="Q1167" s="2" t="str">
        <f aca="false">IF(ISNUMBER(B1167),"OK","BAD DATE")</f>
        <v>OK</v>
      </c>
      <c r="R1167" s="2" t="str">
        <f aca="false">IF(ROUND(F1167,2)=F1167,"OK","FIX")</f>
        <v>OK</v>
      </c>
    </row>
    <row r="1168" customFormat="false" ht="15" hidden="false" customHeight="false" outlineLevel="0" collapsed="false">
      <c r="A1168" s="2" t="str">
        <f aca="false">TRIM(UPPER(Raw_Data!A1168))</f>
        <v>ORD201166</v>
      </c>
      <c r="B1168" s="3" t="n">
        <f aca="false">IF(ISNUMBER(Raw_Data!B1168),Raw_Data!B1168,DATEVALUE(Raw_Data!B1168))</f>
        <v>45138</v>
      </c>
      <c r="C1168" s="2" t="str">
        <f aca="false">TRIM(UPPER(Raw_Data!C1168))</f>
        <v>C95568</v>
      </c>
      <c r="D1168" s="2" t="str">
        <f aca="false">PROPER(TRIM(Raw_Data!D1168))</f>
        <v>Chair</v>
      </c>
      <c r="E1168" s="2" t="n">
        <f aca="false">Raw_Data!E1168</f>
        <v>3</v>
      </c>
      <c r="F1168" s="4" t="n">
        <f aca="false">ROUND(Raw_Data!F1168,2)</f>
        <v>324.47</v>
      </c>
      <c r="G1168" s="2" t="str">
        <f aca="false">PROPER(TRIM(Raw_Data!G1168))</f>
        <v>971 Main St</v>
      </c>
      <c r="H1168" s="2" t="str">
        <f aca="false">PROPER(TRIM(Raw_Data!H1168))</f>
        <v>Cash</v>
      </c>
      <c r="I1168" s="2" t="str">
        <f aca="false">PROPER(TRIM(Raw_Data!I1168))</f>
        <v>Delivered</v>
      </c>
      <c r="J1168" s="2" t="str">
        <f aca="false">TRIM(UPPER(Raw_Data!J1168))</f>
        <v>TRK37075292</v>
      </c>
      <c r="K1168" s="2" t="n">
        <f aca="false">Raw_Data!K1168</f>
        <v>4</v>
      </c>
      <c r="L1168" s="2" t="str">
        <f aca="false">IF(TRIM(Raw_Data!L1168)="","No Coupon",TRIM(UPPER(Raw_Data!L1168)))</f>
        <v>WINTER15</v>
      </c>
      <c r="M1168" s="2" t="str">
        <f aca="false">PROPER(TRIM(Raw_Data!M1168))</f>
        <v>Email</v>
      </c>
      <c r="N1168" s="4" t="n">
        <f aca="false">ROUND(E1168*F1168,2)</f>
        <v>973.41</v>
      </c>
      <c r="O1168" s="2" t="str">
        <f aca="false">IF(COUNTIF($A$2:$A$1201,A1168)&gt;1,"DUPLICATE","Unique")</f>
        <v>Unique</v>
      </c>
      <c r="P1168" s="2" t="str">
        <f aca="false">IF(L1168="","MISSING","OK")</f>
        <v>OK</v>
      </c>
      <c r="Q1168" s="2" t="str">
        <f aca="false">IF(ISNUMBER(B1168),"OK","BAD DATE")</f>
        <v>OK</v>
      </c>
      <c r="R1168" s="2" t="str">
        <f aca="false">IF(ROUND(F1168,2)=F1168,"OK","FIX")</f>
        <v>OK</v>
      </c>
    </row>
    <row r="1169" customFormat="false" ht="15" hidden="false" customHeight="false" outlineLevel="0" collapsed="false">
      <c r="A1169" s="2" t="str">
        <f aca="false">TRIM(UPPER(Raw_Data!A1169))</f>
        <v>ORD201167</v>
      </c>
      <c r="B1169" s="3" t="n">
        <f aca="false">IF(ISNUMBER(Raw_Data!B1169),Raw_Data!B1169,DATEVALUE(Raw_Data!B1169))</f>
        <v>45216</v>
      </c>
      <c r="C1169" s="2" t="str">
        <f aca="false">TRIM(UPPER(Raw_Data!C1169))</f>
        <v>C17966</v>
      </c>
      <c r="D1169" s="2" t="str">
        <f aca="false">PROPER(TRIM(Raw_Data!D1169))</f>
        <v>Printer</v>
      </c>
      <c r="E1169" s="2" t="n">
        <f aca="false">Raw_Data!E1169</f>
        <v>2</v>
      </c>
      <c r="F1169" s="4" t="n">
        <f aca="false">ROUND(Raw_Data!F1169,2)</f>
        <v>92.87</v>
      </c>
      <c r="G1169" s="2" t="str">
        <f aca="false">PROPER(TRIM(Raw_Data!G1169))</f>
        <v>360 Main St</v>
      </c>
      <c r="H1169" s="2" t="str">
        <f aca="false">PROPER(TRIM(Raw_Data!H1169))</f>
        <v>Credit Card</v>
      </c>
      <c r="I1169" s="2" t="str">
        <f aca="false">PROPER(TRIM(Raw_Data!I1169))</f>
        <v>Pending</v>
      </c>
      <c r="J1169" s="2" t="str">
        <f aca="false">TRIM(UPPER(Raw_Data!J1169))</f>
        <v>TRK31169396</v>
      </c>
      <c r="K1169" s="2" t="n">
        <f aca="false">Raw_Data!K1169</f>
        <v>5</v>
      </c>
      <c r="L1169" s="2" t="str">
        <f aca="false">IF(TRIM(Raw_Data!L1169)="","No Coupon",TRIM(UPPER(Raw_Data!L1169)))</f>
        <v>FREESHIP</v>
      </c>
      <c r="M1169" s="2" t="str">
        <f aca="false">PROPER(TRIM(Raw_Data!M1169))</f>
        <v>Facebook</v>
      </c>
      <c r="N1169" s="4" t="n">
        <f aca="false">ROUND(E1169*F1169,2)</f>
        <v>185.74</v>
      </c>
      <c r="O1169" s="2" t="str">
        <f aca="false">IF(COUNTIF($A$2:$A$1201,A1169)&gt;1,"DUPLICATE","Unique")</f>
        <v>Unique</v>
      </c>
      <c r="P1169" s="2" t="str">
        <f aca="false">IF(L1169="","MISSING","OK")</f>
        <v>OK</v>
      </c>
      <c r="Q1169" s="2" t="str">
        <f aca="false">IF(ISNUMBER(B1169),"OK","BAD DATE")</f>
        <v>OK</v>
      </c>
      <c r="R1169" s="2" t="str">
        <f aca="false">IF(ROUND(F1169,2)=F1169,"OK","FIX")</f>
        <v>OK</v>
      </c>
    </row>
    <row r="1170" customFormat="false" ht="15" hidden="false" customHeight="false" outlineLevel="0" collapsed="false">
      <c r="A1170" s="2" t="str">
        <f aca="false">TRIM(UPPER(Raw_Data!A1170))</f>
        <v>ORD201168</v>
      </c>
      <c r="B1170" s="3" t="n">
        <f aca="false">IF(ISNUMBER(Raw_Data!B1170),Raw_Data!B1170,DATEVALUE(Raw_Data!B1170))</f>
        <v>45024</v>
      </c>
      <c r="C1170" s="2" t="str">
        <f aca="false">TRIM(UPPER(Raw_Data!C1170))</f>
        <v>C89559</v>
      </c>
      <c r="D1170" s="2" t="str">
        <f aca="false">PROPER(TRIM(Raw_Data!D1170))</f>
        <v>Laptop</v>
      </c>
      <c r="E1170" s="2" t="n">
        <f aca="false">Raw_Data!E1170</f>
        <v>2</v>
      </c>
      <c r="F1170" s="4" t="n">
        <f aca="false">ROUND(Raw_Data!F1170,2)</f>
        <v>331.42</v>
      </c>
      <c r="G1170" s="2" t="str">
        <f aca="false">PROPER(TRIM(Raw_Data!G1170))</f>
        <v>297 Main St</v>
      </c>
      <c r="H1170" s="2" t="str">
        <f aca="false">PROPER(TRIM(Raw_Data!H1170))</f>
        <v>Credit Card</v>
      </c>
      <c r="I1170" s="2" t="str">
        <f aca="false">PROPER(TRIM(Raw_Data!I1170))</f>
        <v>Delivered</v>
      </c>
      <c r="J1170" s="2" t="str">
        <f aca="false">TRIM(UPPER(Raw_Data!J1170))</f>
        <v>TRK82838108</v>
      </c>
      <c r="K1170" s="2" t="n">
        <f aca="false">Raw_Data!K1170</f>
        <v>6</v>
      </c>
      <c r="L1170" s="2" t="str">
        <f aca="false">IF(TRIM(Raw_Data!L1170)="","No Coupon",TRIM(UPPER(Raw_Data!L1170)))</f>
        <v>WINTER15</v>
      </c>
      <c r="M1170" s="2" t="str">
        <f aca="false">PROPER(TRIM(Raw_Data!M1170))</f>
        <v>Google</v>
      </c>
      <c r="N1170" s="4" t="n">
        <f aca="false">ROUND(E1170*F1170,2)</f>
        <v>662.84</v>
      </c>
      <c r="O1170" s="2" t="str">
        <f aca="false">IF(COUNTIF($A$2:$A$1201,A1170)&gt;1,"DUPLICATE","Unique")</f>
        <v>Unique</v>
      </c>
      <c r="P1170" s="2" t="str">
        <f aca="false">IF(L1170="","MISSING","OK")</f>
        <v>OK</v>
      </c>
      <c r="Q1170" s="2" t="str">
        <f aca="false">IF(ISNUMBER(B1170),"OK","BAD DATE")</f>
        <v>OK</v>
      </c>
      <c r="R1170" s="2" t="str">
        <f aca="false">IF(ROUND(F1170,2)=F1170,"OK","FIX")</f>
        <v>OK</v>
      </c>
    </row>
    <row r="1171" customFormat="false" ht="15" hidden="false" customHeight="false" outlineLevel="0" collapsed="false">
      <c r="A1171" s="2" t="str">
        <f aca="false">TRIM(UPPER(Raw_Data!A1171))</f>
        <v>ORD201169</v>
      </c>
      <c r="B1171" s="3" t="n">
        <f aca="false">IF(ISNUMBER(Raw_Data!B1171),Raw_Data!B1171,DATEVALUE(Raw_Data!B1171))</f>
        <v>45649</v>
      </c>
      <c r="C1171" s="2" t="str">
        <f aca="false">TRIM(UPPER(Raw_Data!C1171))</f>
        <v>C15849</v>
      </c>
      <c r="D1171" s="2" t="str">
        <f aca="false">PROPER(TRIM(Raw_Data!D1171))</f>
        <v>Chair</v>
      </c>
      <c r="E1171" s="2" t="n">
        <f aca="false">Raw_Data!E1171</f>
        <v>1</v>
      </c>
      <c r="F1171" s="4" t="n">
        <f aca="false">ROUND(Raw_Data!F1171,2)</f>
        <v>525.43</v>
      </c>
      <c r="G1171" s="2" t="str">
        <f aca="false">PROPER(TRIM(Raw_Data!G1171))</f>
        <v>643 Main St</v>
      </c>
      <c r="H1171" s="2" t="str">
        <f aca="false">PROPER(TRIM(Raw_Data!H1171))</f>
        <v>Cash</v>
      </c>
      <c r="I1171" s="2" t="str">
        <f aca="false">PROPER(TRIM(Raw_Data!I1171))</f>
        <v>Cancelled</v>
      </c>
      <c r="J1171" s="2" t="str">
        <f aca="false">TRIM(UPPER(Raw_Data!J1171))</f>
        <v>TRK26794546</v>
      </c>
      <c r="K1171" s="2" t="n">
        <f aca="false">Raw_Data!K1171</f>
        <v>2</v>
      </c>
      <c r="L1171" s="2" t="str">
        <f aca="false">IF(TRIM(Raw_Data!L1171)="","No Coupon",TRIM(UPPER(Raw_Data!L1171)))</f>
        <v>SAVE10</v>
      </c>
      <c r="M1171" s="2" t="str">
        <f aca="false">PROPER(TRIM(Raw_Data!M1171))</f>
        <v>Instagram</v>
      </c>
      <c r="N1171" s="4" t="n">
        <f aca="false">ROUND(E1171*F1171,2)</f>
        <v>525.43</v>
      </c>
      <c r="O1171" s="2" t="str">
        <f aca="false">IF(COUNTIF($A$2:$A$1201,A1171)&gt;1,"DUPLICATE","Unique")</f>
        <v>Unique</v>
      </c>
      <c r="P1171" s="2" t="str">
        <f aca="false">IF(L1171="","MISSING","OK")</f>
        <v>OK</v>
      </c>
      <c r="Q1171" s="2" t="str">
        <f aca="false">IF(ISNUMBER(B1171),"OK","BAD DATE")</f>
        <v>OK</v>
      </c>
      <c r="R1171" s="2" t="str">
        <f aca="false">IF(ROUND(F1171,2)=F1171,"OK","FIX")</f>
        <v>OK</v>
      </c>
    </row>
    <row r="1172" customFormat="false" ht="15" hidden="false" customHeight="false" outlineLevel="0" collapsed="false">
      <c r="A1172" s="2" t="str">
        <f aca="false">TRIM(UPPER(Raw_Data!A1172))</f>
        <v>ORD201170</v>
      </c>
      <c r="B1172" s="3" t="n">
        <f aca="false">IF(ISNUMBER(Raw_Data!B1172),Raw_Data!B1172,DATEVALUE(Raw_Data!B1172))</f>
        <v>45141</v>
      </c>
      <c r="C1172" s="2" t="str">
        <f aca="false">TRIM(UPPER(Raw_Data!C1172))</f>
        <v>C94257</v>
      </c>
      <c r="D1172" s="2" t="str">
        <f aca="false">PROPER(TRIM(Raw_Data!D1172))</f>
        <v>Printer</v>
      </c>
      <c r="E1172" s="2" t="n">
        <f aca="false">Raw_Data!E1172</f>
        <v>2</v>
      </c>
      <c r="F1172" s="4" t="n">
        <f aca="false">ROUND(Raw_Data!F1172,2)</f>
        <v>697.19</v>
      </c>
      <c r="G1172" s="2" t="str">
        <f aca="false">PROPER(TRIM(Raw_Data!G1172))</f>
        <v>762 Main St</v>
      </c>
      <c r="H1172" s="2" t="str">
        <f aca="false">PROPER(TRIM(Raw_Data!H1172))</f>
        <v>Cash</v>
      </c>
      <c r="I1172" s="2" t="str">
        <f aca="false">PROPER(TRIM(Raw_Data!I1172))</f>
        <v>Returned</v>
      </c>
      <c r="J1172" s="2" t="str">
        <f aca="false">TRIM(UPPER(Raw_Data!J1172))</f>
        <v>TRK40220743</v>
      </c>
      <c r="K1172" s="2" t="n">
        <f aca="false">Raw_Data!K1172</f>
        <v>7</v>
      </c>
      <c r="L1172" s="2" t="str">
        <f aca="false">IF(TRIM(Raw_Data!L1172)="","No Coupon",TRIM(UPPER(Raw_Data!L1172)))</f>
        <v>FREESHIP</v>
      </c>
      <c r="M1172" s="2" t="str">
        <f aca="false">PROPER(TRIM(Raw_Data!M1172))</f>
        <v>Email</v>
      </c>
      <c r="N1172" s="4" t="n">
        <f aca="false">ROUND(E1172*F1172,2)</f>
        <v>1394.38</v>
      </c>
      <c r="O1172" s="2" t="str">
        <f aca="false">IF(COUNTIF($A$2:$A$1201,A1172)&gt;1,"DUPLICATE","Unique")</f>
        <v>Unique</v>
      </c>
      <c r="P1172" s="2" t="str">
        <f aca="false">IF(L1172="","MISSING","OK")</f>
        <v>OK</v>
      </c>
      <c r="Q1172" s="2" t="str">
        <f aca="false">IF(ISNUMBER(B1172),"OK","BAD DATE")</f>
        <v>OK</v>
      </c>
      <c r="R1172" s="2" t="str">
        <f aca="false">IF(ROUND(F1172,2)=F1172,"OK","FIX")</f>
        <v>OK</v>
      </c>
    </row>
    <row r="1173" customFormat="false" ht="15" hidden="false" customHeight="false" outlineLevel="0" collapsed="false">
      <c r="A1173" s="2" t="str">
        <f aca="false">TRIM(UPPER(Raw_Data!A1173))</f>
        <v>ORD201171</v>
      </c>
      <c r="B1173" s="3" t="n">
        <f aca="false">IF(ISNUMBER(Raw_Data!B1173),Raw_Data!B1173,DATEVALUE(Raw_Data!B1173))</f>
        <v>45166</v>
      </c>
      <c r="C1173" s="2" t="str">
        <f aca="false">TRIM(UPPER(Raw_Data!C1173))</f>
        <v>C39911</v>
      </c>
      <c r="D1173" s="2" t="str">
        <f aca="false">PROPER(TRIM(Raw_Data!D1173))</f>
        <v>Phone</v>
      </c>
      <c r="E1173" s="2" t="n">
        <f aca="false">Raw_Data!E1173</f>
        <v>4</v>
      </c>
      <c r="F1173" s="4" t="n">
        <f aca="false">ROUND(Raw_Data!F1173,2)</f>
        <v>518.4</v>
      </c>
      <c r="G1173" s="2" t="str">
        <f aca="false">PROPER(TRIM(Raw_Data!G1173))</f>
        <v>699 Main St</v>
      </c>
      <c r="H1173" s="2" t="str">
        <f aca="false">PROPER(TRIM(Raw_Data!H1173))</f>
        <v>Credit Card</v>
      </c>
      <c r="I1173" s="2" t="str">
        <f aca="false">PROPER(TRIM(Raw_Data!I1173))</f>
        <v>Delivered</v>
      </c>
      <c r="J1173" s="2" t="str">
        <f aca="false">TRIM(UPPER(Raw_Data!J1173))</f>
        <v>TRK80431998</v>
      </c>
      <c r="K1173" s="2" t="n">
        <f aca="false">Raw_Data!K1173</f>
        <v>7</v>
      </c>
      <c r="L1173" s="2" t="str">
        <f aca="false">IF(TRIM(Raw_Data!L1173)="","No Coupon",TRIM(UPPER(Raw_Data!L1173)))</f>
        <v>SAVE10</v>
      </c>
      <c r="M1173" s="2" t="str">
        <f aca="false">PROPER(TRIM(Raw_Data!M1173))</f>
        <v>Facebook</v>
      </c>
      <c r="N1173" s="4" t="n">
        <f aca="false">ROUND(E1173*F1173,2)</f>
        <v>2073.6</v>
      </c>
      <c r="O1173" s="2" t="str">
        <f aca="false">IF(COUNTIF($A$2:$A$1201,A1173)&gt;1,"DUPLICATE","Unique")</f>
        <v>Unique</v>
      </c>
      <c r="P1173" s="2" t="str">
        <f aca="false">IF(L1173="","MISSING","OK")</f>
        <v>OK</v>
      </c>
      <c r="Q1173" s="2" t="str">
        <f aca="false">IF(ISNUMBER(B1173),"OK","BAD DATE")</f>
        <v>OK</v>
      </c>
      <c r="R1173" s="2" t="str">
        <f aca="false">IF(ROUND(F1173,2)=F1173,"OK","FIX")</f>
        <v>OK</v>
      </c>
    </row>
    <row r="1174" customFormat="false" ht="15" hidden="false" customHeight="false" outlineLevel="0" collapsed="false">
      <c r="A1174" s="2" t="str">
        <f aca="false">TRIM(UPPER(Raw_Data!A1174))</f>
        <v>ORD201172</v>
      </c>
      <c r="B1174" s="3" t="n">
        <f aca="false">IF(ISNUMBER(Raw_Data!B1174),Raw_Data!B1174,DATEVALUE(Raw_Data!B1174))</f>
        <v>45692</v>
      </c>
      <c r="C1174" s="2" t="str">
        <f aca="false">TRIM(UPPER(Raw_Data!C1174))</f>
        <v>C28828</v>
      </c>
      <c r="D1174" s="2" t="str">
        <f aca="false">PROPER(TRIM(Raw_Data!D1174))</f>
        <v>Desk</v>
      </c>
      <c r="E1174" s="2" t="n">
        <f aca="false">Raw_Data!E1174</f>
        <v>3</v>
      </c>
      <c r="F1174" s="4" t="n">
        <f aca="false">ROUND(Raw_Data!F1174,2)</f>
        <v>131.96</v>
      </c>
      <c r="G1174" s="2" t="str">
        <f aca="false">PROPER(TRIM(Raw_Data!G1174))</f>
        <v>745 Main St</v>
      </c>
      <c r="H1174" s="2" t="str">
        <f aca="false">PROPER(TRIM(Raw_Data!H1174))</f>
        <v>Credit Card</v>
      </c>
      <c r="I1174" s="2" t="str">
        <f aca="false">PROPER(TRIM(Raw_Data!I1174))</f>
        <v>Pending</v>
      </c>
      <c r="J1174" s="2" t="str">
        <f aca="false">TRIM(UPPER(Raw_Data!J1174))</f>
        <v>TRK32550359</v>
      </c>
      <c r="K1174" s="2" t="n">
        <f aca="false">Raw_Data!K1174</f>
        <v>8</v>
      </c>
      <c r="L1174" s="2" t="str">
        <f aca="false">IF(TRIM(Raw_Data!L1174)="","No Coupon",TRIM(UPPER(Raw_Data!L1174)))</f>
        <v>No Coupon</v>
      </c>
      <c r="M1174" s="2" t="str">
        <f aca="false">PROPER(TRIM(Raw_Data!M1174))</f>
        <v>Instagram</v>
      </c>
      <c r="N1174" s="4" t="n">
        <f aca="false">ROUND(E1174*F1174,2)</f>
        <v>395.88</v>
      </c>
      <c r="O1174" s="2" t="str">
        <f aca="false">IF(COUNTIF($A$2:$A$1201,A1174)&gt;1,"DUPLICATE","Unique")</f>
        <v>Unique</v>
      </c>
      <c r="P1174" s="2" t="str">
        <f aca="false">IF(L1174="","MISSING","OK")</f>
        <v>OK</v>
      </c>
      <c r="Q1174" s="2" t="str">
        <f aca="false">IF(ISNUMBER(B1174),"OK","BAD DATE")</f>
        <v>OK</v>
      </c>
      <c r="R1174" s="2" t="str">
        <f aca="false">IF(ROUND(F1174,2)=F1174,"OK","FIX")</f>
        <v>OK</v>
      </c>
    </row>
    <row r="1175" customFormat="false" ht="15" hidden="false" customHeight="false" outlineLevel="0" collapsed="false">
      <c r="A1175" s="2" t="str">
        <f aca="false">TRIM(UPPER(Raw_Data!A1175))</f>
        <v>ORD201173</v>
      </c>
      <c r="B1175" s="3" t="n">
        <f aca="false">IF(ISNUMBER(Raw_Data!B1175),Raw_Data!B1175,DATEVALUE(Raw_Data!B1175))</f>
        <v>45569</v>
      </c>
      <c r="C1175" s="2" t="str">
        <f aca="false">TRIM(UPPER(Raw_Data!C1175))</f>
        <v>C82921</v>
      </c>
      <c r="D1175" s="2" t="str">
        <f aca="false">PROPER(TRIM(Raw_Data!D1175))</f>
        <v>Monitor</v>
      </c>
      <c r="E1175" s="2" t="n">
        <f aca="false">Raw_Data!E1175</f>
        <v>1</v>
      </c>
      <c r="F1175" s="4" t="n">
        <f aca="false">ROUND(Raw_Data!F1175,2)</f>
        <v>208.36</v>
      </c>
      <c r="G1175" s="2" t="str">
        <f aca="false">PROPER(TRIM(Raw_Data!G1175))</f>
        <v>703 Main St</v>
      </c>
      <c r="H1175" s="2" t="str">
        <f aca="false">PROPER(TRIM(Raw_Data!H1175))</f>
        <v>Online</v>
      </c>
      <c r="I1175" s="2" t="str">
        <f aca="false">PROPER(TRIM(Raw_Data!I1175))</f>
        <v>Shipped</v>
      </c>
      <c r="J1175" s="2" t="str">
        <f aca="false">TRIM(UPPER(Raw_Data!J1175))</f>
        <v>TRK31079911</v>
      </c>
      <c r="K1175" s="2" t="n">
        <f aca="false">Raw_Data!K1175</f>
        <v>4</v>
      </c>
      <c r="L1175" s="2" t="str">
        <f aca="false">IF(TRIM(Raw_Data!L1175)="","No Coupon",TRIM(UPPER(Raw_Data!L1175)))</f>
        <v>FREESHIP</v>
      </c>
      <c r="M1175" s="2" t="str">
        <f aca="false">PROPER(TRIM(Raw_Data!M1175))</f>
        <v>Email</v>
      </c>
      <c r="N1175" s="4" t="n">
        <f aca="false">ROUND(E1175*F1175,2)</f>
        <v>208.36</v>
      </c>
      <c r="O1175" s="2" t="str">
        <f aca="false">IF(COUNTIF($A$2:$A$1201,A1175)&gt;1,"DUPLICATE","Unique")</f>
        <v>Unique</v>
      </c>
      <c r="P1175" s="2" t="str">
        <f aca="false">IF(L1175="","MISSING","OK")</f>
        <v>OK</v>
      </c>
      <c r="Q1175" s="2" t="str">
        <f aca="false">IF(ISNUMBER(B1175),"OK","BAD DATE")</f>
        <v>OK</v>
      </c>
      <c r="R1175" s="2" t="str">
        <f aca="false">IF(ROUND(F1175,2)=F1175,"OK","FIX")</f>
        <v>OK</v>
      </c>
    </row>
    <row r="1176" customFormat="false" ht="15" hidden="false" customHeight="false" outlineLevel="0" collapsed="false">
      <c r="A1176" s="2" t="str">
        <f aca="false">TRIM(UPPER(Raw_Data!A1176))</f>
        <v>ORD201174</v>
      </c>
      <c r="B1176" s="3" t="n">
        <f aca="false">IF(ISNUMBER(Raw_Data!B1176),Raw_Data!B1176,DATEVALUE(Raw_Data!B1176))</f>
        <v>45257</v>
      </c>
      <c r="C1176" s="2" t="str">
        <f aca="false">TRIM(UPPER(Raw_Data!C1176))</f>
        <v>C50159</v>
      </c>
      <c r="D1176" s="2" t="str">
        <f aca="false">PROPER(TRIM(Raw_Data!D1176))</f>
        <v>Printer</v>
      </c>
      <c r="E1176" s="2" t="n">
        <f aca="false">Raw_Data!E1176</f>
        <v>3</v>
      </c>
      <c r="F1176" s="4" t="n">
        <f aca="false">ROUND(Raw_Data!F1176,2)</f>
        <v>222.34</v>
      </c>
      <c r="G1176" s="2" t="str">
        <f aca="false">PROPER(TRIM(Raw_Data!G1176))</f>
        <v>105 Main St</v>
      </c>
      <c r="H1176" s="2" t="str">
        <f aca="false">PROPER(TRIM(Raw_Data!H1176))</f>
        <v>Credit Card</v>
      </c>
      <c r="I1176" s="2" t="str">
        <f aca="false">PROPER(TRIM(Raw_Data!I1176))</f>
        <v>Returned</v>
      </c>
      <c r="J1176" s="2" t="str">
        <f aca="false">TRIM(UPPER(Raw_Data!J1176))</f>
        <v>TRK53737452</v>
      </c>
      <c r="K1176" s="2" t="n">
        <f aca="false">Raw_Data!K1176</f>
        <v>5</v>
      </c>
      <c r="L1176" s="2" t="str">
        <f aca="false">IF(TRIM(Raw_Data!L1176)="","No Coupon",TRIM(UPPER(Raw_Data!L1176)))</f>
        <v>WINTER15</v>
      </c>
      <c r="M1176" s="2" t="str">
        <f aca="false">PROPER(TRIM(Raw_Data!M1176))</f>
        <v>Email</v>
      </c>
      <c r="N1176" s="4" t="n">
        <f aca="false">ROUND(E1176*F1176,2)</f>
        <v>667.02</v>
      </c>
      <c r="O1176" s="2" t="str">
        <f aca="false">IF(COUNTIF($A$2:$A$1201,A1176)&gt;1,"DUPLICATE","Unique")</f>
        <v>Unique</v>
      </c>
      <c r="P1176" s="2" t="str">
        <f aca="false">IF(L1176="","MISSING","OK")</f>
        <v>OK</v>
      </c>
      <c r="Q1176" s="2" t="str">
        <f aca="false">IF(ISNUMBER(B1176),"OK","BAD DATE")</f>
        <v>OK</v>
      </c>
      <c r="R1176" s="2" t="str">
        <f aca="false">IF(ROUND(F1176,2)=F1176,"OK","FIX")</f>
        <v>OK</v>
      </c>
    </row>
    <row r="1177" customFormat="false" ht="15" hidden="false" customHeight="false" outlineLevel="0" collapsed="false">
      <c r="A1177" s="2" t="str">
        <f aca="false">TRIM(UPPER(Raw_Data!A1177))</f>
        <v>ORD201175</v>
      </c>
      <c r="B1177" s="3" t="n">
        <f aca="false">IF(ISNUMBER(Raw_Data!B1177),Raw_Data!B1177,DATEVALUE(Raw_Data!B1177))</f>
        <v>45545</v>
      </c>
      <c r="C1177" s="2" t="str">
        <f aca="false">TRIM(UPPER(Raw_Data!C1177))</f>
        <v>C62512</v>
      </c>
      <c r="D1177" s="2" t="str">
        <f aca="false">PROPER(TRIM(Raw_Data!D1177))</f>
        <v>Printer</v>
      </c>
      <c r="E1177" s="2" t="n">
        <f aca="false">Raw_Data!E1177</f>
        <v>3</v>
      </c>
      <c r="F1177" s="4" t="n">
        <f aca="false">ROUND(Raw_Data!F1177,2)</f>
        <v>91.74</v>
      </c>
      <c r="G1177" s="2" t="str">
        <f aca="false">PROPER(TRIM(Raw_Data!G1177))</f>
        <v>368 Main St</v>
      </c>
      <c r="H1177" s="2" t="str">
        <f aca="false">PROPER(TRIM(Raw_Data!H1177))</f>
        <v>Debit Card</v>
      </c>
      <c r="I1177" s="2" t="str">
        <f aca="false">PROPER(TRIM(Raw_Data!I1177))</f>
        <v>Returned</v>
      </c>
      <c r="J1177" s="2" t="str">
        <f aca="false">TRIM(UPPER(Raw_Data!J1177))</f>
        <v>TRK24139954</v>
      </c>
      <c r="K1177" s="2" t="n">
        <f aca="false">Raw_Data!K1177</f>
        <v>8</v>
      </c>
      <c r="L1177" s="2" t="str">
        <f aca="false">IF(TRIM(Raw_Data!L1177)="","No Coupon",TRIM(UPPER(Raw_Data!L1177)))</f>
        <v>FREESHIP</v>
      </c>
      <c r="M1177" s="2" t="str">
        <f aca="false">PROPER(TRIM(Raw_Data!M1177))</f>
        <v>Referral</v>
      </c>
      <c r="N1177" s="4" t="n">
        <f aca="false">ROUND(E1177*F1177,2)</f>
        <v>275.22</v>
      </c>
      <c r="O1177" s="2" t="str">
        <f aca="false">IF(COUNTIF($A$2:$A$1201,A1177)&gt;1,"DUPLICATE","Unique")</f>
        <v>Unique</v>
      </c>
      <c r="P1177" s="2" t="str">
        <f aca="false">IF(L1177="","MISSING","OK")</f>
        <v>OK</v>
      </c>
      <c r="Q1177" s="2" t="str">
        <f aca="false">IF(ISNUMBER(B1177),"OK","BAD DATE")</f>
        <v>OK</v>
      </c>
      <c r="R1177" s="2" t="str">
        <f aca="false">IF(ROUND(F1177,2)=F1177,"OK","FIX")</f>
        <v>OK</v>
      </c>
    </row>
    <row r="1178" customFormat="false" ht="15" hidden="false" customHeight="false" outlineLevel="0" collapsed="false">
      <c r="A1178" s="2" t="str">
        <f aca="false">TRIM(UPPER(Raw_Data!A1178))</f>
        <v>ORD201176</v>
      </c>
      <c r="B1178" s="3" t="n">
        <f aca="false">IF(ISNUMBER(Raw_Data!B1178),Raw_Data!B1178,DATEVALUE(Raw_Data!B1178))</f>
        <v>45151</v>
      </c>
      <c r="C1178" s="2" t="str">
        <f aca="false">TRIM(UPPER(Raw_Data!C1178))</f>
        <v>C39260</v>
      </c>
      <c r="D1178" s="2" t="str">
        <f aca="false">PROPER(TRIM(Raw_Data!D1178))</f>
        <v>Tablet</v>
      </c>
      <c r="E1178" s="2" t="n">
        <f aca="false">Raw_Data!E1178</f>
        <v>2</v>
      </c>
      <c r="F1178" s="4" t="n">
        <f aca="false">ROUND(Raw_Data!F1178,2)</f>
        <v>213.83</v>
      </c>
      <c r="G1178" s="2" t="str">
        <f aca="false">PROPER(TRIM(Raw_Data!G1178))</f>
        <v>374 Main St</v>
      </c>
      <c r="H1178" s="2" t="str">
        <f aca="false">PROPER(TRIM(Raw_Data!H1178))</f>
        <v>Debit Card</v>
      </c>
      <c r="I1178" s="2" t="str">
        <f aca="false">PROPER(TRIM(Raw_Data!I1178))</f>
        <v>Cancelled</v>
      </c>
      <c r="J1178" s="2" t="str">
        <f aca="false">TRIM(UPPER(Raw_Data!J1178))</f>
        <v>TRK55587314</v>
      </c>
      <c r="K1178" s="2" t="n">
        <f aca="false">Raw_Data!K1178</f>
        <v>2</v>
      </c>
      <c r="L1178" s="2" t="str">
        <f aca="false">IF(TRIM(Raw_Data!L1178)="","No Coupon",TRIM(UPPER(Raw_Data!L1178)))</f>
        <v>WINTER15</v>
      </c>
      <c r="M1178" s="2" t="str">
        <f aca="false">PROPER(TRIM(Raw_Data!M1178))</f>
        <v>Email</v>
      </c>
      <c r="N1178" s="4" t="n">
        <f aca="false">ROUND(E1178*F1178,2)</f>
        <v>427.66</v>
      </c>
      <c r="O1178" s="2" t="str">
        <f aca="false">IF(COUNTIF($A$2:$A$1201,A1178)&gt;1,"DUPLICATE","Unique")</f>
        <v>Unique</v>
      </c>
      <c r="P1178" s="2" t="str">
        <f aca="false">IF(L1178="","MISSING","OK")</f>
        <v>OK</v>
      </c>
      <c r="Q1178" s="2" t="str">
        <f aca="false">IF(ISNUMBER(B1178),"OK","BAD DATE")</f>
        <v>OK</v>
      </c>
      <c r="R1178" s="2" t="str">
        <f aca="false">IF(ROUND(F1178,2)=F1178,"OK","FIX")</f>
        <v>OK</v>
      </c>
    </row>
    <row r="1179" customFormat="false" ht="15" hidden="false" customHeight="false" outlineLevel="0" collapsed="false">
      <c r="A1179" s="2" t="str">
        <f aca="false">TRIM(UPPER(Raw_Data!A1179))</f>
        <v>ORD201177</v>
      </c>
      <c r="B1179" s="3" t="n">
        <f aca="false">IF(ISNUMBER(Raw_Data!B1179),Raw_Data!B1179,DATEVALUE(Raw_Data!B1179))</f>
        <v>45043</v>
      </c>
      <c r="C1179" s="2" t="str">
        <f aca="false">TRIM(UPPER(Raw_Data!C1179))</f>
        <v>C23917</v>
      </c>
      <c r="D1179" s="2" t="str">
        <f aca="false">PROPER(TRIM(Raw_Data!D1179))</f>
        <v>Printer</v>
      </c>
      <c r="E1179" s="2" t="n">
        <f aca="false">Raw_Data!E1179</f>
        <v>1</v>
      </c>
      <c r="F1179" s="4" t="n">
        <f aca="false">ROUND(Raw_Data!F1179,2)</f>
        <v>127.55</v>
      </c>
      <c r="G1179" s="2" t="str">
        <f aca="false">PROPER(TRIM(Raw_Data!G1179))</f>
        <v>433 Main St</v>
      </c>
      <c r="H1179" s="2" t="str">
        <f aca="false">PROPER(TRIM(Raw_Data!H1179))</f>
        <v>Cash</v>
      </c>
      <c r="I1179" s="2" t="str">
        <f aca="false">PROPER(TRIM(Raw_Data!I1179))</f>
        <v>Shipped</v>
      </c>
      <c r="J1179" s="2" t="str">
        <f aca="false">TRIM(UPPER(Raw_Data!J1179))</f>
        <v>TRK44434536</v>
      </c>
      <c r="K1179" s="2" t="n">
        <f aca="false">Raw_Data!K1179</f>
        <v>3</v>
      </c>
      <c r="L1179" s="2" t="str">
        <f aca="false">IF(TRIM(Raw_Data!L1179)="","No Coupon",TRIM(UPPER(Raw_Data!L1179)))</f>
        <v>SAVE10</v>
      </c>
      <c r="M1179" s="2" t="str">
        <f aca="false">PROPER(TRIM(Raw_Data!M1179))</f>
        <v>Referral</v>
      </c>
      <c r="N1179" s="4" t="n">
        <f aca="false">ROUND(E1179*F1179,2)</f>
        <v>127.55</v>
      </c>
      <c r="O1179" s="2" t="str">
        <f aca="false">IF(COUNTIF($A$2:$A$1201,A1179)&gt;1,"DUPLICATE","Unique")</f>
        <v>Unique</v>
      </c>
      <c r="P1179" s="2" t="str">
        <f aca="false">IF(L1179="","MISSING","OK")</f>
        <v>OK</v>
      </c>
      <c r="Q1179" s="2" t="str">
        <f aca="false">IF(ISNUMBER(B1179),"OK","BAD DATE")</f>
        <v>OK</v>
      </c>
      <c r="R1179" s="2" t="str">
        <f aca="false">IF(ROUND(F1179,2)=F1179,"OK","FIX")</f>
        <v>OK</v>
      </c>
    </row>
    <row r="1180" customFormat="false" ht="15" hidden="false" customHeight="false" outlineLevel="0" collapsed="false">
      <c r="A1180" s="2" t="str">
        <f aca="false">TRIM(UPPER(Raw_Data!A1180))</f>
        <v>ORD201178</v>
      </c>
      <c r="B1180" s="3" t="n">
        <f aca="false">IF(ISNUMBER(Raw_Data!B1180),Raw_Data!B1180,DATEVALUE(Raw_Data!B1180))</f>
        <v>45543</v>
      </c>
      <c r="C1180" s="2" t="str">
        <f aca="false">TRIM(UPPER(Raw_Data!C1180))</f>
        <v>C65107</v>
      </c>
      <c r="D1180" s="2" t="str">
        <f aca="false">PROPER(TRIM(Raw_Data!D1180))</f>
        <v>Monitor</v>
      </c>
      <c r="E1180" s="2" t="n">
        <f aca="false">Raw_Data!E1180</f>
        <v>1</v>
      </c>
      <c r="F1180" s="4" t="n">
        <f aca="false">ROUND(Raw_Data!F1180,2)</f>
        <v>70.24</v>
      </c>
      <c r="G1180" s="2" t="str">
        <f aca="false">PROPER(TRIM(Raw_Data!G1180))</f>
        <v>456 Main St</v>
      </c>
      <c r="H1180" s="2" t="str">
        <f aca="false">PROPER(TRIM(Raw_Data!H1180))</f>
        <v>Credit Card</v>
      </c>
      <c r="I1180" s="2" t="str">
        <f aca="false">PROPER(TRIM(Raw_Data!I1180))</f>
        <v>Cancelled</v>
      </c>
      <c r="J1180" s="2" t="str">
        <f aca="false">TRIM(UPPER(Raw_Data!J1180))</f>
        <v>TRK10261578</v>
      </c>
      <c r="K1180" s="2" t="n">
        <f aca="false">Raw_Data!K1180</f>
        <v>4</v>
      </c>
      <c r="L1180" s="2" t="str">
        <f aca="false">IF(TRIM(Raw_Data!L1180)="","No Coupon",TRIM(UPPER(Raw_Data!L1180)))</f>
        <v>FREESHIP</v>
      </c>
      <c r="M1180" s="2" t="str">
        <f aca="false">PROPER(TRIM(Raw_Data!M1180))</f>
        <v>Google</v>
      </c>
      <c r="N1180" s="4" t="n">
        <f aca="false">ROUND(E1180*F1180,2)</f>
        <v>70.24</v>
      </c>
      <c r="O1180" s="2" t="str">
        <f aca="false">IF(COUNTIF($A$2:$A$1201,A1180)&gt;1,"DUPLICATE","Unique")</f>
        <v>Unique</v>
      </c>
      <c r="P1180" s="2" t="str">
        <f aca="false">IF(L1180="","MISSING","OK")</f>
        <v>OK</v>
      </c>
      <c r="Q1180" s="2" t="str">
        <f aca="false">IF(ISNUMBER(B1180),"OK","BAD DATE")</f>
        <v>OK</v>
      </c>
      <c r="R1180" s="2" t="str">
        <f aca="false">IF(ROUND(F1180,2)=F1180,"OK","FIX")</f>
        <v>OK</v>
      </c>
    </row>
    <row r="1181" customFormat="false" ht="15" hidden="false" customHeight="false" outlineLevel="0" collapsed="false">
      <c r="A1181" s="2" t="str">
        <f aca="false">TRIM(UPPER(Raw_Data!A1181))</f>
        <v>ORD201179</v>
      </c>
      <c r="B1181" s="3" t="n">
        <f aca="false">IF(ISNUMBER(Raw_Data!B1181),Raw_Data!B1181,DATEVALUE(Raw_Data!B1181))</f>
        <v>44934</v>
      </c>
      <c r="C1181" s="2" t="str">
        <f aca="false">TRIM(UPPER(Raw_Data!C1181))</f>
        <v>C84630</v>
      </c>
      <c r="D1181" s="2" t="str">
        <f aca="false">PROPER(TRIM(Raw_Data!D1181))</f>
        <v>Laptop</v>
      </c>
      <c r="E1181" s="2" t="n">
        <f aca="false">Raw_Data!E1181</f>
        <v>5</v>
      </c>
      <c r="F1181" s="4" t="n">
        <f aca="false">ROUND(Raw_Data!F1181,2)</f>
        <v>518.55</v>
      </c>
      <c r="G1181" s="2" t="str">
        <f aca="false">PROPER(TRIM(Raw_Data!G1181))</f>
        <v>907 Main St</v>
      </c>
      <c r="H1181" s="2" t="str">
        <f aca="false">PROPER(TRIM(Raw_Data!H1181))</f>
        <v>Credit Card</v>
      </c>
      <c r="I1181" s="2" t="str">
        <f aca="false">PROPER(TRIM(Raw_Data!I1181))</f>
        <v>Cancelled</v>
      </c>
      <c r="J1181" s="2" t="str">
        <f aca="false">TRIM(UPPER(Raw_Data!J1181))</f>
        <v>TRK48054997</v>
      </c>
      <c r="K1181" s="2" t="n">
        <f aca="false">Raw_Data!K1181</f>
        <v>6</v>
      </c>
      <c r="L1181" s="2" t="str">
        <f aca="false">IF(TRIM(Raw_Data!L1181)="","No Coupon",TRIM(UPPER(Raw_Data!L1181)))</f>
        <v>WINTER15</v>
      </c>
      <c r="M1181" s="2" t="str">
        <f aca="false">PROPER(TRIM(Raw_Data!M1181))</f>
        <v>Instagram</v>
      </c>
      <c r="N1181" s="4" t="n">
        <f aca="false">ROUND(E1181*F1181,2)</f>
        <v>2592.75</v>
      </c>
      <c r="O1181" s="2" t="str">
        <f aca="false">IF(COUNTIF($A$2:$A$1201,A1181)&gt;1,"DUPLICATE","Unique")</f>
        <v>Unique</v>
      </c>
      <c r="P1181" s="2" t="str">
        <f aca="false">IF(L1181="","MISSING","OK")</f>
        <v>OK</v>
      </c>
      <c r="Q1181" s="2" t="str">
        <f aca="false">IF(ISNUMBER(B1181),"OK","BAD DATE")</f>
        <v>OK</v>
      </c>
      <c r="R1181" s="2" t="str">
        <f aca="false">IF(ROUND(F1181,2)=F1181,"OK","FIX")</f>
        <v>OK</v>
      </c>
    </row>
    <row r="1182" customFormat="false" ht="15" hidden="false" customHeight="false" outlineLevel="0" collapsed="false">
      <c r="A1182" s="2" t="str">
        <f aca="false">TRIM(UPPER(Raw_Data!A1182))</f>
        <v>ORD201180</v>
      </c>
      <c r="B1182" s="3" t="n">
        <f aca="false">IF(ISNUMBER(Raw_Data!B1182),Raw_Data!B1182,DATEVALUE(Raw_Data!B1182))</f>
        <v>45230</v>
      </c>
      <c r="C1182" s="2" t="str">
        <f aca="false">TRIM(UPPER(Raw_Data!C1182))</f>
        <v>C42235</v>
      </c>
      <c r="D1182" s="2" t="str">
        <f aca="false">PROPER(TRIM(Raw_Data!D1182))</f>
        <v>Chair</v>
      </c>
      <c r="E1182" s="2" t="n">
        <f aca="false">Raw_Data!E1182</f>
        <v>4</v>
      </c>
      <c r="F1182" s="4" t="n">
        <f aca="false">ROUND(Raw_Data!F1182,2)</f>
        <v>298.36</v>
      </c>
      <c r="G1182" s="2" t="str">
        <f aca="false">PROPER(TRIM(Raw_Data!G1182))</f>
        <v>722 Main St</v>
      </c>
      <c r="H1182" s="2" t="str">
        <f aca="false">PROPER(TRIM(Raw_Data!H1182))</f>
        <v>Debit Card</v>
      </c>
      <c r="I1182" s="2" t="str">
        <f aca="false">PROPER(TRIM(Raw_Data!I1182))</f>
        <v>Pending</v>
      </c>
      <c r="J1182" s="2" t="str">
        <f aca="false">TRIM(UPPER(Raw_Data!J1182))</f>
        <v>TRK49379882</v>
      </c>
      <c r="K1182" s="2" t="n">
        <f aca="false">Raw_Data!K1182</f>
        <v>8</v>
      </c>
      <c r="L1182" s="2" t="str">
        <f aca="false">IF(TRIM(Raw_Data!L1182)="","No Coupon",TRIM(UPPER(Raw_Data!L1182)))</f>
        <v>FREESHIP</v>
      </c>
      <c r="M1182" s="2" t="str">
        <f aca="false">PROPER(TRIM(Raw_Data!M1182))</f>
        <v>Google</v>
      </c>
      <c r="N1182" s="4" t="n">
        <f aca="false">ROUND(E1182*F1182,2)</f>
        <v>1193.44</v>
      </c>
      <c r="O1182" s="2" t="str">
        <f aca="false">IF(COUNTIF($A$2:$A$1201,A1182)&gt;1,"DUPLICATE","Unique")</f>
        <v>Unique</v>
      </c>
      <c r="P1182" s="2" t="str">
        <f aca="false">IF(L1182="","MISSING","OK")</f>
        <v>OK</v>
      </c>
      <c r="Q1182" s="2" t="str">
        <f aca="false">IF(ISNUMBER(B1182),"OK","BAD DATE")</f>
        <v>OK</v>
      </c>
      <c r="R1182" s="2" t="str">
        <f aca="false">IF(ROUND(F1182,2)=F1182,"OK","FIX")</f>
        <v>OK</v>
      </c>
    </row>
    <row r="1183" customFormat="false" ht="15" hidden="false" customHeight="false" outlineLevel="0" collapsed="false">
      <c r="A1183" s="2" t="str">
        <f aca="false">TRIM(UPPER(Raw_Data!A1183))</f>
        <v>ORD201181</v>
      </c>
      <c r="B1183" s="3" t="n">
        <f aca="false">IF(ISNUMBER(Raw_Data!B1183),Raw_Data!B1183,DATEVALUE(Raw_Data!B1183))</f>
        <v>45134</v>
      </c>
      <c r="C1183" s="2" t="str">
        <f aca="false">TRIM(UPPER(Raw_Data!C1183))</f>
        <v>C70246</v>
      </c>
      <c r="D1183" s="2" t="str">
        <f aca="false">PROPER(TRIM(Raw_Data!D1183))</f>
        <v>Desk</v>
      </c>
      <c r="E1183" s="2" t="n">
        <f aca="false">Raw_Data!E1183</f>
        <v>3</v>
      </c>
      <c r="F1183" s="4" t="n">
        <f aca="false">ROUND(Raw_Data!F1183,2)</f>
        <v>158.74</v>
      </c>
      <c r="G1183" s="2" t="str">
        <f aca="false">PROPER(TRIM(Raw_Data!G1183))</f>
        <v>293 Main St</v>
      </c>
      <c r="H1183" s="2" t="str">
        <f aca="false">PROPER(TRIM(Raw_Data!H1183))</f>
        <v>Online</v>
      </c>
      <c r="I1183" s="2" t="str">
        <f aca="false">PROPER(TRIM(Raw_Data!I1183))</f>
        <v>Pending</v>
      </c>
      <c r="J1183" s="2" t="str">
        <f aca="false">TRIM(UPPER(Raw_Data!J1183))</f>
        <v>TRK45708320</v>
      </c>
      <c r="K1183" s="2" t="n">
        <f aca="false">Raw_Data!K1183</f>
        <v>7</v>
      </c>
      <c r="L1183" s="2" t="str">
        <f aca="false">IF(TRIM(Raw_Data!L1183)="","No Coupon",TRIM(UPPER(Raw_Data!L1183)))</f>
        <v>FREESHIP</v>
      </c>
      <c r="M1183" s="2" t="str">
        <f aca="false">PROPER(TRIM(Raw_Data!M1183))</f>
        <v>Instagram</v>
      </c>
      <c r="N1183" s="4" t="n">
        <f aca="false">ROUND(E1183*F1183,2)</f>
        <v>476.22</v>
      </c>
      <c r="O1183" s="2" t="str">
        <f aca="false">IF(COUNTIF($A$2:$A$1201,A1183)&gt;1,"DUPLICATE","Unique")</f>
        <v>Unique</v>
      </c>
      <c r="P1183" s="2" t="str">
        <f aca="false">IF(L1183="","MISSING","OK")</f>
        <v>OK</v>
      </c>
      <c r="Q1183" s="2" t="str">
        <f aca="false">IF(ISNUMBER(B1183),"OK","BAD DATE")</f>
        <v>OK</v>
      </c>
      <c r="R1183" s="2" t="str">
        <f aca="false">IF(ROUND(F1183,2)=F1183,"OK","FIX")</f>
        <v>OK</v>
      </c>
    </row>
    <row r="1184" customFormat="false" ht="15" hidden="false" customHeight="false" outlineLevel="0" collapsed="false">
      <c r="A1184" s="2" t="str">
        <f aca="false">TRIM(UPPER(Raw_Data!A1184))</f>
        <v>ORD201182</v>
      </c>
      <c r="B1184" s="3" t="n">
        <f aca="false">IF(ISNUMBER(Raw_Data!B1184),Raw_Data!B1184,DATEVALUE(Raw_Data!B1184))</f>
        <v>45822</v>
      </c>
      <c r="C1184" s="2" t="str">
        <f aca="false">TRIM(UPPER(Raw_Data!C1184))</f>
        <v>C18473</v>
      </c>
      <c r="D1184" s="2" t="str">
        <f aca="false">PROPER(TRIM(Raw_Data!D1184))</f>
        <v>Chair</v>
      </c>
      <c r="E1184" s="2" t="n">
        <f aca="false">Raw_Data!E1184</f>
        <v>2</v>
      </c>
      <c r="F1184" s="4" t="n">
        <f aca="false">ROUND(Raw_Data!F1184,2)</f>
        <v>420.29</v>
      </c>
      <c r="G1184" s="2" t="str">
        <f aca="false">PROPER(TRIM(Raw_Data!G1184))</f>
        <v>700 Main St</v>
      </c>
      <c r="H1184" s="2" t="str">
        <f aca="false">PROPER(TRIM(Raw_Data!H1184))</f>
        <v>Gift Card</v>
      </c>
      <c r="I1184" s="2" t="str">
        <f aca="false">PROPER(TRIM(Raw_Data!I1184))</f>
        <v>Returned</v>
      </c>
      <c r="J1184" s="2" t="str">
        <f aca="false">TRIM(UPPER(Raw_Data!J1184))</f>
        <v>TRK97834202</v>
      </c>
      <c r="K1184" s="2" t="n">
        <f aca="false">Raw_Data!K1184</f>
        <v>3</v>
      </c>
      <c r="L1184" s="2" t="str">
        <f aca="false">IF(TRIM(Raw_Data!L1184)="","No Coupon",TRIM(UPPER(Raw_Data!L1184)))</f>
        <v>SAVE10</v>
      </c>
      <c r="M1184" s="2" t="str">
        <f aca="false">PROPER(TRIM(Raw_Data!M1184))</f>
        <v>Google</v>
      </c>
      <c r="N1184" s="4" t="n">
        <f aca="false">ROUND(E1184*F1184,2)</f>
        <v>840.58</v>
      </c>
      <c r="O1184" s="2" t="str">
        <f aca="false">IF(COUNTIF($A$2:$A$1201,A1184)&gt;1,"DUPLICATE","Unique")</f>
        <v>Unique</v>
      </c>
      <c r="P1184" s="2" t="str">
        <f aca="false">IF(L1184="","MISSING","OK")</f>
        <v>OK</v>
      </c>
      <c r="Q1184" s="2" t="str">
        <f aca="false">IF(ISNUMBER(B1184),"OK","BAD DATE")</f>
        <v>OK</v>
      </c>
      <c r="R1184" s="2" t="str">
        <f aca="false">IF(ROUND(F1184,2)=F1184,"OK","FIX")</f>
        <v>OK</v>
      </c>
    </row>
    <row r="1185" customFormat="false" ht="15" hidden="false" customHeight="false" outlineLevel="0" collapsed="false">
      <c r="A1185" s="2" t="str">
        <f aca="false">TRIM(UPPER(Raw_Data!A1185))</f>
        <v>ORD201183</v>
      </c>
      <c r="B1185" s="3" t="n">
        <f aca="false">IF(ISNUMBER(Raw_Data!B1185),Raw_Data!B1185,DATEVALUE(Raw_Data!B1185))</f>
        <v>45021</v>
      </c>
      <c r="C1185" s="2" t="str">
        <f aca="false">TRIM(UPPER(Raw_Data!C1185))</f>
        <v>C12607</v>
      </c>
      <c r="D1185" s="2" t="str">
        <f aca="false">PROPER(TRIM(Raw_Data!D1185))</f>
        <v>Desk</v>
      </c>
      <c r="E1185" s="2" t="n">
        <f aca="false">Raw_Data!E1185</f>
        <v>1</v>
      </c>
      <c r="F1185" s="4" t="n">
        <f aca="false">ROUND(Raw_Data!F1185,2)</f>
        <v>281.52</v>
      </c>
      <c r="G1185" s="2" t="str">
        <f aca="false">PROPER(TRIM(Raw_Data!G1185))</f>
        <v>460 Main St</v>
      </c>
      <c r="H1185" s="2" t="str">
        <f aca="false">PROPER(TRIM(Raw_Data!H1185))</f>
        <v>Gift Card</v>
      </c>
      <c r="I1185" s="2" t="str">
        <f aca="false">PROPER(TRIM(Raw_Data!I1185))</f>
        <v>Shipped</v>
      </c>
      <c r="J1185" s="2" t="str">
        <f aca="false">TRIM(UPPER(Raw_Data!J1185))</f>
        <v>TRK83653396</v>
      </c>
      <c r="K1185" s="2" t="n">
        <f aca="false">Raw_Data!K1185</f>
        <v>6</v>
      </c>
      <c r="L1185" s="2" t="str">
        <f aca="false">IF(TRIM(Raw_Data!L1185)="","No Coupon",TRIM(UPPER(Raw_Data!L1185)))</f>
        <v>WINTER15</v>
      </c>
      <c r="M1185" s="2" t="str">
        <f aca="false">PROPER(TRIM(Raw_Data!M1185))</f>
        <v>Referral</v>
      </c>
      <c r="N1185" s="4" t="n">
        <f aca="false">ROUND(E1185*F1185,2)</f>
        <v>281.52</v>
      </c>
      <c r="O1185" s="2" t="str">
        <f aca="false">IF(COUNTIF($A$2:$A$1201,A1185)&gt;1,"DUPLICATE","Unique")</f>
        <v>Unique</v>
      </c>
      <c r="P1185" s="2" t="str">
        <f aca="false">IF(L1185="","MISSING","OK")</f>
        <v>OK</v>
      </c>
      <c r="Q1185" s="2" t="str">
        <f aca="false">IF(ISNUMBER(B1185),"OK","BAD DATE")</f>
        <v>OK</v>
      </c>
      <c r="R1185" s="2" t="str">
        <f aca="false">IF(ROUND(F1185,2)=F1185,"OK","FIX")</f>
        <v>OK</v>
      </c>
    </row>
    <row r="1186" customFormat="false" ht="15" hidden="false" customHeight="false" outlineLevel="0" collapsed="false">
      <c r="A1186" s="2" t="str">
        <f aca="false">TRIM(UPPER(Raw_Data!A1186))</f>
        <v>ORD201184</v>
      </c>
      <c r="B1186" s="3" t="n">
        <f aca="false">IF(ISNUMBER(Raw_Data!B1186),Raw_Data!B1186,DATEVALUE(Raw_Data!B1186))</f>
        <v>45196</v>
      </c>
      <c r="C1186" s="2" t="str">
        <f aca="false">TRIM(UPPER(Raw_Data!C1186))</f>
        <v>C10222</v>
      </c>
      <c r="D1186" s="2" t="str">
        <f aca="false">PROPER(TRIM(Raw_Data!D1186))</f>
        <v>Laptop</v>
      </c>
      <c r="E1186" s="2" t="n">
        <f aca="false">Raw_Data!E1186</f>
        <v>1</v>
      </c>
      <c r="F1186" s="4" t="n">
        <f aca="false">ROUND(Raw_Data!F1186,2)</f>
        <v>204.08</v>
      </c>
      <c r="G1186" s="2" t="str">
        <f aca="false">PROPER(TRIM(Raw_Data!G1186))</f>
        <v>979 Main St</v>
      </c>
      <c r="H1186" s="2" t="str">
        <f aca="false">PROPER(TRIM(Raw_Data!H1186))</f>
        <v>Gift Card</v>
      </c>
      <c r="I1186" s="2" t="str">
        <f aca="false">PROPER(TRIM(Raw_Data!I1186))</f>
        <v>Returned</v>
      </c>
      <c r="J1186" s="2" t="str">
        <f aca="false">TRIM(UPPER(Raw_Data!J1186))</f>
        <v>TRK86297895</v>
      </c>
      <c r="K1186" s="2" t="n">
        <f aca="false">Raw_Data!K1186</f>
        <v>4</v>
      </c>
      <c r="L1186" s="2" t="str">
        <f aca="false">IF(TRIM(Raw_Data!L1186)="","No Coupon",TRIM(UPPER(Raw_Data!L1186)))</f>
        <v>No Coupon</v>
      </c>
      <c r="M1186" s="2" t="str">
        <f aca="false">PROPER(TRIM(Raw_Data!M1186))</f>
        <v>Google</v>
      </c>
      <c r="N1186" s="4" t="n">
        <f aca="false">ROUND(E1186*F1186,2)</f>
        <v>204.08</v>
      </c>
      <c r="O1186" s="2" t="str">
        <f aca="false">IF(COUNTIF($A$2:$A$1201,A1186)&gt;1,"DUPLICATE","Unique")</f>
        <v>Unique</v>
      </c>
      <c r="P1186" s="2" t="str">
        <f aca="false">IF(L1186="","MISSING","OK")</f>
        <v>OK</v>
      </c>
      <c r="Q1186" s="2" t="str">
        <f aca="false">IF(ISNUMBER(B1186),"OK","BAD DATE")</f>
        <v>OK</v>
      </c>
      <c r="R1186" s="2" t="str">
        <f aca="false">IF(ROUND(F1186,2)=F1186,"OK","FIX")</f>
        <v>OK</v>
      </c>
    </row>
    <row r="1187" customFormat="false" ht="15" hidden="false" customHeight="false" outlineLevel="0" collapsed="false">
      <c r="A1187" s="2" t="str">
        <f aca="false">TRIM(UPPER(Raw_Data!A1187))</f>
        <v>ORD201185</v>
      </c>
      <c r="B1187" s="3" t="n">
        <f aca="false">IF(ISNUMBER(Raw_Data!B1187),Raw_Data!B1187,DATEVALUE(Raw_Data!B1187))</f>
        <v>45481</v>
      </c>
      <c r="C1187" s="2" t="str">
        <f aca="false">TRIM(UPPER(Raw_Data!C1187))</f>
        <v>C77344</v>
      </c>
      <c r="D1187" s="2" t="str">
        <f aca="false">PROPER(TRIM(Raw_Data!D1187))</f>
        <v>Chair</v>
      </c>
      <c r="E1187" s="2" t="n">
        <f aca="false">Raw_Data!E1187</f>
        <v>1</v>
      </c>
      <c r="F1187" s="4" t="n">
        <f aca="false">ROUND(Raw_Data!F1187,2)</f>
        <v>343.31</v>
      </c>
      <c r="G1187" s="2" t="str">
        <f aca="false">PROPER(TRIM(Raw_Data!G1187))</f>
        <v>777 Main St</v>
      </c>
      <c r="H1187" s="2" t="str">
        <f aca="false">PROPER(TRIM(Raw_Data!H1187))</f>
        <v>Gift Card</v>
      </c>
      <c r="I1187" s="2" t="str">
        <f aca="false">PROPER(TRIM(Raw_Data!I1187))</f>
        <v>Returned</v>
      </c>
      <c r="J1187" s="2" t="str">
        <f aca="false">TRIM(UPPER(Raw_Data!J1187))</f>
        <v>TRK20605055</v>
      </c>
      <c r="K1187" s="2" t="n">
        <f aca="false">Raw_Data!K1187</f>
        <v>6</v>
      </c>
      <c r="L1187" s="2" t="str">
        <f aca="false">IF(TRIM(Raw_Data!L1187)="","No Coupon",TRIM(UPPER(Raw_Data!L1187)))</f>
        <v>SAVE10</v>
      </c>
      <c r="M1187" s="2" t="str">
        <f aca="false">PROPER(TRIM(Raw_Data!M1187))</f>
        <v>Google</v>
      </c>
      <c r="N1187" s="4" t="n">
        <f aca="false">ROUND(E1187*F1187,2)</f>
        <v>343.31</v>
      </c>
      <c r="O1187" s="2" t="str">
        <f aca="false">IF(COUNTIF($A$2:$A$1201,A1187)&gt;1,"DUPLICATE","Unique")</f>
        <v>Unique</v>
      </c>
      <c r="P1187" s="2" t="str">
        <f aca="false">IF(L1187="","MISSING","OK")</f>
        <v>OK</v>
      </c>
      <c r="Q1187" s="2" t="str">
        <f aca="false">IF(ISNUMBER(B1187),"OK","BAD DATE")</f>
        <v>OK</v>
      </c>
      <c r="R1187" s="2" t="str">
        <f aca="false">IF(ROUND(F1187,2)=F1187,"OK","FIX")</f>
        <v>OK</v>
      </c>
    </row>
    <row r="1188" customFormat="false" ht="15" hidden="false" customHeight="false" outlineLevel="0" collapsed="false">
      <c r="A1188" s="2" t="str">
        <f aca="false">TRIM(UPPER(Raw_Data!A1188))</f>
        <v>ORD201186</v>
      </c>
      <c r="B1188" s="3" t="n">
        <f aca="false">IF(ISNUMBER(Raw_Data!B1188),Raw_Data!B1188,DATEVALUE(Raw_Data!B1188))</f>
        <v>45248</v>
      </c>
      <c r="C1188" s="2" t="str">
        <f aca="false">TRIM(UPPER(Raw_Data!C1188))</f>
        <v>C65497</v>
      </c>
      <c r="D1188" s="2" t="str">
        <f aca="false">PROPER(TRIM(Raw_Data!D1188))</f>
        <v>Monitor</v>
      </c>
      <c r="E1188" s="2" t="n">
        <f aca="false">Raw_Data!E1188</f>
        <v>1</v>
      </c>
      <c r="F1188" s="4" t="n">
        <f aca="false">ROUND(Raw_Data!F1188,2)</f>
        <v>163.32</v>
      </c>
      <c r="G1188" s="2" t="str">
        <f aca="false">PROPER(TRIM(Raw_Data!G1188))</f>
        <v>676 Main St</v>
      </c>
      <c r="H1188" s="2" t="str">
        <f aca="false">PROPER(TRIM(Raw_Data!H1188))</f>
        <v>Cash</v>
      </c>
      <c r="I1188" s="2" t="str">
        <f aca="false">PROPER(TRIM(Raw_Data!I1188))</f>
        <v>Shipped</v>
      </c>
      <c r="J1188" s="2" t="str">
        <f aca="false">TRIM(UPPER(Raw_Data!J1188))</f>
        <v>TRK83702761</v>
      </c>
      <c r="K1188" s="2" t="n">
        <f aca="false">Raw_Data!K1188</f>
        <v>6</v>
      </c>
      <c r="L1188" s="2" t="str">
        <f aca="false">IF(TRIM(Raw_Data!L1188)="","No Coupon",TRIM(UPPER(Raw_Data!L1188)))</f>
        <v>WINTER15</v>
      </c>
      <c r="M1188" s="2" t="str">
        <f aca="false">PROPER(TRIM(Raw_Data!M1188))</f>
        <v>Facebook</v>
      </c>
      <c r="N1188" s="4" t="n">
        <f aca="false">ROUND(E1188*F1188,2)</f>
        <v>163.32</v>
      </c>
      <c r="O1188" s="2" t="str">
        <f aca="false">IF(COUNTIF($A$2:$A$1201,A1188)&gt;1,"DUPLICATE","Unique")</f>
        <v>Unique</v>
      </c>
      <c r="P1188" s="2" t="str">
        <f aca="false">IF(L1188="","MISSING","OK")</f>
        <v>OK</v>
      </c>
      <c r="Q1188" s="2" t="str">
        <f aca="false">IF(ISNUMBER(B1188),"OK","BAD DATE")</f>
        <v>OK</v>
      </c>
      <c r="R1188" s="2" t="str">
        <f aca="false">IF(ROUND(F1188,2)=F1188,"OK","FIX")</f>
        <v>OK</v>
      </c>
    </row>
    <row r="1189" customFormat="false" ht="15" hidden="false" customHeight="false" outlineLevel="0" collapsed="false">
      <c r="A1189" s="2" t="str">
        <f aca="false">TRIM(UPPER(Raw_Data!A1189))</f>
        <v>ORD201187</v>
      </c>
      <c r="B1189" s="3" t="n">
        <f aca="false">IF(ISNUMBER(Raw_Data!B1189),Raw_Data!B1189,DATEVALUE(Raw_Data!B1189))</f>
        <v>45364</v>
      </c>
      <c r="C1189" s="2" t="str">
        <f aca="false">TRIM(UPPER(Raw_Data!C1189))</f>
        <v>C26340</v>
      </c>
      <c r="D1189" s="2" t="str">
        <f aca="false">PROPER(TRIM(Raw_Data!D1189))</f>
        <v>Desk</v>
      </c>
      <c r="E1189" s="2" t="n">
        <f aca="false">Raw_Data!E1189</f>
        <v>2</v>
      </c>
      <c r="F1189" s="4" t="n">
        <f aca="false">ROUND(Raw_Data!F1189,2)</f>
        <v>184.6</v>
      </c>
      <c r="G1189" s="2" t="str">
        <f aca="false">PROPER(TRIM(Raw_Data!G1189))</f>
        <v>562 Main St</v>
      </c>
      <c r="H1189" s="2" t="str">
        <f aca="false">PROPER(TRIM(Raw_Data!H1189))</f>
        <v>Gift Card</v>
      </c>
      <c r="I1189" s="2" t="str">
        <f aca="false">PROPER(TRIM(Raw_Data!I1189))</f>
        <v>Delivered</v>
      </c>
      <c r="J1189" s="2" t="str">
        <f aca="false">TRIM(UPPER(Raw_Data!J1189))</f>
        <v>TRK59962703</v>
      </c>
      <c r="K1189" s="2" t="n">
        <f aca="false">Raw_Data!K1189</f>
        <v>7</v>
      </c>
      <c r="L1189" s="2" t="str">
        <f aca="false">IF(TRIM(Raw_Data!L1189)="","No Coupon",TRIM(UPPER(Raw_Data!L1189)))</f>
        <v>WINTER15</v>
      </c>
      <c r="M1189" s="2" t="str">
        <f aca="false">PROPER(TRIM(Raw_Data!M1189))</f>
        <v>Email</v>
      </c>
      <c r="N1189" s="4" t="n">
        <f aca="false">ROUND(E1189*F1189,2)</f>
        <v>369.2</v>
      </c>
      <c r="O1189" s="2" t="str">
        <f aca="false">IF(COUNTIF($A$2:$A$1201,A1189)&gt;1,"DUPLICATE","Unique")</f>
        <v>Unique</v>
      </c>
      <c r="P1189" s="2" t="str">
        <f aca="false">IF(L1189="","MISSING","OK")</f>
        <v>OK</v>
      </c>
      <c r="Q1189" s="2" t="str">
        <f aca="false">IF(ISNUMBER(B1189),"OK","BAD DATE")</f>
        <v>OK</v>
      </c>
      <c r="R1189" s="2" t="str">
        <f aca="false">IF(ROUND(F1189,2)=F1189,"OK","FIX")</f>
        <v>OK</v>
      </c>
    </row>
    <row r="1190" customFormat="false" ht="15" hidden="false" customHeight="false" outlineLevel="0" collapsed="false">
      <c r="A1190" s="2" t="str">
        <f aca="false">TRIM(UPPER(Raw_Data!A1190))</f>
        <v>ORD201188</v>
      </c>
      <c r="B1190" s="3" t="n">
        <f aca="false">IF(ISNUMBER(Raw_Data!B1190),Raw_Data!B1190,DATEVALUE(Raw_Data!B1190))</f>
        <v>45206</v>
      </c>
      <c r="C1190" s="2" t="str">
        <f aca="false">TRIM(UPPER(Raw_Data!C1190))</f>
        <v>C75619</v>
      </c>
      <c r="D1190" s="2" t="str">
        <f aca="false">PROPER(TRIM(Raw_Data!D1190))</f>
        <v>Printer</v>
      </c>
      <c r="E1190" s="2" t="n">
        <f aca="false">Raw_Data!E1190</f>
        <v>2</v>
      </c>
      <c r="F1190" s="4" t="n">
        <f aca="false">ROUND(Raw_Data!F1190,2)</f>
        <v>371.29</v>
      </c>
      <c r="G1190" s="2" t="str">
        <f aca="false">PROPER(TRIM(Raw_Data!G1190))</f>
        <v>924 Main St</v>
      </c>
      <c r="H1190" s="2" t="str">
        <f aca="false">PROPER(TRIM(Raw_Data!H1190))</f>
        <v>Gift Card</v>
      </c>
      <c r="I1190" s="2" t="str">
        <f aca="false">PROPER(TRIM(Raw_Data!I1190))</f>
        <v>Shipped</v>
      </c>
      <c r="J1190" s="2" t="str">
        <f aca="false">TRIM(UPPER(Raw_Data!J1190))</f>
        <v>TRK23086941</v>
      </c>
      <c r="K1190" s="2" t="n">
        <f aca="false">Raw_Data!K1190</f>
        <v>5</v>
      </c>
      <c r="L1190" s="2" t="str">
        <f aca="false">IF(TRIM(Raw_Data!L1190)="","No Coupon",TRIM(UPPER(Raw_Data!L1190)))</f>
        <v>WINTER15</v>
      </c>
      <c r="M1190" s="2" t="str">
        <f aca="false">PROPER(TRIM(Raw_Data!M1190))</f>
        <v>Facebook</v>
      </c>
      <c r="N1190" s="4" t="n">
        <f aca="false">ROUND(E1190*F1190,2)</f>
        <v>742.58</v>
      </c>
      <c r="O1190" s="2" t="str">
        <f aca="false">IF(COUNTIF($A$2:$A$1201,A1190)&gt;1,"DUPLICATE","Unique")</f>
        <v>Unique</v>
      </c>
      <c r="P1190" s="2" t="str">
        <f aca="false">IF(L1190="","MISSING","OK")</f>
        <v>OK</v>
      </c>
      <c r="Q1190" s="2" t="str">
        <f aca="false">IF(ISNUMBER(B1190),"OK","BAD DATE")</f>
        <v>OK</v>
      </c>
      <c r="R1190" s="2" t="str">
        <f aca="false">IF(ROUND(F1190,2)=F1190,"OK","FIX")</f>
        <v>OK</v>
      </c>
    </row>
    <row r="1191" customFormat="false" ht="15" hidden="false" customHeight="false" outlineLevel="0" collapsed="false">
      <c r="A1191" s="2" t="str">
        <f aca="false">TRIM(UPPER(Raw_Data!A1191))</f>
        <v>ORD201189</v>
      </c>
      <c r="B1191" s="3" t="n">
        <f aca="false">IF(ISNUMBER(Raw_Data!B1191),Raw_Data!B1191,DATEVALUE(Raw_Data!B1191))</f>
        <v>45521</v>
      </c>
      <c r="C1191" s="2" t="str">
        <f aca="false">TRIM(UPPER(Raw_Data!C1191))</f>
        <v>C96136</v>
      </c>
      <c r="D1191" s="2" t="str">
        <f aca="false">PROPER(TRIM(Raw_Data!D1191))</f>
        <v>Tablet</v>
      </c>
      <c r="E1191" s="2" t="n">
        <f aca="false">Raw_Data!E1191</f>
        <v>5</v>
      </c>
      <c r="F1191" s="4" t="n">
        <f aca="false">ROUND(Raw_Data!F1191,2)</f>
        <v>389.22</v>
      </c>
      <c r="G1191" s="2" t="str">
        <f aca="false">PROPER(TRIM(Raw_Data!G1191))</f>
        <v>149 Main St</v>
      </c>
      <c r="H1191" s="2" t="str">
        <f aca="false">PROPER(TRIM(Raw_Data!H1191))</f>
        <v>Cash</v>
      </c>
      <c r="I1191" s="2" t="str">
        <f aca="false">PROPER(TRIM(Raw_Data!I1191))</f>
        <v>Cancelled</v>
      </c>
      <c r="J1191" s="2" t="str">
        <f aca="false">TRIM(UPPER(Raw_Data!J1191))</f>
        <v>TRK60856682</v>
      </c>
      <c r="K1191" s="2" t="n">
        <f aca="false">Raw_Data!K1191</f>
        <v>7</v>
      </c>
      <c r="L1191" s="2" t="str">
        <f aca="false">IF(TRIM(Raw_Data!L1191)="","No Coupon",TRIM(UPPER(Raw_Data!L1191)))</f>
        <v>No Coupon</v>
      </c>
      <c r="M1191" s="2" t="str">
        <f aca="false">PROPER(TRIM(Raw_Data!M1191))</f>
        <v>Referral</v>
      </c>
      <c r="N1191" s="4" t="n">
        <f aca="false">ROUND(E1191*F1191,2)</f>
        <v>1946.1</v>
      </c>
      <c r="O1191" s="2" t="str">
        <f aca="false">IF(COUNTIF($A$2:$A$1201,A1191)&gt;1,"DUPLICATE","Unique")</f>
        <v>Unique</v>
      </c>
      <c r="P1191" s="2" t="str">
        <f aca="false">IF(L1191="","MISSING","OK")</f>
        <v>OK</v>
      </c>
      <c r="Q1191" s="2" t="str">
        <f aca="false">IF(ISNUMBER(B1191),"OK","BAD DATE")</f>
        <v>OK</v>
      </c>
      <c r="R1191" s="2" t="str">
        <f aca="false">IF(ROUND(F1191,2)=F1191,"OK","FIX")</f>
        <v>OK</v>
      </c>
    </row>
    <row r="1192" customFormat="false" ht="15" hidden="false" customHeight="false" outlineLevel="0" collapsed="false">
      <c r="A1192" s="2" t="str">
        <f aca="false">TRIM(UPPER(Raw_Data!A1192))</f>
        <v>ORD201190</v>
      </c>
      <c r="B1192" s="3" t="n">
        <f aca="false">IF(ISNUMBER(Raw_Data!B1192),Raw_Data!B1192,DATEVALUE(Raw_Data!B1192))</f>
        <v>45816</v>
      </c>
      <c r="C1192" s="2" t="str">
        <f aca="false">TRIM(UPPER(Raw_Data!C1192))</f>
        <v>C46886</v>
      </c>
      <c r="D1192" s="2" t="str">
        <f aca="false">PROPER(TRIM(Raw_Data!D1192))</f>
        <v>Desk</v>
      </c>
      <c r="E1192" s="2" t="n">
        <f aca="false">Raw_Data!E1192</f>
        <v>3</v>
      </c>
      <c r="F1192" s="4" t="n">
        <f aca="false">ROUND(Raw_Data!F1192,2)</f>
        <v>616.39</v>
      </c>
      <c r="G1192" s="2" t="str">
        <f aca="false">PROPER(TRIM(Raw_Data!G1192))</f>
        <v>754 Main St</v>
      </c>
      <c r="H1192" s="2" t="str">
        <f aca="false">PROPER(TRIM(Raw_Data!H1192))</f>
        <v>Credit Card</v>
      </c>
      <c r="I1192" s="2" t="str">
        <f aca="false">PROPER(TRIM(Raw_Data!I1192))</f>
        <v>Shipped</v>
      </c>
      <c r="J1192" s="2" t="str">
        <f aca="false">TRIM(UPPER(Raw_Data!J1192))</f>
        <v>TRK82791646</v>
      </c>
      <c r="K1192" s="2" t="n">
        <f aca="false">Raw_Data!K1192</f>
        <v>6</v>
      </c>
      <c r="L1192" s="2" t="str">
        <f aca="false">IF(TRIM(Raw_Data!L1192)="","No Coupon",TRIM(UPPER(Raw_Data!L1192)))</f>
        <v>FREESHIP</v>
      </c>
      <c r="M1192" s="2" t="str">
        <f aca="false">PROPER(TRIM(Raw_Data!M1192))</f>
        <v>Instagram</v>
      </c>
      <c r="N1192" s="4" t="n">
        <f aca="false">ROUND(E1192*F1192,2)</f>
        <v>1849.17</v>
      </c>
      <c r="O1192" s="2" t="str">
        <f aca="false">IF(COUNTIF($A$2:$A$1201,A1192)&gt;1,"DUPLICATE","Unique")</f>
        <v>Unique</v>
      </c>
      <c r="P1192" s="2" t="str">
        <f aca="false">IF(L1192="","MISSING","OK")</f>
        <v>OK</v>
      </c>
      <c r="Q1192" s="2" t="str">
        <f aca="false">IF(ISNUMBER(B1192),"OK","BAD DATE")</f>
        <v>OK</v>
      </c>
      <c r="R1192" s="2" t="str">
        <f aca="false">IF(ROUND(F1192,2)=F1192,"OK","FIX")</f>
        <v>OK</v>
      </c>
    </row>
    <row r="1193" customFormat="false" ht="15" hidden="false" customHeight="false" outlineLevel="0" collapsed="false">
      <c r="A1193" s="2" t="str">
        <f aca="false">TRIM(UPPER(Raw_Data!A1193))</f>
        <v>ORD201191</v>
      </c>
      <c r="B1193" s="3" t="n">
        <f aca="false">IF(ISNUMBER(Raw_Data!B1193),Raw_Data!B1193,DATEVALUE(Raw_Data!B1193))</f>
        <v>45698</v>
      </c>
      <c r="C1193" s="2" t="str">
        <f aca="false">TRIM(UPPER(Raw_Data!C1193))</f>
        <v>C44148</v>
      </c>
      <c r="D1193" s="2" t="str">
        <f aca="false">PROPER(TRIM(Raw_Data!D1193))</f>
        <v>Desk</v>
      </c>
      <c r="E1193" s="2" t="n">
        <f aca="false">Raw_Data!E1193</f>
        <v>4</v>
      </c>
      <c r="F1193" s="4" t="n">
        <f aca="false">ROUND(Raw_Data!F1193,2)</f>
        <v>376.43</v>
      </c>
      <c r="G1193" s="2" t="str">
        <f aca="false">PROPER(TRIM(Raw_Data!G1193))</f>
        <v>809 Main St</v>
      </c>
      <c r="H1193" s="2" t="str">
        <f aca="false">PROPER(TRIM(Raw_Data!H1193))</f>
        <v>Gift Card</v>
      </c>
      <c r="I1193" s="2" t="str">
        <f aca="false">PROPER(TRIM(Raw_Data!I1193))</f>
        <v>Pending</v>
      </c>
      <c r="J1193" s="2" t="str">
        <f aca="false">TRIM(UPPER(Raw_Data!J1193))</f>
        <v>TRK67872709</v>
      </c>
      <c r="K1193" s="2" t="n">
        <f aca="false">Raw_Data!K1193</f>
        <v>5</v>
      </c>
      <c r="L1193" s="2" t="str">
        <f aca="false">IF(TRIM(Raw_Data!L1193)="","No Coupon",TRIM(UPPER(Raw_Data!L1193)))</f>
        <v>WINTER15</v>
      </c>
      <c r="M1193" s="2" t="str">
        <f aca="false">PROPER(TRIM(Raw_Data!M1193))</f>
        <v>Instagram</v>
      </c>
      <c r="N1193" s="4" t="n">
        <f aca="false">ROUND(E1193*F1193,2)</f>
        <v>1505.72</v>
      </c>
      <c r="O1193" s="2" t="str">
        <f aca="false">IF(COUNTIF($A$2:$A$1201,A1193)&gt;1,"DUPLICATE","Unique")</f>
        <v>Unique</v>
      </c>
      <c r="P1193" s="2" t="str">
        <f aca="false">IF(L1193="","MISSING","OK")</f>
        <v>OK</v>
      </c>
      <c r="Q1193" s="2" t="str">
        <f aca="false">IF(ISNUMBER(B1193),"OK","BAD DATE")</f>
        <v>OK</v>
      </c>
      <c r="R1193" s="2" t="str">
        <f aca="false">IF(ROUND(F1193,2)=F1193,"OK","FIX")</f>
        <v>OK</v>
      </c>
    </row>
    <row r="1194" customFormat="false" ht="15" hidden="false" customHeight="false" outlineLevel="0" collapsed="false">
      <c r="A1194" s="2" t="str">
        <f aca="false">TRIM(UPPER(Raw_Data!A1194))</f>
        <v>ORD201192</v>
      </c>
      <c r="B1194" s="3" t="n">
        <f aca="false">IF(ISNUMBER(Raw_Data!B1194),Raw_Data!B1194,DATEVALUE(Raw_Data!B1194))</f>
        <v>45350</v>
      </c>
      <c r="C1194" s="2" t="str">
        <f aca="false">TRIM(UPPER(Raw_Data!C1194))</f>
        <v>C72007</v>
      </c>
      <c r="D1194" s="2" t="str">
        <f aca="false">PROPER(TRIM(Raw_Data!D1194))</f>
        <v>Chair</v>
      </c>
      <c r="E1194" s="2" t="n">
        <f aca="false">Raw_Data!E1194</f>
        <v>3</v>
      </c>
      <c r="F1194" s="4" t="n">
        <f aca="false">ROUND(Raw_Data!F1194,2)</f>
        <v>432.85</v>
      </c>
      <c r="G1194" s="2" t="str">
        <f aca="false">PROPER(TRIM(Raw_Data!G1194))</f>
        <v>999 Main St</v>
      </c>
      <c r="H1194" s="2" t="str">
        <f aca="false">PROPER(TRIM(Raw_Data!H1194))</f>
        <v>Online</v>
      </c>
      <c r="I1194" s="2" t="str">
        <f aca="false">PROPER(TRIM(Raw_Data!I1194))</f>
        <v>Pending</v>
      </c>
      <c r="J1194" s="2" t="str">
        <f aca="false">TRIM(UPPER(Raw_Data!J1194))</f>
        <v>TRK16240916</v>
      </c>
      <c r="K1194" s="2" t="n">
        <f aca="false">Raw_Data!K1194</f>
        <v>4</v>
      </c>
      <c r="L1194" s="2" t="str">
        <f aca="false">IF(TRIM(Raw_Data!L1194)="","No Coupon",TRIM(UPPER(Raw_Data!L1194)))</f>
        <v>No Coupon</v>
      </c>
      <c r="M1194" s="2" t="str">
        <f aca="false">PROPER(TRIM(Raw_Data!M1194))</f>
        <v>Instagram</v>
      </c>
      <c r="N1194" s="4" t="n">
        <f aca="false">ROUND(E1194*F1194,2)</f>
        <v>1298.55</v>
      </c>
      <c r="O1194" s="2" t="str">
        <f aca="false">IF(COUNTIF($A$2:$A$1201,A1194)&gt;1,"DUPLICATE","Unique")</f>
        <v>Unique</v>
      </c>
      <c r="P1194" s="2" t="str">
        <f aca="false">IF(L1194="","MISSING","OK")</f>
        <v>OK</v>
      </c>
      <c r="Q1194" s="2" t="str">
        <f aca="false">IF(ISNUMBER(B1194),"OK","BAD DATE")</f>
        <v>OK</v>
      </c>
      <c r="R1194" s="2" t="str">
        <f aca="false">IF(ROUND(F1194,2)=F1194,"OK","FIX")</f>
        <v>OK</v>
      </c>
    </row>
    <row r="1195" customFormat="false" ht="15" hidden="false" customHeight="false" outlineLevel="0" collapsed="false">
      <c r="A1195" s="2" t="str">
        <f aca="false">TRIM(UPPER(Raw_Data!A1195))</f>
        <v>ORD201193</v>
      </c>
      <c r="B1195" s="3" t="n">
        <f aca="false">IF(ISNUMBER(Raw_Data!B1195),Raw_Data!B1195,DATEVALUE(Raw_Data!B1195))</f>
        <v>45824</v>
      </c>
      <c r="C1195" s="2" t="str">
        <f aca="false">TRIM(UPPER(Raw_Data!C1195))</f>
        <v>C45104</v>
      </c>
      <c r="D1195" s="2" t="str">
        <f aca="false">PROPER(TRIM(Raw_Data!D1195))</f>
        <v>Tablet</v>
      </c>
      <c r="E1195" s="2" t="n">
        <f aca="false">Raw_Data!E1195</f>
        <v>1</v>
      </c>
      <c r="F1195" s="4" t="n">
        <f aca="false">ROUND(Raw_Data!F1195,2)</f>
        <v>687.89</v>
      </c>
      <c r="G1195" s="2" t="str">
        <f aca="false">PROPER(TRIM(Raw_Data!G1195))</f>
        <v>348 Main St</v>
      </c>
      <c r="H1195" s="2" t="str">
        <f aca="false">PROPER(TRIM(Raw_Data!H1195))</f>
        <v>Cash</v>
      </c>
      <c r="I1195" s="2" t="str">
        <f aca="false">PROPER(TRIM(Raw_Data!I1195))</f>
        <v>Returned</v>
      </c>
      <c r="J1195" s="2" t="str">
        <f aca="false">TRIM(UPPER(Raw_Data!J1195))</f>
        <v>TRK38559816</v>
      </c>
      <c r="K1195" s="2" t="n">
        <f aca="false">Raw_Data!K1195</f>
        <v>1</v>
      </c>
      <c r="L1195" s="2" t="str">
        <f aca="false">IF(TRIM(Raw_Data!L1195)="","No Coupon",TRIM(UPPER(Raw_Data!L1195)))</f>
        <v>FREESHIP</v>
      </c>
      <c r="M1195" s="2" t="str">
        <f aca="false">PROPER(TRIM(Raw_Data!M1195))</f>
        <v>Email</v>
      </c>
      <c r="N1195" s="4" t="n">
        <f aca="false">ROUND(E1195*F1195,2)</f>
        <v>687.89</v>
      </c>
      <c r="O1195" s="2" t="str">
        <f aca="false">IF(COUNTIF($A$2:$A$1201,A1195)&gt;1,"DUPLICATE","Unique")</f>
        <v>Unique</v>
      </c>
      <c r="P1195" s="2" t="str">
        <f aca="false">IF(L1195="","MISSING","OK")</f>
        <v>OK</v>
      </c>
      <c r="Q1195" s="2" t="str">
        <f aca="false">IF(ISNUMBER(B1195),"OK","BAD DATE")</f>
        <v>OK</v>
      </c>
      <c r="R1195" s="2" t="str">
        <f aca="false">IF(ROUND(F1195,2)=F1195,"OK","FIX")</f>
        <v>OK</v>
      </c>
    </row>
    <row r="1196" customFormat="false" ht="15" hidden="false" customHeight="false" outlineLevel="0" collapsed="false">
      <c r="A1196" s="2" t="str">
        <f aca="false">TRIM(UPPER(Raw_Data!A1196))</f>
        <v>ORD201194</v>
      </c>
      <c r="B1196" s="3" t="n">
        <f aca="false">IF(ISNUMBER(Raw_Data!B1196),Raw_Data!B1196,DATEVALUE(Raw_Data!B1196))</f>
        <v>45249</v>
      </c>
      <c r="C1196" s="2" t="str">
        <f aca="false">TRIM(UPPER(Raw_Data!C1196))</f>
        <v>C29885</v>
      </c>
      <c r="D1196" s="2" t="str">
        <f aca="false">PROPER(TRIM(Raw_Data!D1196))</f>
        <v>Printer</v>
      </c>
      <c r="E1196" s="2" t="n">
        <f aca="false">Raw_Data!E1196</f>
        <v>3</v>
      </c>
      <c r="F1196" s="4" t="n">
        <f aca="false">ROUND(Raw_Data!F1196,2)</f>
        <v>189.44</v>
      </c>
      <c r="G1196" s="2" t="str">
        <f aca="false">PROPER(TRIM(Raw_Data!G1196))</f>
        <v>725 Main St</v>
      </c>
      <c r="H1196" s="2" t="str">
        <f aca="false">PROPER(TRIM(Raw_Data!H1196))</f>
        <v>Cash</v>
      </c>
      <c r="I1196" s="2" t="str">
        <f aca="false">PROPER(TRIM(Raw_Data!I1196))</f>
        <v>Pending</v>
      </c>
      <c r="J1196" s="2" t="str">
        <f aca="false">TRIM(UPPER(Raw_Data!J1196))</f>
        <v>TRK62067865</v>
      </c>
      <c r="K1196" s="2" t="n">
        <f aca="false">Raw_Data!K1196</f>
        <v>4</v>
      </c>
      <c r="L1196" s="2" t="str">
        <f aca="false">IF(TRIM(Raw_Data!L1196)="","No Coupon",TRIM(UPPER(Raw_Data!L1196)))</f>
        <v>FREESHIP</v>
      </c>
      <c r="M1196" s="2" t="str">
        <f aca="false">PROPER(TRIM(Raw_Data!M1196))</f>
        <v>Email</v>
      </c>
      <c r="N1196" s="4" t="n">
        <f aca="false">ROUND(E1196*F1196,2)</f>
        <v>568.32</v>
      </c>
      <c r="O1196" s="2" t="str">
        <f aca="false">IF(COUNTIF($A$2:$A$1201,A1196)&gt;1,"DUPLICATE","Unique")</f>
        <v>Unique</v>
      </c>
      <c r="P1196" s="2" t="str">
        <f aca="false">IF(L1196="","MISSING","OK")</f>
        <v>OK</v>
      </c>
      <c r="Q1196" s="2" t="str">
        <f aca="false">IF(ISNUMBER(B1196),"OK","BAD DATE")</f>
        <v>OK</v>
      </c>
      <c r="R1196" s="2" t="str">
        <f aca="false">IF(ROUND(F1196,2)=F1196,"OK","FIX")</f>
        <v>OK</v>
      </c>
    </row>
    <row r="1197" customFormat="false" ht="15" hidden="false" customHeight="false" outlineLevel="0" collapsed="false">
      <c r="A1197" s="2" t="str">
        <f aca="false">TRIM(UPPER(Raw_Data!A1197))</f>
        <v>ORD201195</v>
      </c>
      <c r="B1197" s="3" t="n">
        <f aca="false">IF(ISNUMBER(Raw_Data!B1197),Raw_Data!B1197,DATEVALUE(Raw_Data!B1197))</f>
        <v>45463</v>
      </c>
      <c r="C1197" s="2" t="str">
        <f aca="false">TRIM(UPPER(Raw_Data!C1197))</f>
        <v>C21126</v>
      </c>
      <c r="D1197" s="2" t="str">
        <f aca="false">PROPER(TRIM(Raw_Data!D1197))</f>
        <v>Desk</v>
      </c>
      <c r="E1197" s="2" t="n">
        <f aca="false">Raw_Data!E1197</f>
        <v>1</v>
      </c>
      <c r="F1197" s="4" t="n">
        <f aca="false">ROUND(Raw_Data!F1197,2)</f>
        <v>107.04</v>
      </c>
      <c r="G1197" s="2" t="str">
        <f aca="false">PROPER(TRIM(Raw_Data!G1197))</f>
        <v>392 Main St</v>
      </c>
      <c r="H1197" s="2" t="str">
        <f aca="false">PROPER(TRIM(Raw_Data!H1197))</f>
        <v>Credit Card</v>
      </c>
      <c r="I1197" s="2" t="str">
        <f aca="false">PROPER(TRIM(Raw_Data!I1197))</f>
        <v>Cancelled</v>
      </c>
      <c r="J1197" s="2" t="str">
        <f aca="false">TRIM(UPPER(Raw_Data!J1197))</f>
        <v>TRK38009181</v>
      </c>
      <c r="K1197" s="2" t="n">
        <f aca="false">Raw_Data!K1197</f>
        <v>6</v>
      </c>
      <c r="L1197" s="2" t="str">
        <f aca="false">IF(TRIM(Raw_Data!L1197)="","No Coupon",TRIM(UPPER(Raw_Data!L1197)))</f>
        <v>FREESHIP</v>
      </c>
      <c r="M1197" s="2" t="str">
        <f aca="false">PROPER(TRIM(Raw_Data!M1197))</f>
        <v>Google</v>
      </c>
      <c r="N1197" s="4" t="n">
        <f aca="false">ROUND(E1197*F1197,2)</f>
        <v>107.04</v>
      </c>
      <c r="O1197" s="2" t="str">
        <f aca="false">IF(COUNTIF($A$2:$A$1201,A1197)&gt;1,"DUPLICATE","Unique")</f>
        <v>Unique</v>
      </c>
      <c r="P1197" s="2" t="str">
        <f aca="false">IF(L1197="","MISSING","OK")</f>
        <v>OK</v>
      </c>
      <c r="Q1197" s="2" t="str">
        <f aca="false">IF(ISNUMBER(B1197),"OK","BAD DATE")</f>
        <v>OK</v>
      </c>
      <c r="R1197" s="2" t="str">
        <f aca="false">IF(ROUND(F1197,2)=F1197,"OK","FIX")</f>
        <v>OK</v>
      </c>
    </row>
    <row r="1198" customFormat="false" ht="15" hidden="false" customHeight="false" outlineLevel="0" collapsed="false">
      <c r="A1198" s="2" t="str">
        <f aca="false">TRIM(UPPER(Raw_Data!A1198))</f>
        <v>ORD201196</v>
      </c>
      <c r="B1198" s="3" t="n">
        <f aca="false">IF(ISNUMBER(Raw_Data!B1198),Raw_Data!B1198,DATEVALUE(Raw_Data!B1198))</f>
        <v>45355</v>
      </c>
      <c r="C1198" s="2" t="str">
        <f aca="false">TRIM(UPPER(Raw_Data!C1198))</f>
        <v>C20095</v>
      </c>
      <c r="D1198" s="2" t="str">
        <f aca="false">PROPER(TRIM(Raw_Data!D1198))</f>
        <v>Monitor</v>
      </c>
      <c r="E1198" s="2" t="n">
        <f aca="false">Raw_Data!E1198</f>
        <v>2</v>
      </c>
      <c r="F1198" s="4" t="n">
        <f aca="false">ROUND(Raw_Data!F1198,2)</f>
        <v>662.53</v>
      </c>
      <c r="G1198" s="2" t="str">
        <f aca="false">PROPER(TRIM(Raw_Data!G1198))</f>
        <v>778 Main St</v>
      </c>
      <c r="H1198" s="2" t="str">
        <f aca="false">PROPER(TRIM(Raw_Data!H1198))</f>
        <v>Online</v>
      </c>
      <c r="I1198" s="2" t="str">
        <f aca="false">PROPER(TRIM(Raw_Data!I1198))</f>
        <v>Cancelled</v>
      </c>
      <c r="J1198" s="2" t="str">
        <f aca="false">TRIM(UPPER(Raw_Data!J1198))</f>
        <v>TRK69207593</v>
      </c>
      <c r="K1198" s="2" t="n">
        <f aca="false">Raw_Data!K1198</f>
        <v>5</v>
      </c>
      <c r="L1198" s="2" t="str">
        <f aca="false">IF(TRIM(Raw_Data!L1198)="","No Coupon",TRIM(UPPER(Raw_Data!L1198)))</f>
        <v>No Coupon</v>
      </c>
      <c r="M1198" s="2" t="str">
        <f aca="false">PROPER(TRIM(Raw_Data!M1198))</f>
        <v>Facebook</v>
      </c>
      <c r="N1198" s="4" t="n">
        <f aca="false">ROUND(E1198*F1198,2)</f>
        <v>1325.06</v>
      </c>
      <c r="O1198" s="2" t="str">
        <f aca="false">IF(COUNTIF($A$2:$A$1201,A1198)&gt;1,"DUPLICATE","Unique")</f>
        <v>Unique</v>
      </c>
      <c r="P1198" s="2" t="str">
        <f aca="false">IF(L1198="","MISSING","OK")</f>
        <v>OK</v>
      </c>
      <c r="Q1198" s="2" t="str">
        <f aca="false">IF(ISNUMBER(B1198),"OK","BAD DATE")</f>
        <v>OK</v>
      </c>
      <c r="R1198" s="2" t="str">
        <f aca="false">IF(ROUND(F1198,2)=F1198,"OK","FIX")</f>
        <v>OK</v>
      </c>
    </row>
    <row r="1199" customFormat="false" ht="15" hidden="false" customHeight="false" outlineLevel="0" collapsed="false">
      <c r="A1199" s="2" t="str">
        <f aca="false">TRIM(UPPER(Raw_Data!A1199))</f>
        <v>ORD201197</v>
      </c>
      <c r="B1199" s="3" t="n">
        <f aca="false">IF(ISNUMBER(Raw_Data!B1199),Raw_Data!B1199,DATEVALUE(Raw_Data!B1199))</f>
        <v>45120</v>
      </c>
      <c r="C1199" s="2" t="str">
        <f aca="false">TRIM(UPPER(Raw_Data!C1199))</f>
        <v>C79674</v>
      </c>
      <c r="D1199" s="2" t="str">
        <f aca="false">PROPER(TRIM(Raw_Data!D1199))</f>
        <v>Tablet</v>
      </c>
      <c r="E1199" s="2" t="n">
        <f aca="false">Raw_Data!E1199</f>
        <v>2</v>
      </c>
      <c r="F1199" s="4" t="n">
        <f aca="false">ROUND(Raw_Data!F1199,2)</f>
        <v>436.84</v>
      </c>
      <c r="G1199" s="2" t="str">
        <f aca="false">PROPER(TRIM(Raw_Data!G1199))</f>
        <v>275 Main St</v>
      </c>
      <c r="H1199" s="2" t="str">
        <f aca="false">PROPER(TRIM(Raw_Data!H1199))</f>
        <v>Online</v>
      </c>
      <c r="I1199" s="2" t="str">
        <f aca="false">PROPER(TRIM(Raw_Data!I1199))</f>
        <v>Delivered</v>
      </c>
      <c r="J1199" s="2" t="str">
        <f aca="false">TRIM(UPPER(Raw_Data!J1199))</f>
        <v>TRK88039356</v>
      </c>
      <c r="K1199" s="2" t="n">
        <f aca="false">Raw_Data!K1199</f>
        <v>2</v>
      </c>
      <c r="L1199" s="2" t="str">
        <f aca="false">IF(TRIM(Raw_Data!L1199)="","No Coupon",TRIM(UPPER(Raw_Data!L1199)))</f>
        <v>FREESHIP</v>
      </c>
      <c r="M1199" s="2" t="str">
        <f aca="false">PROPER(TRIM(Raw_Data!M1199))</f>
        <v>Instagram</v>
      </c>
      <c r="N1199" s="4" t="n">
        <f aca="false">ROUND(E1199*F1199,2)</f>
        <v>873.68</v>
      </c>
      <c r="O1199" s="2" t="str">
        <f aca="false">IF(COUNTIF($A$2:$A$1201,A1199)&gt;1,"DUPLICATE","Unique")</f>
        <v>Unique</v>
      </c>
      <c r="P1199" s="2" t="str">
        <f aca="false">IF(L1199="","MISSING","OK")</f>
        <v>OK</v>
      </c>
      <c r="Q1199" s="2" t="str">
        <f aca="false">IF(ISNUMBER(B1199),"OK","BAD DATE")</f>
        <v>OK</v>
      </c>
      <c r="R1199" s="2" t="str">
        <f aca="false">IF(ROUND(F1199,2)=F1199,"OK","FIX")</f>
        <v>OK</v>
      </c>
    </row>
    <row r="1200" customFormat="false" ht="15" hidden="false" customHeight="false" outlineLevel="0" collapsed="false">
      <c r="A1200" s="2" t="str">
        <f aca="false">TRIM(UPPER(Raw_Data!A1200))</f>
        <v>ORD201198</v>
      </c>
      <c r="B1200" s="3" t="n">
        <f aca="false">IF(ISNUMBER(Raw_Data!B1200),Raw_Data!B1200,DATEVALUE(Raw_Data!B1200))</f>
        <v>45526</v>
      </c>
      <c r="C1200" s="2" t="str">
        <f aca="false">TRIM(UPPER(Raw_Data!C1200))</f>
        <v>C64753</v>
      </c>
      <c r="D1200" s="2" t="str">
        <f aca="false">PROPER(TRIM(Raw_Data!D1200))</f>
        <v>Chair</v>
      </c>
      <c r="E1200" s="2" t="n">
        <f aca="false">Raw_Data!E1200</f>
        <v>4</v>
      </c>
      <c r="F1200" s="4" t="n">
        <f aca="false">ROUND(Raw_Data!F1200,2)</f>
        <v>262.52</v>
      </c>
      <c r="G1200" s="2" t="str">
        <f aca="false">PROPER(TRIM(Raw_Data!G1200))</f>
        <v>509 Main St</v>
      </c>
      <c r="H1200" s="2" t="str">
        <f aca="false">PROPER(TRIM(Raw_Data!H1200))</f>
        <v>Debit Card</v>
      </c>
      <c r="I1200" s="2" t="str">
        <f aca="false">PROPER(TRIM(Raw_Data!I1200))</f>
        <v>Cancelled</v>
      </c>
      <c r="J1200" s="2" t="str">
        <f aca="false">TRIM(UPPER(Raw_Data!J1200))</f>
        <v>TRK71683331</v>
      </c>
      <c r="K1200" s="2" t="n">
        <f aca="false">Raw_Data!K1200</f>
        <v>4</v>
      </c>
      <c r="L1200" s="2" t="str">
        <f aca="false">IF(TRIM(Raw_Data!L1200)="","No Coupon",TRIM(UPPER(Raw_Data!L1200)))</f>
        <v>WINTER15</v>
      </c>
      <c r="M1200" s="2" t="str">
        <f aca="false">PROPER(TRIM(Raw_Data!M1200))</f>
        <v>Instagram</v>
      </c>
      <c r="N1200" s="4" t="n">
        <f aca="false">ROUND(E1200*F1200,2)</f>
        <v>1050.08</v>
      </c>
      <c r="O1200" s="2" t="str">
        <f aca="false">IF(COUNTIF($A$2:$A$1201,A1200)&gt;1,"DUPLICATE","Unique")</f>
        <v>Unique</v>
      </c>
      <c r="P1200" s="2" t="str">
        <f aca="false">IF(L1200="","MISSING","OK")</f>
        <v>OK</v>
      </c>
      <c r="Q1200" s="2" t="str">
        <f aca="false">IF(ISNUMBER(B1200),"OK","BAD DATE")</f>
        <v>OK</v>
      </c>
      <c r="R1200" s="2" t="str">
        <f aca="false">IF(ROUND(F1200,2)=F1200,"OK","FIX")</f>
        <v>OK</v>
      </c>
    </row>
    <row r="1201" customFormat="false" ht="15" hidden="false" customHeight="false" outlineLevel="0" collapsed="false">
      <c r="A1201" s="2" t="str">
        <f aca="false">TRIM(UPPER(Raw_Data!A1201))</f>
        <v>ORD201199</v>
      </c>
      <c r="B1201" s="3" t="n">
        <f aca="false">IF(ISNUMBER(Raw_Data!B1201),Raw_Data!B1201,DATEVALUE(Raw_Data!B1201))</f>
        <v>45088</v>
      </c>
      <c r="C1201" s="2" t="str">
        <f aca="false">TRIM(UPPER(Raw_Data!C1201))</f>
        <v>C57502</v>
      </c>
      <c r="D1201" s="2" t="str">
        <f aca="false">PROPER(TRIM(Raw_Data!D1201))</f>
        <v>Tablet</v>
      </c>
      <c r="E1201" s="2" t="n">
        <f aca="false">Raw_Data!E1201</f>
        <v>4</v>
      </c>
      <c r="F1201" s="4" t="n">
        <f aca="false">ROUND(Raw_Data!F1201,2)</f>
        <v>560.58</v>
      </c>
      <c r="G1201" s="2" t="str">
        <f aca="false">PROPER(TRIM(Raw_Data!G1201))</f>
        <v>201 Main St</v>
      </c>
      <c r="H1201" s="2" t="str">
        <f aca="false">PROPER(TRIM(Raw_Data!H1201))</f>
        <v>Gift Card</v>
      </c>
      <c r="I1201" s="2" t="str">
        <f aca="false">PROPER(TRIM(Raw_Data!I1201))</f>
        <v>Returned</v>
      </c>
      <c r="J1201" s="2" t="str">
        <f aca="false">TRIM(UPPER(Raw_Data!J1201))</f>
        <v>TRK51116746</v>
      </c>
      <c r="K1201" s="2" t="n">
        <f aca="false">Raw_Data!K1201</f>
        <v>6</v>
      </c>
      <c r="L1201" s="2" t="str">
        <f aca="false">IF(TRIM(Raw_Data!L1201)="","No Coupon",TRIM(UPPER(Raw_Data!L1201)))</f>
        <v>SAVE10</v>
      </c>
      <c r="M1201" s="2" t="str">
        <f aca="false">PROPER(TRIM(Raw_Data!M1201))</f>
        <v>Referral</v>
      </c>
      <c r="N1201" s="4" t="n">
        <f aca="false">ROUND(E1201*F1201,2)</f>
        <v>2242.32</v>
      </c>
      <c r="O1201" s="2" t="str">
        <f aca="false">IF(COUNTIF($A$2:$A$1201,A1201)&gt;1,"DUPLICATE","Unique")</f>
        <v>Unique</v>
      </c>
      <c r="P1201" s="2" t="str">
        <f aca="false">IF(L1201="","MISSING","OK")</f>
        <v>OK</v>
      </c>
      <c r="Q1201" s="2" t="str">
        <f aca="false">IF(ISNUMBER(B1201),"OK","BAD DATE")</f>
        <v>OK</v>
      </c>
      <c r="R1201" s="2" t="str">
        <f aca="false">IF(ROUND(F1201,2)=F1201,"OK","FIX")</f>
        <v>OK</v>
      </c>
    </row>
    <row r="1203" customFormat="false" ht="17.35" hidden="false" customHeight="false" outlineLevel="0" collapsed="false">
      <c r="N1203" s="5" t="s">
        <v>4287</v>
      </c>
      <c r="O1203" s="6" t="n">
        <f aca="false">COUNTIF(O2:O1201,"DUPLICATE")+COUNTIF(P2:P1201,"MISSING")+COUNTIF(Q2:Q1201,"BAD DATE")+COUNTIF(R2:R1201,"FIX")</f>
        <v>0</v>
      </c>
    </row>
    <row r="1204" customFormat="false" ht="17.15" hidden="false" customHeight="false" outlineLevel="0" collapsed="false">
      <c r="N1204" s="5" t="s">
        <v>4288</v>
      </c>
      <c r="O1204" s="7" t="str">
        <f aca="false">IF(O1203=0,"CLEAN","NEEDS REVIEW")</f>
        <v>CLEAN</v>
      </c>
    </row>
  </sheetData>
  <conditionalFormatting sqref="O2:O1201">
    <cfRule type="expression" priority="2" aboveAverage="0" equalAverage="0" bottom="0" percent="0" rank="0" text="" dxfId="0">
      <formula>O2="DUPLICATE"</formula>
    </cfRule>
  </conditionalFormatting>
  <conditionalFormatting sqref="P2:P1201">
    <cfRule type="expression" priority="3" aboveAverage="0" equalAverage="0" bottom="0" percent="0" rank="0" text="" dxfId="0">
      <formula>P2="MISSING"</formula>
    </cfRule>
  </conditionalFormatting>
  <conditionalFormatting sqref="Q2:Q1201">
    <cfRule type="expression" priority="4" aboveAverage="0" equalAverage="0" bottom="0" percent="0" rank="0" text="" dxfId="0">
      <formula>Q2="BAD DATE"</formula>
    </cfRule>
  </conditionalFormatting>
  <conditionalFormatting sqref="R2:R1201">
    <cfRule type="expression" priority="5" aboveAverage="0" equalAverage="0" bottom="0" percent="0" rank="0" text="" dxfId="0">
      <formula>R2="FIX"</formula>
    </cfRule>
  </conditionalFormatting>
  <conditionalFormatting sqref="O1204">
    <cfRule type="expression" priority="6" aboveAverage="0" equalAverage="0" bottom="0" percent="0" rank="0" text="" dxfId="1">
      <formula>O1204="CLEAN"</formula>
    </cfRule>
    <cfRule type="expression" priority="7" aboveAverage="0" equalAverage="0" bottom="0" percent="0" rank="0" text="" dxfId="0">
      <formula>O1204="NEEDS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2026-07-08T21:11:29Z</dcterms:created>
  <dc:creator>openpyxl</dc:creator>
  <dc:description/>
  <dc:language>en-US</dc:language>
  <cp:lastModifiedBy/>
  <dcterms:modified xsi:type="dcterms:W3CDTF">2026-07-08T21:11:32Z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